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autoCompressPictures="0"/>
  <mc:AlternateContent xmlns:mc="http://schemas.openxmlformats.org/markup-compatibility/2006">
    <mc:Choice Requires="x15">
      <x15ac:absPath xmlns:x15ac="http://schemas.microsoft.com/office/spreadsheetml/2010/11/ac" url="E:\MANAGEMENT DES PROCESSUS LOGISTIQUES ITA\GESTION DES STOCKS ET DU PATRIMOINE\"/>
    </mc:Choice>
  </mc:AlternateContent>
  <xr:revisionPtr revIDLastSave="0" documentId="13_ncr:1_{61B25DB1-3967-40EF-BA68-3BAA121344E8}" xr6:coauthVersionLast="47" xr6:coauthVersionMax="47" xr10:uidLastSave="{00000000-0000-0000-0000-000000000000}"/>
  <bookViews>
    <workbookView xWindow="-108" yWindow="-108" windowWidth="23256" windowHeight="12576" firstSheet="4" activeTab="4" xr2:uid="{00000000-000D-0000-FFFF-FFFF00000000}"/>
  </bookViews>
  <sheets>
    <sheet name="Controle reglementaire" sheetId="6" state="hidden" r:id="rId1"/>
    <sheet name="Controle reglementaire (2)" sheetId="42" state="hidden" r:id="rId2"/>
    <sheet name="Feuil1" sheetId="60" state="hidden" r:id="rId3"/>
    <sheet name="liste patentes et carte de sta" sheetId="65" state="hidden" r:id="rId4"/>
    <sheet name="PETITS MATERIELS" sheetId="70" r:id="rId5"/>
    <sheet name="LISTE DU MAT- N° PARC- DOMINOS" sheetId="62" state="hidden" r:id="rId6"/>
    <sheet name="LISTE DU MAT - N° PARC-ECRITURE" sheetId="57" state="hidden" r:id="rId7"/>
    <sheet name="MATERIEL SUR SITE" sheetId="59" state="hidden" r:id="rId8"/>
  </sheets>
  <definedNames>
    <definedName name="_xlnm._FilterDatabase" localSheetId="0" hidden="1">'Controle reglementaire'!$A$5:$AU$328</definedName>
    <definedName name="_xlnm._FilterDatabase" localSheetId="1" hidden="1">'Controle reglementaire (2)'!$A$5:$AW$328</definedName>
    <definedName name="_xlnm._FilterDatabase" localSheetId="6" hidden="1">'LISTE DU MAT - N° PARC-ECRITURE'!#REF!</definedName>
    <definedName name="_xlnm._FilterDatabase" localSheetId="4" hidden="1">'PETITS MATERIELS'!$A$7:$O$80</definedName>
    <definedName name="_xlnm.Print_Area" localSheetId="0">'Controle reglementaire'!$A$5:$F$180</definedName>
    <definedName name="_xlnm.Print_Area" localSheetId="1">'Controle reglementaire (2)'!$A$5:$F$180</definedName>
    <definedName name="_xlnm.Print_Area" localSheetId="6">'LISTE DU MAT - N° PARC-ECRITURE'!$A$1:$P$305</definedName>
    <definedName name="_xlnm.Print_Area" localSheetId="7">'MATERIEL SUR SITE'!$A$1:$BE$131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70" l="1"/>
  <c r="C6" i="70"/>
  <c r="K5" i="70"/>
  <c r="G6" i="70" l="1"/>
  <c r="J6" i="70" s="1"/>
  <c r="E6" i="70"/>
  <c r="A4" i="42" l="1"/>
  <c r="AE340" i="42"/>
  <c r="AM340" i="42"/>
  <c r="AD340" i="42"/>
  <c r="AL340" i="42"/>
  <c r="AC340" i="42"/>
  <c r="AK340" i="42" s="1"/>
  <c r="AB340" i="42"/>
  <c r="AJ340" i="42"/>
  <c r="AA340" i="42"/>
  <c r="AI340" i="42"/>
  <c r="Z340" i="42"/>
  <c r="F3" i="42"/>
  <c r="Y340" i="42"/>
  <c r="AG340" i="42" s="1"/>
  <c r="AE339" i="42"/>
  <c r="AM339" i="42"/>
  <c r="AD339" i="42"/>
  <c r="AL339" i="42"/>
  <c r="AC339" i="42"/>
  <c r="AK339" i="42"/>
  <c r="AB339" i="42"/>
  <c r="AJ339" i="42" s="1"/>
  <c r="AA339" i="42"/>
  <c r="AI339" i="42"/>
  <c r="Z339" i="42"/>
  <c r="Y339" i="42"/>
  <c r="AG339" i="42" s="1"/>
  <c r="AE338" i="42"/>
  <c r="AM338" i="42"/>
  <c r="AD338" i="42"/>
  <c r="AL338" i="42"/>
  <c r="AC338" i="42"/>
  <c r="AK338" i="42" s="1"/>
  <c r="AB338" i="42"/>
  <c r="AJ338" i="42" s="1"/>
  <c r="AA338" i="42"/>
  <c r="AI338" i="42"/>
  <c r="Z338" i="42"/>
  <c r="Y338" i="42"/>
  <c r="AG338" i="42"/>
  <c r="AE337" i="42"/>
  <c r="AM337" i="42"/>
  <c r="AD337" i="42"/>
  <c r="AL337" i="42"/>
  <c r="AC337" i="42"/>
  <c r="AK337" i="42" s="1"/>
  <c r="AB337" i="42"/>
  <c r="AJ337" i="42"/>
  <c r="AA337" i="42"/>
  <c r="AI337" i="42"/>
  <c r="Z337" i="42"/>
  <c r="Y337" i="42"/>
  <c r="AG337" i="42"/>
  <c r="AE336" i="42"/>
  <c r="AM336" i="42"/>
  <c r="AD336" i="42"/>
  <c r="AL336" i="42" s="1"/>
  <c r="AC336" i="42"/>
  <c r="AK336" i="42" s="1"/>
  <c r="AB336" i="42"/>
  <c r="AJ336" i="42"/>
  <c r="AA336" i="42"/>
  <c r="AI336" i="42"/>
  <c r="Z336" i="42"/>
  <c r="AH336" i="42" s="1"/>
  <c r="Y336" i="42"/>
  <c r="AE335" i="42"/>
  <c r="AM335" i="42"/>
  <c r="AD335" i="42"/>
  <c r="AL335" i="42" s="1"/>
  <c r="AC335" i="42"/>
  <c r="AK335" i="42"/>
  <c r="AB335" i="42"/>
  <c r="AJ335" i="42"/>
  <c r="AA335" i="42"/>
  <c r="AI335" i="42"/>
  <c r="Z335" i="42"/>
  <c r="AH335" i="42" s="1"/>
  <c r="Y335" i="42"/>
  <c r="AE334" i="42"/>
  <c r="AM334" i="42" s="1"/>
  <c r="AD334" i="42"/>
  <c r="AL334" i="42" s="1"/>
  <c r="AC334" i="42"/>
  <c r="AK334" i="42"/>
  <c r="AB334" i="42"/>
  <c r="AJ334" i="42"/>
  <c r="AA334" i="42"/>
  <c r="AI334" i="42" s="1"/>
  <c r="Z334" i="42"/>
  <c r="AH334" i="42" s="1"/>
  <c r="Y334" i="42"/>
  <c r="AE333" i="42"/>
  <c r="AM333" i="42" s="1"/>
  <c r="AD333" i="42"/>
  <c r="AL333" i="42"/>
  <c r="AC333" i="42"/>
  <c r="AK333" i="42"/>
  <c r="AB333" i="42"/>
  <c r="AJ333" i="42"/>
  <c r="AA333" i="42"/>
  <c r="AI333" i="42" s="1"/>
  <c r="Z333" i="42"/>
  <c r="AH333" i="42"/>
  <c r="Y333" i="42"/>
  <c r="AE332" i="42"/>
  <c r="AM332" i="42" s="1"/>
  <c r="AD332" i="42"/>
  <c r="AL332" i="42"/>
  <c r="AC332" i="42"/>
  <c r="AK332" i="42"/>
  <c r="AB332" i="42"/>
  <c r="AJ332" i="42" s="1"/>
  <c r="AA332" i="42"/>
  <c r="AI332" i="42" s="1"/>
  <c r="Z332" i="42"/>
  <c r="AH332" i="42"/>
  <c r="Y332" i="42"/>
  <c r="AE331" i="42"/>
  <c r="AM331" i="42"/>
  <c r="AD331" i="42"/>
  <c r="AL331" i="42"/>
  <c r="AC331" i="42"/>
  <c r="AK331" i="42"/>
  <c r="AB331" i="42"/>
  <c r="AJ331" i="42" s="1"/>
  <c r="AA331" i="42"/>
  <c r="AI331" i="42"/>
  <c r="Z331" i="42"/>
  <c r="AH331" i="42"/>
  <c r="Y331" i="42"/>
  <c r="K4" i="42"/>
  <c r="AO326" i="42" s="1"/>
  <c r="AE328" i="42"/>
  <c r="AM328" i="42"/>
  <c r="AD328" i="42"/>
  <c r="AL328" i="42" s="1"/>
  <c r="AC328" i="42"/>
  <c r="AK328" i="42" s="1"/>
  <c r="AB328" i="42"/>
  <c r="AJ328" i="42" s="1"/>
  <c r="AA328" i="42"/>
  <c r="AI328" i="42"/>
  <c r="Z328" i="42"/>
  <c r="AH328" i="42" s="1"/>
  <c r="Y328" i="42"/>
  <c r="AG328" i="42" s="1"/>
  <c r="AO327" i="42"/>
  <c r="AE327" i="42"/>
  <c r="AM327" i="42" s="1"/>
  <c r="AD327" i="42"/>
  <c r="AL327" i="42"/>
  <c r="AC327" i="42"/>
  <c r="AK327" i="42"/>
  <c r="AB327" i="42"/>
  <c r="AJ327" i="42"/>
  <c r="AA327" i="42"/>
  <c r="AI327" i="42" s="1"/>
  <c r="Z327" i="42"/>
  <c r="AH327" i="42"/>
  <c r="Y327" i="42"/>
  <c r="AG327" i="42"/>
  <c r="AE326" i="42"/>
  <c r="AM326" i="42" s="1"/>
  <c r="AD326" i="42"/>
  <c r="AL326" i="42"/>
  <c r="AC326" i="42"/>
  <c r="AK326" i="42" s="1"/>
  <c r="AB326" i="42"/>
  <c r="AJ326" i="42" s="1"/>
  <c r="AA326" i="42"/>
  <c r="AI326" i="42" s="1"/>
  <c r="Z326" i="42"/>
  <c r="Y326" i="42"/>
  <c r="AG326" i="42"/>
  <c r="AO325" i="42"/>
  <c r="AE325" i="42"/>
  <c r="AM325" i="42" s="1"/>
  <c r="AD325" i="42"/>
  <c r="AL325" i="42" s="1"/>
  <c r="AC325" i="42"/>
  <c r="AK325" i="42"/>
  <c r="AB325" i="42"/>
  <c r="AJ325" i="42" s="1"/>
  <c r="AA325" i="42"/>
  <c r="AI325" i="42" s="1"/>
  <c r="Z325" i="42"/>
  <c r="AH325" i="42" s="1"/>
  <c r="Y325" i="42"/>
  <c r="AG325" i="42"/>
  <c r="AO324" i="42"/>
  <c r="AE324" i="42"/>
  <c r="AM324" i="42"/>
  <c r="AD324" i="42"/>
  <c r="AL324" i="42"/>
  <c r="AC324" i="42"/>
  <c r="AK324" i="42" s="1"/>
  <c r="AB324" i="42"/>
  <c r="AA324" i="42"/>
  <c r="AI324" i="42" s="1"/>
  <c r="Z324" i="42"/>
  <c r="AH324" i="42" s="1"/>
  <c r="Y324" i="42"/>
  <c r="AG324" i="42" s="1"/>
  <c r="AE323" i="42"/>
  <c r="AM323" i="42"/>
  <c r="AD323" i="42"/>
  <c r="AL323" i="42"/>
  <c r="AC323" i="42"/>
  <c r="AK323" i="42"/>
  <c r="AB323" i="42"/>
  <c r="AJ323" i="42" s="1"/>
  <c r="AA323" i="42"/>
  <c r="AI323" i="42"/>
  <c r="Z323" i="42"/>
  <c r="AH323" i="42"/>
  <c r="Y323" i="42"/>
  <c r="AG323" i="42"/>
  <c r="AE322" i="42"/>
  <c r="AM322" i="42"/>
  <c r="AD322" i="42"/>
  <c r="AL322" i="42" s="1"/>
  <c r="AC322" i="42"/>
  <c r="AK322" i="42" s="1"/>
  <c r="AB322" i="42"/>
  <c r="AJ322" i="42" s="1"/>
  <c r="AA322" i="42"/>
  <c r="AI322" i="42"/>
  <c r="Z322" i="42"/>
  <c r="AH322" i="42" s="1"/>
  <c r="Y322" i="42"/>
  <c r="AG322" i="42" s="1"/>
  <c r="AO321" i="42"/>
  <c r="AE321" i="42"/>
  <c r="AM321" i="42" s="1"/>
  <c r="AD321" i="42"/>
  <c r="AL321" i="42"/>
  <c r="AC321" i="42"/>
  <c r="AK321" i="42"/>
  <c r="AB321" i="42"/>
  <c r="AJ321" i="42"/>
  <c r="AA321" i="42"/>
  <c r="AI321" i="42" s="1"/>
  <c r="Z321" i="42"/>
  <c r="AH321" i="42"/>
  <c r="Y321" i="42"/>
  <c r="AG321" i="42"/>
  <c r="AE320" i="42"/>
  <c r="AM320" i="42" s="1"/>
  <c r="AD320" i="42"/>
  <c r="AL320" i="42"/>
  <c r="AC320" i="42"/>
  <c r="AK320" i="42" s="1"/>
  <c r="AB320" i="42"/>
  <c r="AJ320" i="42" s="1"/>
  <c r="AA320" i="42"/>
  <c r="AI320" i="42" s="1"/>
  <c r="Z320" i="42"/>
  <c r="AH320" i="42"/>
  <c r="Y320" i="42"/>
  <c r="AG320" i="42" s="1"/>
  <c r="AO319" i="42"/>
  <c r="AE319" i="42"/>
  <c r="AM319" i="42"/>
  <c r="AD319" i="42"/>
  <c r="AL319" i="42" s="1"/>
  <c r="AC319" i="42"/>
  <c r="AK319" i="42"/>
  <c r="AB319" i="42"/>
  <c r="AJ319" i="42"/>
  <c r="AA319" i="42"/>
  <c r="AI319" i="42"/>
  <c r="Z319" i="42"/>
  <c r="AH319" i="42" s="1"/>
  <c r="Y319" i="42"/>
  <c r="AG319" i="42"/>
  <c r="AO318" i="42"/>
  <c r="AE318" i="42"/>
  <c r="AM318" i="42" s="1"/>
  <c r="AD318" i="42"/>
  <c r="AL318" i="42" s="1"/>
  <c r="AC318" i="42"/>
  <c r="AK318" i="42"/>
  <c r="AB318" i="42"/>
  <c r="AJ318" i="42" s="1"/>
  <c r="AA318" i="42"/>
  <c r="AI318" i="42" s="1"/>
  <c r="Z318" i="42"/>
  <c r="AH318" i="42" s="1"/>
  <c r="Y318" i="42"/>
  <c r="AG318" i="42"/>
  <c r="AO317" i="42"/>
  <c r="AE317" i="42"/>
  <c r="AM317" i="42"/>
  <c r="AD317" i="42"/>
  <c r="AL317" i="42"/>
  <c r="AC317" i="42"/>
  <c r="AK317" i="42" s="1"/>
  <c r="AB317" i="42"/>
  <c r="AJ317" i="42"/>
  <c r="AA317" i="42"/>
  <c r="AI317" i="42"/>
  <c r="Z317" i="42"/>
  <c r="AH317" i="42"/>
  <c r="Y317" i="42"/>
  <c r="AG317" i="42" s="1"/>
  <c r="AO316" i="42"/>
  <c r="AE316" i="42"/>
  <c r="AM316" i="42" s="1"/>
  <c r="AD316" i="42"/>
  <c r="AL316" i="42" s="1"/>
  <c r="AC316" i="42"/>
  <c r="AK316" i="42" s="1"/>
  <c r="AB316" i="42"/>
  <c r="AJ316" i="42"/>
  <c r="AA316" i="42"/>
  <c r="AI316" i="42" s="1"/>
  <c r="Z316" i="42"/>
  <c r="AH316" i="42" s="1"/>
  <c r="Y316" i="42"/>
  <c r="AG316" i="42" s="1"/>
  <c r="AE315" i="42"/>
  <c r="AM315" i="42"/>
  <c r="AD315" i="42"/>
  <c r="AL315" i="42"/>
  <c r="AC315" i="42"/>
  <c r="AK315" i="42"/>
  <c r="AB315" i="42"/>
  <c r="AJ315" i="42" s="1"/>
  <c r="AA315" i="42"/>
  <c r="AI315" i="42"/>
  <c r="Z315" i="42"/>
  <c r="AH315" i="42"/>
  <c r="Y315" i="42"/>
  <c r="AG315" i="42"/>
  <c r="AO314" i="42"/>
  <c r="AE314" i="42"/>
  <c r="AM314" i="42"/>
  <c r="AD314" i="42"/>
  <c r="AL314" i="42" s="1"/>
  <c r="AC314" i="42"/>
  <c r="AK314" i="42" s="1"/>
  <c r="AB314" i="42"/>
  <c r="AJ314" i="42" s="1"/>
  <c r="AA314" i="42"/>
  <c r="AI314" i="42"/>
  <c r="Z314" i="42"/>
  <c r="AH314" i="42" s="1"/>
  <c r="Y314" i="42"/>
  <c r="AG314" i="42" s="1"/>
  <c r="AO313" i="42"/>
  <c r="AE313" i="42"/>
  <c r="AM313" i="42" s="1"/>
  <c r="AD313" i="42"/>
  <c r="AL313" i="42"/>
  <c r="AC313" i="42"/>
  <c r="AK313" i="42"/>
  <c r="AB313" i="42"/>
  <c r="AJ313" i="42"/>
  <c r="AA313" i="42"/>
  <c r="AI313" i="42" s="1"/>
  <c r="Z313" i="42"/>
  <c r="AH313" i="42"/>
  <c r="Y313" i="42"/>
  <c r="AG313" i="42"/>
  <c r="AE312" i="42"/>
  <c r="AM312" i="42" s="1"/>
  <c r="AD312" i="42"/>
  <c r="AL312" i="42"/>
  <c r="AC312" i="42"/>
  <c r="AK312" i="42" s="1"/>
  <c r="AB312" i="42"/>
  <c r="AJ312" i="42" s="1"/>
  <c r="AA312" i="42"/>
  <c r="AI312" i="42" s="1"/>
  <c r="Z312" i="42"/>
  <c r="AH312" i="42"/>
  <c r="Y312" i="42"/>
  <c r="AG312" i="42" s="1"/>
  <c r="AO311" i="42"/>
  <c r="AE311" i="42"/>
  <c r="AM311" i="42"/>
  <c r="AD311" i="42"/>
  <c r="AL311" i="42" s="1"/>
  <c r="AC311" i="42"/>
  <c r="AK311" i="42"/>
  <c r="AB311" i="42"/>
  <c r="AJ311" i="42"/>
  <c r="AA311" i="42"/>
  <c r="AI311" i="42"/>
  <c r="Z311" i="42"/>
  <c r="AH311" i="42" s="1"/>
  <c r="Y311" i="42"/>
  <c r="AG311" i="42"/>
  <c r="AO310" i="42"/>
  <c r="AE310" i="42"/>
  <c r="AM310" i="42" s="1"/>
  <c r="AD310" i="42"/>
  <c r="AL310" i="42" s="1"/>
  <c r="AC310" i="42"/>
  <c r="AK310" i="42"/>
  <c r="AB310" i="42"/>
  <c r="AJ310" i="42" s="1"/>
  <c r="AA310" i="42"/>
  <c r="AI310" i="42" s="1"/>
  <c r="Z310" i="42"/>
  <c r="AH310" i="42" s="1"/>
  <c r="Y310" i="42"/>
  <c r="AG310" i="42"/>
  <c r="AO309" i="42"/>
  <c r="AE309" i="42"/>
  <c r="AM309" i="42"/>
  <c r="AD309" i="42"/>
  <c r="AL309" i="42"/>
  <c r="AC309" i="42"/>
  <c r="AK309" i="42" s="1"/>
  <c r="AB309" i="42"/>
  <c r="AJ309" i="42"/>
  <c r="AA309" i="42"/>
  <c r="AI309" i="42"/>
  <c r="Z309" i="42"/>
  <c r="AH309" i="42"/>
  <c r="Y309" i="42"/>
  <c r="AG309" i="42" s="1"/>
  <c r="AO308" i="42"/>
  <c r="AE308" i="42"/>
  <c r="AM308" i="42" s="1"/>
  <c r="AD308" i="42"/>
  <c r="AL308" i="42" s="1"/>
  <c r="AC308" i="42"/>
  <c r="AK308" i="42" s="1"/>
  <c r="AB308" i="42"/>
  <c r="AJ308" i="42"/>
  <c r="AA308" i="42"/>
  <c r="AI308" i="42" s="1"/>
  <c r="Z308" i="42"/>
  <c r="AH308" i="42" s="1"/>
  <c r="Y308" i="42"/>
  <c r="AG308" i="42" s="1"/>
  <c r="AO307" i="42"/>
  <c r="AE307" i="42"/>
  <c r="AM307" i="42"/>
  <c r="AD307" i="42"/>
  <c r="AL307" i="42"/>
  <c r="AC307" i="42"/>
  <c r="AK307" i="42"/>
  <c r="AB307" i="42"/>
  <c r="AJ307" i="42" s="1"/>
  <c r="AA307" i="42"/>
  <c r="AI307" i="42"/>
  <c r="Z307" i="42"/>
  <c r="AH307" i="42"/>
  <c r="Y307" i="42"/>
  <c r="AG307" i="42"/>
  <c r="AO306" i="42"/>
  <c r="AE306" i="42"/>
  <c r="AM306" i="42"/>
  <c r="AD306" i="42"/>
  <c r="AL306" i="42" s="1"/>
  <c r="AC306" i="42"/>
  <c r="AK306" i="42" s="1"/>
  <c r="AB306" i="42"/>
  <c r="AJ306" i="42" s="1"/>
  <c r="AA306" i="42"/>
  <c r="AI306" i="42"/>
  <c r="Z306" i="42"/>
  <c r="AH306" i="42" s="1"/>
  <c r="Y306" i="42"/>
  <c r="AG306" i="42" s="1"/>
  <c r="AO305" i="42"/>
  <c r="AE305" i="42"/>
  <c r="AM305" i="42" s="1"/>
  <c r="AD305" i="42"/>
  <c r="AL305" i="42"/>
  <c r="AC305" i="42"/>
  <c r="AK305" i="42"/>
  <c r="AB305" i="42"/>
  <c r="AJ305" i="42"/>
  <c r="AA305" i="42"/>
  <c r="AI305" i="42" s="1"/>
  <c r="Z305" i="42"/>
  <c r="AH305" i="42"/>
  <c r="Y305" i="42"/>
  <c r="AG305" i="42"/>
  <c r="AO304" i="42"/>
  <c r="AE304" i="42"/>
  <c r="AM304" i="42" s="1"/>
  <c r="AD304" i="42"/>
  <c r="AL304" i="42"/>
  <c r="AC304" i="42"/>
  <c r="AK304" i="42" s="1"/>
  <c r="AB304" i="42"/>
  <c r="AJ304" i="42" s="1"/>
  <c r="AA304" i="42"/>
  <c r="AI304" i="42" s="1"/>
  <c r="Z304" i="42"/>
  <c r="AH304" i="42"/>
  <c r="Y304" i="42"/>
  <c r="AG304" i="42" s="1"/>
  <c r="AO303" i="42"/>
  <c r="AE303" i="42"/>
  <c r="AM303" i="42"/>
  <c r="AD303" i="42"/>
  <c r="AL303" i="42" s="1"/>
  <c r="AC303" i="42"/>
  <c r="AK303" i="42"/>
  <c r="AB303" i="42"/>
  <c r="AJ303" i="42"/>
  <c r="AA303" i="42"/>
  <c r="AI303" i="42"/>
  <c r="Z303" i="42"/>
  <c r="AH303" i="42" s="1"/>
  <c r="Y303" i="42"/>
  <c r="AG303" i="42"/>
  <c r="AO302" i="42"/>
  <c r="AE302" i="42"/>
  <c r="AM302" i="42" s="1"/>
  <c r="AD302" i="42"/>
  <c r="AL302" i="42" s="1"/>
  <c r="AC302" i="42"/>
  <c r="AK302" i="42"/>
  <c r="AB302" i="42"/>
  <c r="AJ302" i="42" s="1"/>
  <c r="AA302" i="42"/>
  <c r="AI302" i="42" s="1"/>
  <c r="Z302" i="42"/>
  <c r="AH302" i="42" s="1"/>
  <c r="Y302" i="42"/>
  <c r="AG302" i="42"/>
  <c r="AO301" i="42"/>
  <c r="AE301" i="42"/>
  <c r="AM301" i="42"/>
  <c r="AD301" i="42"/>
  <c r="AL301" i="42"/>
  <c r="AC301" i="42"/>
  <c r="AK301" i="42" s="1"/>
  <c r="AB301" i="42"/>
  <c r="AJ301" i="42"/>
  <c r="AA301" i="42"/>
  <c r="AI301" i="42"/>
  <c r="Z301" i="42"/>
  <c r="AH301" i="42"/>
  <c r="Y301" i="42"/>
  <c r="AG301" i="42" s="1"/>
  <c r="AO300" i="42"/>
  <c r="AE300" i="42"/>
  <c r="AM300" i="42" s="1"/>
  <c r="AD300" i="42"/>
  <c r="AL300" i="42" s="1"/>
  <c r="AC300" i="42"/>
  <c r="AK300" i="42" s="1"/>
  <c r="AB300" i="42"/>
  <c r="AJ300" i="42"/>
  <c r="AA300" i="42"/>
  <c r="AI300" i="42" s="1"/>
  <c r="Z300" i="42"/>
  <c r="AH300" i="42" s="1"/>
  <c r="Y300" i="42"/>
  <c r="AG300" i="42" s="1"/>
  <c r="AO299" i="42"/>
  <c r="AE299" i="42"/>
  <c r="AM299" i="42"/>
  <c r="AD299" i="42"/>
  <c r="AL299" i="42"/>
  <c r="AC299" i="42"/>
  <c r="AK299" i="42"/>
  <c r="AB299" i="42"/>
  <c r="AJ299" i="42" s="1"/>
  <c r="AA299" i="42"/>
  <c r="AI299" i="42"/>
  <c r="Z299" i="42"/>
  <c r="AH299" i="42"/>
  <c r="Y299" i="42"/>
  <c r="AG299" i="42"/>
  <c r="AO298" i="42"/>
  <c r="AE298" i="42"/>
  <c r="AM298" i="42"/>
  <c r="AD298" i="42"/>
  <c r="AL298" i="42" s="1"/>
  <c r="AC298" i="42"/>
  <c r="AK298" i="42" s="1"/>
  <c r="AB298" i="42"/>
  <c r="AJ298" i="42" s="1"/>
  <c r="AA298" i="42"/>
  <c r="AI298" i="42"/>
  <c r="Z298" i="42"/>
  <c r="AH298" i="42" s="1"/>
  <c r="Y298" i="42"/>
  <c r="AG298" i="42" s="1"/>
  <c r="AO297" i="42"/>
  <c r="AE297" i="42"/>
  <c r="AM297" i="42" s="1"/>
  <c r="AD297" i="42"/>
  <c r="AL297" i="42"/>
  <c r="AC297" i="42"/>
  <c r="AK297" i="42"/>
  <c r="AB297" i="42"/>
  <c r="AJ297" i="42"/>
  <c r="AA297" i="42"/>
  <c r="AI297" i="42" s="1"/>
  <c r="Z297" i="42"/>
  <c r="AH297" i="42"/>
  <c r="Y297" i="42"/>
  <c r="AG297" i="42"/>
  <c r="AO296" i="42"/>
  <c r="AE296" i="42"/>
  <c r="AM296" i="42" s="1"/>
  <c r="AD296" i="42"/>
  <c r="AL296" i="42"/>
  <c r="AC296" i="42"/>
  <c r="AK296" i="42" s="1"/>
  <c r="AB296" i="42"/>
  <c r="AJ296" i="42" s="1"/>
  <c r="AA296" i="42"/>
  <c r="AI296" i="42" s="1"/>
  <c r="Z296" i="42"/>
  <c r="AH296" i="42"/>
  <c r="Y296" i="42"/>
  <c r="AG296" i="42" s="1"/>
  <c r="AO295" i="42"/>
  <c r="AE295" i="42"/>
  <c r="AM295" i="42"/>
  <c r="AD295" i="42"/>
  <c r="AL295" i="42" s="1"/>
  <c r="AC295" i="42"/>
  <c r="AK295" i="42"/>
  <c r="AB295" i="42"/>
  <c r="AJ295" i="42"/>
  <c r="AA295" i="42"/>
  <c r="AI295" i="42"/>
  <c r="Z295" i="42"/>
  <c r="AH295" i="42" s="1"/>
  <c r="Y295" i="42"/>
  <c r="AG295" i="42"/>
  <c r="AO294" i="42"/>
  <c r="AE294" i="42"/>
  <c r="AM294" i="42" s="1"/>
  <c r="AD294" i="42"/>
  <c r="AL294" i="42" s="1"/>
  <c r="AC294" i="42"/>
  <c r="AK294" i="42"/>
  <c r="AB294" i="42"/>
  <c r="AJ294" i="42" s="1"/>
  <c r="AA294" i="42"/>
  <c r="AI294" i="42" s="1"/>
  <c r="Z294" i="42"/>
  <c r="AH294" i="42" s="1"/>
  <c r="Y294" i="42"/>
  <c r="AG294" i="42"/>
  <c r="AO293" i="42"/>
  <c r="AE293" i="42"/>
  <c r="AM293" i="42"/>
  <c r="AD293" i="42"/>
  <c r="AL293" i="42"/>
  <c r="AC293" i="42"/>
  <c r="AK293" i="42" s="1"/>
  <c r="AB293" i="42"/>
  <c r="AJ293" i="42" s="1"/>
  <c r="AA293" i="42"/>
  <c r="AI293" i="42"/>
  <c r="Z293" i="42"/>
  <c r="AH293" i="42"/>
  <c r="Y293" i="42"/>
  <c r="AG293" i="42" s="1"/>
  <c r="AO292" i="42"/>
  <c r="AE292" i="42"/>
  <c r="AM292" i="42" s="1"/>
  <c r="AD292" i="42"/>
  <c r="AL292" i="42" s="1"/>
  <c r="AC292" i="42"/>
  <c r="AK292" i="42" s="1"/>
  <c r="AB292" i="42"/>
  <c r="AJ292" i="42"/>
  <c r="AA292" i="42"/>
  <c r="AI292" i="42" s="1"/>
  <c r="Z292" i="42"/>
  <c r="AH292" i="42" s="1"/>
  <c r="Y292" i="42"/>
  <c r="AG292" i="42" s="1"/>
  <c r="AO291" i="42"/>
  <c r="AE291" i="42"/>
  <c r="AM291" i="42"/>
  <c r="AD291" i="42"/>
  <c r="AL291" i="42"/>
  <c r="AC291" i="42"/>
  <c r="AK291" i="42"/>
  <c r="AB291" i="42"/>
  <c r="AJ291" i="42" s="1"/>
  <c r="AA291" i="42"/>
  <c r="AI291" i="42" s="1"/>
  <c r="Z291" i="42"/>
  <c r="AH291" i="42"/>
  <c r="Y291" i="42"/>
  <c r="AG291" i="42"/>
  <c r="AO290" i="42"/>
  <c r="AE290" i="42"/>
  <c r="AM290" i="42"/>
  <c r="AD290" i="42"/>
  <c r="AL290" i="42" s="1"/>
  <c r="AC290" i="42"/>
  <c r="AK290" i="42" s="1"/>
  <c r="AB290" i="42"/>
  <c r="AJ290" i="42" s="1"/>
  <c r="AA290" i="42"/>
  <c r="AI290" i="42"/>
  <c r="Z290" i="42"/>
  <c r="AH290" i="42" s="1"/>
  <c r="Y290" i="42"/>
  <c r="AG290" i="42" s="1"/>
  <c r="AO289" i="42"/>
  <c r="AE289" i="42"/>
  <c r="AM289" i="42" s="1"/>
  <c r="AD289" i="42"/>
  <c r="AL289" i="42"/>
  <c r="AC289" i="42"/>
  <c r="AK289" i="42"/>
  <c r="AB289" i="42"/>
  <c r="AJ289" i="42"/>
  <c r="AA289" i="42"/>
  <c r="AI289" i="42" s="1"/>
  <c r="Z289" i="42"/>
  <c r="AH289" i="42"/>
  <c r="Y289" i="42"/>
  <c r="AG289" i="42"/>
  <c r="AO288" i="42"/>
  <c r="AE288" i="42"/>
  <c r="AM288" i="42" s="1"/>
  <c r="AD288" i="42"/>
  <c r="AL288" i="42"/>
  <c r="AC288" i="42"/>
  <c r="AK288" i="42" s="1"/>
  <c r="AB288" i="42"/>
  <c r="AJ288" i="42" s="1"/>
  <c r="AA288" i="42"/>
  <c r="AI288" i="42" s="1"/>
  <c r="Z288" i="42"/>
  <c r="AH288" i="42"/>
  <c r="Y288" i="42"/>
  <c r="AG288" i="42" s="1"/>
  <c r="AO287" i="42"/>
  <c r="AE287" i="42"/>
  <c r="AM287" i="42"/>
  <c r="AD287" i="42"/>
  <c r="AL287" i="42" s="1"/>
  <c r="AC287" i="42"/>
  <c r="AK287" i="42" s="1"/>
  <c r="AB287" i="42"/>
  <c r="AJ287" i="42"/>
  <c r="AA287" i="42"/>
  <c r="AI287" i="42"/>
  <c r="Z287" i="42"/>
  <c r="AH287" i="42" s="1"/>
  <c r="Y287" i="42"/>
  <c r="AG287" i="42"/>
  <c r="AO286" i="42"/>
  <c r="AE286" i="42"/>
  <c r="AM286" i="42" s="1"/>
  <c r="AD286" i="42"/>
  <c r="AL286" i="42" s="1"/>
  <c r="AC286" i="42"/>
  <c r="AK286" i="42"/>
  <c r="AB286" i="42"/>
  <c r="AJ286" i="42" s="1"/>
  <c r="AA286" i="42"/>
  <c r="AI286" i="42" s="1"/>
  <c r="Z286" i="42"/>
  <c r="AH286" i="42" s="1"/>
  <c r="Y286" i="42"/>
  <c r="AG286" i="42"/>
  <c r="AO285" i="42"/>
  <c r="AE285" i="42"/>
  <c r="AM285" i="42"/>
  <c r="AD285" i="42"/>
  <c r="AL285" i="42"/>
  <c r="AC285" i="42"/>
  <c r="AK285" i="42" s="1"/>
  <c r="AB285" i="42"/>
  <c r="AJ285" i="42"/>
  <c r="AA285" i="42"/>
  <c r="AI285" i="42"/>
  <c r="Z285" i="42"/>
  <c r="AH285" i="42"/>
  <c r="Y285" i="42"/>
  <c r="AG285" i="42" s="1"/>
  <c r="AO284" i="42"/>
  <c r="AE284" i="42"/>
  <c r="AM284" i="42" s="1"/>
  <c r="AD284" i="42"/>
  <c r="AL284" i="42" s="1"/>
  <c r="AC284" i="42"/>
  <c r="AK284" i="42" s="1"/>
  <c r="AB284" i="42"/>
  <c r="AJ284" i="42"/>
  <c r="AA284" i="42"/>
  <c r="AI284" i="42" s="1"/>
  <c r="Z284" i="42"/>
  <c r="AH284" i="42" s="1"/>
  <c r="Y284" i="42"/>
  <c r="AG284" i="42" s="1"/>
  <c r="AO283" i="42"/>
  <c r="AE283" i="42"/>
  <c r="AM283" i="42"/>
  <c r="AD283" i="42"/>
  <c r="AL283" i="42"/>
  <c r="AC283" i="42"/>
  <c r="AK283" i="42"/>
  <c r="AB283" i="42"/>
  <c r="AJ283" i="42" s="1"/>
  <c r="AA283" i="42"/>
  <c r="AI283" i="42"/>
  <c r="Z283" i="42"/>
  <c r="AH283" i="42"/>
  <c r="Y283" i="42"/>
  <c r="AG283" i="42"/>
  <c r="AO282" i="42"/>
  <c r="AE282" i="42"/>
  <c r="AM282" i="42"/>
  <c r="AD282" i="42"/>
  <c r="AL282" i="42" s="1"/>
  <c r="AC282" i="42"/>
  <c r="AK282" i="42" s="1"/>
  <c r="AB282" i="42"/>
  <c r="AJ282" i="42" s="1"/>
  <c r="AA282" i="42"/>
  <c r="AI282" i="42"/>
  <c r="Z282" i="42"/>
  <c r="AH282" i="42" s="1"/>
  <c r="Y282" i="42"/>
  <c r="AG282" i="42" s="1"/>
  <c r="AO281" i="42"/>
  <c r="AE281" i="42"/>
  <c r="AM281" i="42" s="1"/>
  <c r="AD281" i="42"/>
  <c r="AL281" i="42"/>
  <c r="AC281" i="42"/>
  <c r="AK281" i="42"/>
  <c r="AB281" i="42"/>
  <c r="AJ281" i="42"/>
  <c r="AA281" i="42"/>
  <c r="AI281" i="42" s="1"/>
  <c r="Z281" i="42"/>
  <c r="AH281" i="42"/>
  <c r="Y281" i="42"/>
  <c r="AG281" i="42"/>
  <c r="AO280" i="42"/>
  <c r="AE280" i="42"/>
  <c r="AM280" i="42" s="1"/>
  <c r="AD280" i="42"/>
  <c r="AL280" i="42"/>
  <c r="AC280" i="42"/>
  <c r="AK280" i="42" s="1"/>
  <c r="AB280" i="42"/>
  <c r="AJ280" i="42" s="1"/>
  <c r="AA280" i="42"/>
  <c r="AI280" i="42" s="1"/>
  <c r="Z280" i="42"/>
  <c r="AH280" i="42"/>
  <c r="Y280" i="42"/>
  <c r="AG280" i="42" s="1"/>
  <c r="AO279" i="42"/>
  <c r="AE279" i="42"/>
  <c r="AM279" i="42"/>
  <c r="AD279" i="42"/>
  <c r="AL279" i="42" s="1"/>
  <c r="AC279" i="42"/>
  <c r="AK279" i="42" s="1"/>
  <c r="AB279" i="42"/>
  <c r="AJ279" i="42"/>
  <c r="AA279" i="42"/>
  <c r="AI279" i="42"/>
  <c r="Z279" i="42"/>
  <c r="AH279" i="42" s="1"/>
  <c r="Y279" i="42"/>
  <c r="AG279" i="42"/>
  <c r="AO278" i="42"/>
  <c r="AE278" i="42"/>
  <c r="AM278" i="42" s="1"/>
  <c r="AD278" i="42"/>
  <c r="AL278" i="42" s="1"/>
  <c r="AC278" i="42"/>
  <c r="AK278" i="42"/>
  <c r="AB278" i="42"/>
  <c r="AJ278" i="42" s="1"/>
  <c r="AA278" i="42"/>
  <c r="AI278" i="42" s="1"/>
  <c r="Z278" i="42"/>
  <c r="AH278" i="42" s="1"/>
  <c r="Y278" i="42"/>
  <c r="AG278" i="42"/>
  <c r="AO277" i="42"/>
  <c r="AE277" i="42"/>
  <c r="AM277" i="42"/>
  <c r="AD277" i="42"/>
  <c r="AL277" i="42"/>
  <c r="AC277" i="42"/>
  <c r="AK277" i="42" s="1"/>
  <c r="AB277" i="42"/>
  <c r="AJ277" i="42"/>
  <c r="AA277" i="42"/>
  <c r="AI277" i="42"/>
  <c r="Z277" i="42"/>
  <c r="AH277" i="42"/>
  <c r="Y277" i="42"/>
  <c r="AG277" i="42" s="1"/>
  <c r="AO276" i="42"/>
  <c r="AE276" i="42"/>
  <c r="AM276" i="42" s="1"/>
  <c r="AD276" i="42"/>
  <c r="AL276" i="42" s="1"/>
  <c r="AC276" i="42"/>
  <c r="AK276" i="42" s="1"/>
  <c r="AB276" i="42"/>
  <c r="AJ276" i="42"/>
  <c r="AA276" i="42"/>
  <c r="AI276" i="42" s="1"/>
  <c r="Z276" i="42"/>
  <c r="AH276" i="42" s="1"/>
  <c r="Y276" i="42"/>
  <c r="AG276" i="42" s="1"/>
  <c r="AO275" i="42"/>
  <c r="AE275" i="42"/>
  <c r="AM275" i="42"/>
  <c r="AD275" i="42"/>
  <c r="AL275" i="42"/>
  <c r="AC275" i="42"/>
  <c r="AK275" i="42"/>
  <c r="AB275" i="42"/>
  <c r="AJ275" i="42" s="1"/>
  <c r="AA275" i="42"/>
  <c r="AI275" i="42"/>
  <c r="Z275" i="42"/>
  <c r="AH275" i="42"/>
  <c r="Y275" i="42"/>
  <c r="AG275" i="42"/>
  <c r="AO274" i="42"/>
  <c r="AE274" i="42"/>
  <c r="AM274" i="42"/>
  <c r="AD274" i="42"/>
  <c r="AL274" i="42" s="1"/>
  <c r="AC274" i="42"/>
  <c r="AK274" i="42" s="1"/>
  <c r="AB274" i="42"/>
  <c r="AJ274" i="42" s="1"/>
  <c r="AA274" i="42"/>
  <c r="AI274" i="42"/>
  <c r="Z274" i="42"/>
  <c r="AH274" i="42" s="1"/>
  <c r="Y274" i="42"/>
  <c r="AG274" i="42" s="1"/>
  <c r="AO273" i="42"/>
  <c r="AE273" i="42"/>
  <c r="AM273" i="42" s="1"/>
  <c r="AD273" i="42"/>
  <c r="AL273" i="42"/>
  <c r="AC273" i="42"/>
  <c r="AK273" i="42"/>
  <c r="AB273" i="42"/>
  <c r="AJ273" i="42"/>
  <c r="AA273" i="42"/>
  <c r="AI273" i="42" s="1"/>
  <c r="Z273" i="42"/>
  <c r="AH273" i="42"/>
  <c r="Y273" i="42"/>
  <c r="AG273" i="42"/>
  <c r="AO272" i="42"/>
  <c r="AE272" i="42"/>
  <c r="AM272" i="42" s="1"/>
  <c r="AD272" i="42"/>
  <c r="AL272" i="42"/>
  <c r="AC272" i="42"/>
  <c r="AK272" i="42" s="1"/>
  <c r="AB272" i="42"/>
  <c r="AJ272" i="42" s="1"/>
  <c r="AA272" i="42"/>
  <c r="AI272" i="42" s="1"/>
  <c r="Z272" i="42"/>
  <c r="AH272" i="42"/>
  <c r="Y272" i="42"/>
  <c r="AG272" i="42" s="1"/>
  <c r="AO271" i="42"/>
  <c r="AE271" i="42"/>
  <c r="AM271" i="42"/>
  <c r="AD271" i="42"/>
  <c r="AL271" i="42" s="1"/>
  <c r="AC271" i="42"/>
  <c r="AK271" i="42" s="1"/>
  <c r="AB271" i="42"/>
  <c r="AJ271" i="42"/>
  <c r="AA271" i="42"/>
  <c r="AI271" i="42"/>
  <c r="Z271" i="42"/>
  <c r="AH271" i="42" s="1"/>
  <c r="Y271" i="42"/>
  <c r="AG271" i="42"/>
  <c r="AO270" i="42"/>
  <c r="AE270" i="42"/>
  <c r="AM270" i="42" s="1"/>
  <c r="AD270" i="42"/>
  <c r="AL270" i="42" s="1"/>
  <c r="AC270" i="42"/>
  <c r="AK270" i="42"/>
  <c r="AB270" i="42"/>
  <c r="AJ270" i="42" s="1"/>
  <c r="AA270" i="42"/>
  <c r="AI270" i="42" s="1"/>
  <c r="Z270" i="42"/>
  <c r="AH270" i="42" s="1"/>
  <c r="Y270" i="42"/>
  <c r="AG270" i="42"/>
  <c r="AO269" i="42"/>
  <c r="AE269" i="42"/>
  <c r="AM269" i="42"/>
  <c r="AD269" i="42"/>
  <c r="AL269" i="42"/>
  <c r="AC269" i="42"/>
  <c r="AK269" i="42" s="1"/>
  <c r="AB269" i="42"/>
  <c r="AJ269" i="42"/>
  <c r="AA269" i="42"/>
  <c r="Z269" i="42"/>
  <c r="AH269" i="42" s="1"/>
  <c r="Y269" i="42"/>
  <c r="AG269" i="42" s="1"/>
  <c r="AO268" i="42"/>
  <c r="AE268" i="42"/>
  <c r="AM268" i="42"/>
  <c r="AD268" i="42"/>
  <c r="AL268" i="42"/>
  <c r="AC268" i="42"/>
  <c r="AK268" i="42"/>
  <c r="AB268" i="42"/>
  <c r="AJ268" i="42" s="1"/>
  <c r="AA268" i="42"/>
  <c r="AI268" i="42"/>
  <c r="Z268" i="42"/>
  <c r="AH268" i="42"/>
  <c r="Y268" i="42"/>
  <c r="AG268" i="42"/>
  <c r="AO267" i="42"/>
  <c r="AE267" i="42"/>
  <c r="AM267" i="42"/>
  <c r="AD267" i="42"/>
  <c r="AL267" i="42" s="1"/>
  <c r="AC267" i="42"/>
  <c r="AK267" i="42" s="1"/>
  <c r="AB267" i="42"/>
  <c r="AJ267" i="42" s="1"/>
  <c r="AA267" i="42"/>
  <c r="AI267" i="42"/>
  <c r="Z267" i="42"/>
  <c r="AH267" i="42" s="1"/>
  <c r="Y267" i="42"/>
  <c r="AG267" i="42" s="1"/>
  <c r="AO266" i="42"/>
  <c r="AE266" i="42"/>
  <c r="AM266" i="42" s="1"/>
  <c r="AD266" i="42"/>
  <c r="AL266" i="42" s="1"/>
  <c r="AC266" i="42"/>
  <c r="AK266" i="42"/>
  <c r="AB266" i="42"/>
  <c r="AJ266" i="42"/>
  <c r="AA266" i="42"/>
  <c r="AI266" i="42" s="1"/>
  <c r="Z266" i="42"/>
  <c r="AH266" i="42"/>
  <c r="Y266" i="42"/>
  <c r="AG266" i="42"/>
  <c r="AO265" i="42"/>
  <c r="AE265" i="42"/>
  <c r="AM265" i="42" s="1"/>
  <c r="AD265" i="42"/>
  <c r="AL265" i="42"/>
  <c r="AC265" i="42"/>
  <c r="AK265" i="42" s="1"/>
  <c r="AB265" i="42"/>
  <c r="AA265" i="42"/>
  <c r="AI265" i="42"/>
  <c r="Z265" i="42"/>
  <c r="AH265" i="42" s="1"/>
  <c r="Y265" i="42"/>
  <c r="AG265" i="42" s="1"/>
  <c r="AO264" i="42"/>
  <c r="AE264" i="42"/>
  <c r="AM264" i="42" s="1"/>
  <c r="AD264" i="42"/>
  <c r="AL264" i="42" s="1"/>
  <c r="AC264" i="42"/>
  <c r="AK264" i="42"/>
  <c r="AB264" i="42"/>
  <c r="AJ264" i="42" s="1"/>
  <c r="AA264" i="42"/>
  <c r="AI264" i="42" s="1"/>
  <c r="Z264" i="42"/>
  <c r="AH264" i="42" s="1"/>
  <c r="Y264" i="42"/>
  <c r="AG264" i="42"/>
  <c r="AO263" i="42"/>
  <c r="AE263" i="42"/>
  <c r="AM263" i="42"/>
  <c r="AD263" i="42"/>
  <c r="AL263" i="42"/>
  <c r="AC263" i="42"/>
  <c r="AK263" i="42" s="1"/>
  <c r="AB263" i="42"/>
  <c r="AJ263" i="42"/>
  <c r="AA263" i="42"/>
  <c r="AI263" i="42"/>
  <c r="Z263" i="42"/>
  <c r="AH263" i="42"/>
  <c r="Y263" i="42"/>
  <c r="AG263" i="42" s="1"/>
  <c r="AO262" i="42"/>
  <c r="AE262" i="42"/>
  <c r="AM262" i="42" s="1"/>
  <c r="AD262" i="42"/>
  <c r="AL262" i="42" s="1"/>
  <c r="AC262" i="42"/>
  <c r="AK262" i="42" s="1"/>
  <c r="AB262" i="42"/>
  <c r="AJ262" i="42"/>
  <c r="AA262" i="42"/>
  <c r="AI262" i="42" s="1"/>
  <c r="Z262" i="42"/>
  <c r="AH262" i="42" s="1"/>
  <c r="Y262" i="42"/>
  <c r="AG262" i="42" s="1"/>
  <c r="AO261" i="42"/>
  <c r="AE261" i="42"/>
  <c r="AM261" i="42"/>
  <c r="AD261" i="42"/>
  <c r="AL261" i="42"/>
  <c r="AC261" i="42"/>
  <c r="AK261" i="42"/>
  <c r="AB261" i="42"/>
  <c r="AJ261" i="42" s="1"/>
  <c r="AA261" i="42"/>
  <c r="Z261" i="42"/>
  <c r="AH261" i="42" s="1"/>
  <c r="Y261" i="42"/>
  <c r="AG261" i="42" s="1"/>
  <c r="AO260" i="42"/>
  <c r="AE260" i="42"/>
  <c r="AM260" i="42" s="1"/>
  <c r="AD260" i="42"/>
  <c r="AL260" i="42" s="1"/>
  <c r="AC260" i="42"/>
  <c r="AK260" i="42"/>
  <c r="AB260" i="42"/>
  <c r="AJ260" i="42"/>
  <c r="AA260" i="42"/>
  <c r="Z260" i="42"/>
  <c r="AH260" i="42"/>
  <c r="Y260" i="42"/>
  <c r="AG260" i="42" s="1"/>
  <c r="AO259" i="42"/>
  <c r="AE259" i="42"/>
  <c r="AM259" i="42"/>
  <c r="AD259" i="42"/>
  <c r="AL259" i="42" s="1"/>
  <c r="AC259" i="42"/>
  <c r="AK259" i="42"/>
  <c r="AB259" i="42"/>
  <c r="AJ259" i="42"/>
  <c r="AA259" i="42"/>
  <c r="AI259" i="42"/>
  <c r="Z259" i="42"/>
  <c r="AH259" i="42" s="1"/>
  <c r="Y259" i="42"/>
  <c r="AG259" i="42" s="1"/>
  <c r="AO258" i="42"/>
  <c r="AE258" i="42"/>
  <c r="AM258" i="42" s="1"/>
  <c r="AD258" i="42"/>
  <c r="AL258" i="42" s="1"/>
  <c r="AC258" i="42"/>
  <c r="AK258" i="42"/>
  <c r="AB258" i="42"/>
  <c r="AJ258" i="42" s="1"/>
  <c r="AA258" i="42"/>
  <c r="AI258" i="42" s="1"/>
  <c r="Z258" i="42"/>
  <c r="AH258" i="42" s="1"/>
  <c r="Y258" i="42"/>
  <c r="AG258" i="42"/>
  <c r="AO257" i="42"/>
  <c r="AE257" i="42"/>
  <c r="AM257" i="42"/>
  <c r="AD257" i="42"/>
  <c r="AL257" i="42"/>
  <c r="AC257" i="42"/>
  <c r="AK257" i="42" s="1"/>
  <c r="AB257" i="42"/>
  <c r="AJ257" i="42"/>
  <c r="AA257" i="42"/>
  <c r="AI257" i="42"/>
  <c r="Z257" i="42"/>
  <c r="AH257" i="42"/>
  <c r="Y257" i="42"/>
  <c r="AG257" i="42" s="1"/>
  <c r="AO256" i="42"/>
  <c r="AE256" i="42"/>
  <c r="AM256" i="42" s="1"/>
  <c r="AD256" i="42"/>
  <c r="AL256" i="42" s="1"/>
  <c r="AC256" i="42"/>
  <c r="AK256" i="42" s="1"/>
  <c r="AB256" i="42"/>
  <c r="AJ256" i="42"/>
  <c r="AA256" i="42"/>
  <c r="AI256" i="42"/>
  <c r="Z256" i="42"/>
  <c r="AH256" i="42" s="1"/>
  <c r="Y256" i="42"/>
  <c r="AG256" i="42" s="1"/>
  <c r="AO255" i="42"/>
  <c r="AE255" i="42"/>
  <c r="AM255" i="42" s="1"/>
  <c r="AD255" i="42"/>
  <c r="AL255" i="42"/>
  <c r="AC255" i="42"/>
  <c r="AK255" i="42"/>
  <c r="AB255" i="42"/>
  <c r="AJ255" i="42" s="1"/>
  <c r="AA255" i="42"/>
  <c r="AI255" i="42"/>
  <c r="Z255" i="42"/>
  <c r="AH255" i="42"/>
  <c r="Y255" i="42"/>
  <c r="AG255" i="42"/>
  <c r="AO254" i="42"/>
  <c r="AE254" i="42"/>
  <c r="AM254" i="42"/>
  <c r="AD254" i="42"/>
  <c r="AL254" i="42" s="1"/>
  <c r="AC254" i="42"/>
  <c r="AK254" i="42" s="1"/>
  <c r="AB254" i="42"/>
  <c r="AJ254" i="42" s="1"/>
  <c r="AA254" i="42"/>
  <c r="AI254" i="42"/>
  <c r="Z254" i="42"/>
  <c r="AH254" i="42"/>
  <c r="Y254" i="42"/>
  <c r="AG254" i="42" s="1"/>
  <c r="AO253" i="42"/>
  <c r="AE253" i="42"/>
  <c r="AM253" i="42" s="1"/>
  <c r="AD253" i="42"/>
  <c r="AL253" i="42"/>
  <c r="AC253" i="42"/>
  <c r="AK253" i="42"/>
  <c r="AB253" i="42"/>
  <c r="AJ253" i="42"/>
  <c r="AA253" i="42"/>
  <c r="AI253" i="42" s="1"/>
  <c r="Z253" i="42"/>
  <c r="AH253" i="42"/>
  <c r="Y253" i="42"/>
  <c r="AG253" i="42" s="1"/>
  <c r="AO252" i="42"/>
  <c r="AE252" i="42"/>
  <c r="AM252" i="42" s="1"/>
  <c r="AD252" i="42"/>
  <c r="AL252" i="42"/>
  <c r="AC252" i="42"/>
  <c r="AK252" i="42"/>
  <c r="AB252" i="42"/>
  <c r="AJ252" i="42" s="1"/>
  <c r="AA252" i="42"/>
  <c r="AI252" i="42" s="1"/>
  <c r="Z252" i="42"/>
  <c r="AH252" i="42"/>
  <c r="Y252" i="42"/>
  <c r="AG252" i="42" s="1"/>
  <c r="AO251" i="42"/>
  <c r="AE251" i="42"/>
  <c r="AM251" i="42"/>
  <c r="AD251" i="42"/>
  <c r="AL251" i="42" s="1"/>
  <c r="AC251" i="42"/>
  <c r="AK251" i="42"/>
  <c r="AB251" i="42"/>
  <c r="AJ251" i="42" s="1"/>
  <c r="AA251" i="42"/>
  <c r="AI251" i="42"/>
  <c r="Z251" i="42"/>
  <c r="AH251" i="42" s="1"/>
  <c r="Y251" i="42"/>
  <c r="AG251" i="42"/>
  <c r="AO250" i="42"/>
  <c r="AE250" i="42"/>
  <c r="AM250" i="42" s="1"/>
  <c r="AD250" i="42"/>
  <c r="AL250" i="42" s="1"/>
  <c r="AC250" i="42"/>
  <c r="AK250" i="42"/>
  <c r="AB250" i="42"/>
  <c r="AJ250" i="42" s="1"/>
  <c r="AA250" i="42"/>
  <c r="AI250" i="42" s="1"/>
  <c r="Z250" i="42"/>
  <c r="AH250" i="42" s="1"/>
  <c r="Y250" i="42"/>
  <c r="AG250" i="42"/>
  <c r="AO249" i="42"/>
  <c r="AE249" i="42"/>
  <c r="AM249" i="42"/>
  <c r="AD249" i="42"/>
  <c r="AL249" i="42"/>
  <c r="AC249" i="42"/>
  <c r="AK249" i="42" s="1"/>
  <c r="AB249" i="42"/>
  <c r="AJ249" i="42" s="1"/>
  <c r="AA249" i="42"/>
  <c r="Z249" i="42"/>
  <c r="AH249" i="42" s="1"/>
  <c r="Y249" i="42"/>
  <c r="AG249" i="42" s="1"/>
  <c r="AO248" i="42"/>
  <c r="AE248" i="42"/>
  <c r="AM248" i="42"/>
  <c r="AD248" i="42"/>
  <c r="AL248" i="42" s="1"/>
  <c r="AC248" i="42"/>
  <c r="AK248" i="42"/>
  <c r="AB248" i="42"/>
  <c r="AJ248" i="42" s="1"/>
  <c r="AA248" i="42"/>
  <c r="Z248" i="42"/>
  <c r="AH248" i="42"/>
  <c r="Y248" i="42"/>
  <c r="AG248" i="42" s="1"/>
  <c r="AO247" i="42"/>
  <c r="AE247" i="42"/>
  <c r="AM247" i="42" s="1"/>
  <c r="AD247" i="42"/>
  <c r="AL247" i="42"/>
  <c r="AC247" i="42"/>
  <c r="AK247" i="42"/>
  <c r="AB247" i="42"/>
  <c r="AJ247" i="42"/>
  <c r="AA247" i="42"/>
  <c r="Z247" i="42"/>
  <c r="AH247" i="42"/>
  <c r="Y247" i="42"/>
  <c r="AG247" i="42" s="1"/>
  <c r="AO246" i="42"/>
  <c r="AE246" i="42"/>
  <c r="AM246" i="42"/>
  <c r="AD246" i="42"/>
  <c r="AL246" i="42" s="1"/>
  <c r="AC246" i="42"/>
  <c r="AK246" i="42"/>
  <c r="AB246" i="42"/>
  <c r="AJ246" i="42" s="1"/>
  <c r="AA246" i="42"/>
  <c r="Z246" i="42"/>
  <c r="AH246" i="42" s="1"/>
  <c r="Y246" i="42"/>
  <c r="AG246" i="42"/>
  <c r="AO245" i="42"/>
  <c r="AE245" i="42"/>
  <c r="AM245" i="42"/>
  <c r="AD245" i="42"/>
  <c r="AL245" i="42"/>
  <c r="AC245" i="42"/>
  <c r="AK245" i="42" s="1"/>
  <c r="AB245" i="42"/>
  <c r="AJ245" i="42" s="1"/>
  <c r="AA245" i="42"/>
  <c r="Z245" i="42"/>
  <c r="AH245" i="42" s="1"/>
  <c r="Y245" i="42"/>
  <c r="AG245" i="42" s="1"/>
  <c r="AO244" i="42"/>
  <c r="AE244" i="42"/>
  <c r="AM244" i="42"/>
  <c r="AD244" i="42"/>
  <c r="AL244" i="42"/>
  <c r="AC244" i="42"/>
  <c r="AK244" i="42"/>
  <c r="AB244" i="42"/>
  <c r="AJ244" i="42" s="1"/>
  <c r="AA244" i="42"/>
  <c r="Z244" i="42"/>
  <c r="AH244" i="42"/>
  <c r="Y244" i="42"/>
  <c r="AG244" i="42"/>
  <c r="AO243" i="42"/>
  <c r="AE243" i="42"/>
  <c r="AM243" i="42" s="1"/>
  <c r="AD243" i="42"/>
  <c r="AL243" i="42"/>
  <c r="AC243" i="42"/>
  <c r="AK243" i="42" s="1"/>
  <c r="AB243" i="42"/>
  <c r="AJ243" i="42"/>
  <c r="AA243" i="42"/>
  <c r="AI243" i="42" s="1"/>
  <c r="Z243" i="42"/>
  <c r="AH243" i="42"/>
  <c r="Y243" i="42"/>
  <c r="AG243" i="42" s="1"/>
  <c r="AO242" i="42"/>
  <c r="AE242" i="42"/>
  <c r="AM242" i="42"/>
  <c r="AD242" i="42"/>
  <c r="AL242" i="42"/>
  <c r="AC242" i="42"/>
  <c r="AK242" i="42"/>
  <c r="AB242" i="42"/>
  <c r="AJ242" i="42"/>
  <c r="AA242" i="42"/>
  <c r="AI242" i="42"/>
  <c r="Z242" i="42"/>
  <c r="AH242" i="42"/>
  <c r="Y242" i="42"/>
  <c r="AG242" i="42"/>
  <c r="AO241" i="42"/>
  <c r="AE241" i="42"/>
  <c r="AM241" i="42"/>
  <c r="AD241" i="42"/>
  <c r="AL241" i="42" s="1"/>
  <c r="AC241" i="42"/>
  <c r="AK241" i="42"/>
  <c r="AB241" i="42"/>
  <c r="AJ241" i="42" s="1"/>
  <c r="AA241" i="42"/>
  <c r="AI241" i="42"/>
  <c r="Z241" i="42"/>
  <c r="AH241" i="42" s="1"/>
  <c r="Y241" i="42"/>
  <c r="AG241" i="42"/>
  <c r="AO240" i="42"/>
  <c r="AE240" i="42"/>
  <c r="AM240" i="42"/>
  <c r="AD240" i="42"/>
  <c r="AL240" i="42"/>
  <c r="AC240" i="42"/>
  <c r="AK240" i="42"/>
  <c r="AB240" i="42"/>
  <c r="AJ240" i="42" s="1"/>
  <c r="AA240" i="42"/>
  <c r="AI240" i="42"/>
  <c r="Z240" i="42"/>
  <c r="AH240" i="42"/>
  <c r="Y240" i="42"/>
  <c r="AG240" i="42"/>
  <c r="AO239" i="42"/>
  <c r="AE239" i="42"/>
  <c r="AM239" i="42" s="1"/>
  <c r="AD239" i="42"/>
  <c r="AL239" i="42"/>
  <c r="AC239" i="42"/>
  <c r="AK239" i="42" s="1"/>
  <c r="AB239" i="42"/>
  <c r="AJ239" i="42"/>
  <c r="AA239" i="42"/>
  <c r="AI239" i="42" s="1"/>
  <c r="Z239" i="42"/>
  <c r="AH239" i="42"/>
  <c r="Y239" i="42"/>
  <c r="AG239" i="42" s="1"/>
  <c r="AO238" i="42"/>
  <c r="AE238" i="42"/>
  <c r="AM238" i="42" s="1"/>
  <c r="AD238" i="42"/>
  <c r="AL238" i="42"/>
  <c r="AC238" i="42"/>
  <c r="AK238" i="42"/>
  <c r="AB238" i="42"/>
  <c r="AJ238" i="42"/>
  <c r="AA238" i="42"/>
  <c r="Z238" i="42"/>
  <c r="AH238" i="42" s="1"/>
  <c r="Y238" i="42"/>
  <c r="AG238" i="42"/>
  <c r="AO237" i="42"/>
  <c r="AE237" i="42"/>
  <c r="AM237" i="42"/>
  <c r="AD237" i="42"/>
  <c r="AL237" i="42"/>
  <c r="AC237" i="42"/>
  <c r="AK237" i="42"/>
  <c r="AB237" i="42"/>
  <c r="AJ237" i="42"/>
  <c r="AA237" i="42"/>
  <c r="AI237" i="42"/>
  <c r="Z237" i="42"/>
  <c r="AH237" i="42"/>
  <c r="Y237" i="42"/>
  <c r="AG237" i="42"/>
  <c r="AO236" i="42"/>
  <c r="AE236" i="42"/>
  <c r="AM236" i="42" s="1"/>
  <c r="AD236" i="42"/>
  <c r="AL236" i="42"/>
  <c r="AC236" i="42"/>
  <c r="AK236" i="42" s="1"/>
  <c r="AB236" i="42"/>
  <c r="AJ236" i="42"/>
  <c r="AA236" i="42"/>
  <c r="Z236" i="42"/>
  <c r="AH236" i="42"/>
  <c r="Y236" i="42"/>
  <c r="AG236" i="42"/>
  <c r="AO235" i="42"/>
  <c r="AE235" i="42"/>
  <c r="AM235" i="42"/>
  <c r="AD235" i="42"/>
  <c r="AL235" i="42" s="1"/>
  <c r="AC235" i="42"/>
  <c r="AK235" i="42"/>
  <c r="AB235" i="42"/>
  <c r="AJ235" i="42" s="1"/>
  <c r="AA235" i="42"/>
  <c r="Z235" i="42"/>
  <c r="AH235" i="42"/>
  <c r="Y235" i="42"/>
  <c r="AG235" i="42"/>
  <c r="AO234" i="42"/>
  <c r="AE234" i="42"/>
  <c r="AM234" i="42" s="1"/>
  <c r="AD234" i="42"/>
  <c r="AL234" i="42"/>
  <c r="AC234" i="42"/>
  <c r="AK234" i="42" s="1"/>
  <c r="AB234" i="42"/>
  <c r="AJ234" i="42"/>
  <c r="AA234" i="42"/>
  <c r="Z234" i="42"/>
  <c r="AH234" i="42"/>
  <c r="Y234" i="42"/>
  <c r="AG234" i="42"/>
  <c r="AO233" i="42"/>
  <c r="AE233" i="42"/>
  <c r="AM233" i="42"/>
  <c r="AD233" i="42"/>
  <c r="AL233" i="42" s="1"/>
  <c r="AC233" i="42"/>
  <c r="AK233" i="42"/>
  <c r="AB233" i="42"/>
  <c r="AJ233" i="42" s="1"/>
  <c r="AA233" i="42"/>
  <c r="Z233" i="42"/>
  <c r="AH233" i="42"/>
  <c r="Y233" i="42"/>
  <c r="AG233" i="42"/>
  <c r="AO232" i="42"/>
  <c r="AE232" i="42"/>
  <c r="AM232" i="42" s="1"/>
  <c r="AD232" i="42"/>
  <c r="AL232" i="42"/>
  <c r="AC232" i="42"/>
  <c r="AK232" i="42" s="1"/>
  <c r="AB232" i="42"/>
  <c r="AJ232" i="42"/>
  <c r="AA232" i="42"/>
  <c r="Z232" i="42"/>
  <c r="AH232" i="42"/>
  <c r="Y232" i="42"/>
  <c r="AG232" i="42"/>
  <c r="AO231" i="42"/>
  <c r="AE231" i="42"/>
  <c r="AM231" i="42"/>
  <c r="AD231" i="42"/>
  <c r="AL231" i="42" s="1"/>
  <c r="AC231" i="42"/>
  <c r="AK231" i="42"/>
  <c r="AB231" i="42"/>
  <c r="AJ231" i="42" s="1"/>
  <c r="AA231" i="42"/>
  <c r="Z231" i="42"/>
  <c r="AH231" i="42"/>
  <c r="Y231" i="42"/>
  <c r="AG231" i="42"/>
  <c r="AO230" i="42"/>
  <c r="AE230" i="42"/>
  <c r="AM230" i="42" s="1"/>
  <c r="AD230" i="42"/>
  <c r="AL230" i="42"/>
  <c r="AC230" i="42"/>
  <c r="AK230" i="42" s="1"/>
  <c r="AB230" i="42"/>
  <c r="AJ230" i="42"/>
  <c r="AA230" i="42"/>
  <c r="AI230" i="42" s="1"/>
  <c r="Z230" i="42"/>
  <c r="AH230" i="42"/>
  <c r="Y230" i="42"/>
  <c r="AG230" i="42" s="1"/>
  <c r="AO229" i="42"/>
  <c r="AE229" i="42"/>
  <c r="AM229" i="42"/>
  <c r="AD229" i="42"/>
  <c r="AL229" i="42"/>
  <c r="AC229" i="42"/>
  <c r="AK229" i="42"/>
  <c r="AB229" i="42"/>
  <c r="AJ229" i="42"/>
  <c r="AA229" i="42"/>
  <c r="AI229" i="42"/>
  <c r="Z229" i="42"/>
  <c r="AH229" i="42"/>
  <c r="Y229" i="42"/>
  <c r="AG229" i="42"/>
  <c r="AO228" i="42"/>
  <c r="AE228" i="42"/>
  <c r="AM228" i="42"/>
  <c r="AD228" i="42"/>
  <c r="AL228" i="42" s="1"/>
  <c r="AC228" i="42"/>
  <c r="AK228" i="42"/>
  <c r="AB228" i="42"/>
  <c r="AJ228" i="42" s="1"/>
  <c r="AA228" i="42"/>
  <c r="AI228" i="42"/>
  <c r="Z228" i="42"/>
  <c r="AH228" i="42" s="1"/>
  <c r="Y228" i="42"/>
  <c r="AG228" i="42"/>
  <c r="AO227" i="42"/>
  <c r="AE227" i="42"/>
  <c r="AM227" i="42"/>
  <c r="AD227" i="42"/>
  <c r="AL227" i="42" s="1"/>
  <c r="AC227" i="42"/>
  <c r="AK227" i="42"/>
  <c r="AB227" i="42"/>
  <c r="AJ227" i="42"/>
  <c r="AA227" i="42"/>
  <c r="Z227" i="42"/>
  <c r="AH227" i="42"/>
  <c r="Y227" i="42"/>
  <c r="AG227" i="42" s="1"/>
  <c r="AO226" i="42"/>
  <c r="AE226" i="42"/>
  <c r="AM226" i="42"/>
  <c r="AD226" i="42"/>
  <c r="AL226" i="42"/>
  <c r="AC226" i="42"/>
  <c r="AK226" i="42"/>
  <c r="AB226" i="42"/>
  <c r="AJ226" i="42"/>
  <c r="AA226" i="42"/>
  <c r="Z226" i="42"/>
  <c r="AH226" i="42" s="1"/>
  <c r="Y226" i="42"/>
  <c r="AG226" i="42"/>
  <c r="AO225" i="42"/>
  <c r="AE225" i="42"/>
  <c r="AM225" i="42"/>
  <c r="AD225" i="42"/>
  <c r="AL225" i="42"/>
  <c r="AC225" i="42"/>
  <c r="AK225" i="42"/>
  <c r="AB225" i="42"/>
  <c r="AJ225" i="42"/>
  <c r="AA225" i="42"/>
  <c r="Z225" i="42"/>
  <c r="AH225" i="42"/>
  <c r="Y225" i="42"/>
  <c r="AG225" i="42" s="1"/>
  <c r="AO224" i="42"/>
  <c r="AE224" i="42"/>
  <c r="AM224" i="42"/>
  <c r="AD224" i="42"/>
  <c r="AL224" i="42"/>
  <c r="AC224" i="42"/>
  <c r="AK224" i="42"/>
  <c r="AB224" i="42"/>
  <c r="AJ224" i="42"/>
  <c r="AA224" i="42"/>
  <c r="AI224" i="42"/>
  <c r="Z224" i="42"/>
  <c r="AH224" i="42"/>
  <c r="Y224" i="42"/>
  <c r="AG224" i="42"/>
  <c r="AO223" i="42"/>
  <c r="AE223" i="42"/>
  <c r="AM223" i="42"/>
  <c r="AD223" i="42"/>
  <c r="AL223" i="42" s="1"/>
  <c r="AC223" i="42"/>
  <c r="AK223" i="42"/>
  <c r="AB223" i="42"/>
  <c r="AJ223" i="42" s="1"/>
  <c r="AA223" i="42"/>
  <c r="AI223" i="42"/>
  <c r="Z223" i="42"/>
  <c r="AH223" i="42" s="1"/>
  <c r="Y223" i="42"/>
  <c r="AG223" i="42"/>
  <c r="AO222" i="42"/>
  <c r="AE222" i="42"/>
  <c r="AM222" i="42"/>
  <c r="AD222" i="42"/>
  <c r="AL222" i="42"/>
  <c r="AC222" i="42"/>
  <c r="AK222" i="42"/>
  <c r="AB222" i="42"/>
  <c r="AA222" i="42"/>
  <c r="AI222" i="42" s="1"/>
  <c r="Z222" i="42"/>
  <c r="AH222" i="42"/>
  <c r="Y222" i="42"/>
  <c r="AG222" i="42" s="1"/>
  <c r="AO221" i="42"/>
  <c r="AE221" i="42"/>
  <c r="AM221" i="42"/>
  <c r="AD221" i="42"/>
  <c r="AL221" i="42"/>
  <c r="AC221" i="42"/>
  <c r="AK221" i="42" s="1"/>
  <c r="AB221" i="42"/>
  <c r="AJ221" i="42"/>
  <c r="AA221" i="42"/>
  <c r="Z221" i="42"/>
  <c r="AH221" i="42" s="1"/>
  <c r="Y221" i="42"/>
  <c r="AG221" i="42"/>
  <c r="AO220" i="42"/>
  <c r="AE220" i="42"/>
  <c r="AM220" i="42"/>
  <c r="AD220" i="42"/>
  <c r="AL220" i="42"/>
  <c r="AC220" i="42"/>
  <c r="AK220" i="42"/>
  <c r="AB220" i="42"/>
  <c r="AJ220" i="42"/>
  <c r="AA220" i="42"/>
  <c r="AI220" i="42"/>
  <c r="Z220" i="42"/>
  <c r="AH220" i="42"/>
  <c r="Y220" i="42"/>
  <c r="AG220" i="42"/>
  <c r="AO219" i="42"/>
  <c r="AE219" i="42"/>
  <c r="AM219" i="42" s="1"/>
  <c r="AD219" i="42"/>
  <c r="AL219" i="42"/>
  <c r="AC219" i="42"/>
  <c r="AK219" i="42" s="1"/>
  <c r="AB219" i="42"/>
  <c r="AJ219" i="42"/>
  <c r="AA219" i="42"/>
  <c r="Z219" i="42"/>
  <c r="AH219" i="42"/>
  <c r="Y219" i="42"/>
  <c r="AG219" i="42"/>
  <c r="AO218" i="42"/>
  <c r="AE218" i="42"/>
  <c r="AM218" i="42"/>
  <c r="AD218" i="42"/>
  <c r="AL218" i="42" s="1"/>
  <c r="AC218" i="42"/>
  <c r="AK218" i="42"/>
  <c r="AB218" i="42"/>
  <c r="AJ218" i="42" s="1"/>
  <c r="AA218" i="42"/>
  <c r="AI218" i="42"/>
  <c r="Z218" i="42"/>
  <c r="AH218" i="42" s="1"/>
  <c r="Y218" i="42"/>
  <c r="AG218" i="42"/>
  <c r="AO217" i="42"/>
  <c r="AE217" i="42"/>
  <c r="AM217" i="42"/>
  <c r="AD217" i="42"/>
  <c r="AL217" i="42"/>
  <c r="AC217" i="42"/>
  <c r="AK217" i="42"/>
  <c r="AB217" i="42"/>
  <c r="AJ217" i="42"/>
  <c r="AA217" i="42"/>
  <c r="AI217" i="42"/>
  <c r="Z217" i="42"/>
  <c r="AH217" i="42"/>
  <c r="Y217" i="42"/>
  <c r="AG217" i="42"/>
  <c r="AO216" i="42"/>
  <c r="AE216" i="42"/>
  <c r="AM216" i="42" s="1"/>
  <c r="AD216" i="42"/>
  <c r="AL216" i="42"/>
  <c r="AC216" i="42"/>
  <c r="AK216" i="42" s="1"/>
  <c r="AB216" i="42"/>
  <c r="AJ216" i="42"/>
  <c r="AA216" i="42"/>
  <c r="AI216" i="42" s="1"/>
  <c r="Z216" i="42"/>
  <c r="AH216" i="42"/>
  <c r="Y216" i="42"/>
  <c r="AG216" i="42" s="1"/>
  <c r="AO215" i="42"/>
  <c r="AE215" i="42"/>
  <c r="AM215" i="42"/>
  <c r="AD215" i="42"/>
  <c r="AL215" i="42"/>
  <c r="AC215" i="42"/>
  <c r="AK215" i="42"/>
  <c r="AB215" i="42"/>
  <c r="AJ215" i="42"/>
  <c r="AA215" i="42"/>
  <c r="Z215" i="42"/>
  <c r="AH215" i="42" s="1"/>
  <c r="Y215" i="42"/>
  <c r="AG215" i="42"/>
  <c r="AO214" i="42"/>
  <c r="AE214" i="42"/>
  <c r="AM214" i="42"/>
  <c r="AD214" i="42"/>
  <c r="AL214" i="42"/>
  <c r="AC214" i="42"/>
  <c r="AK214" i="42"/>
  <c r="AB214" i="42"/>
  <c r="AJ214" i="42"/>
  <c r="AA214" i="42"/>
  <c r="AI214" i="42"/>
  <c r="Z214" i="42"/>
  <c r="Y214" i="42"/>
  <c r="AG214" i="42" s="1"/>
  <c r="AE213" i="42"/>
  <c r="AM213" i="42"/>
  <c r="AD213" i="42"/>
  <c r="AL213" i="42" s="1"/>
  <c r="AC213" i="42"/>
  <c r="AK213" i="42"/>
  <c r="AB213" i="42"/>
  <c r="AJ213" i="42" s="1"/>
  <c r="AA213" i="42"/>
  <c r="Z213" i="42"/>
  <c r="Y213" i="42"/>
  <c r="AG213" i="42" s="1"/>
  <c r="AE212" i="42"/>
  <c r="AM212" i="42"/>
  <c r="AD212" i="42"/>
  <c r="AL212" i="42" s="1"/>
  <c r="AC212" i="42"/>
  <c r="AK212" i="42"/>
  <c r="AB212" i="42"/>
  <c r="AJ212" i="42" s="1"/>
  <c r="AA212" i="42"/>
  <c r="AI212" i="42"/>
  <c r="Z212" i="42"/>
  <c r="Y212" i="42"/>
  <c r="AG212" i="42"/>
  <c r="AO211" i="42"/>
  <c r="AE211" i="42"/>
  <c r="AM211" i="42" s="1"/>
  <c r="AD211" i="42"/>
  <c r="AL211" i="42"/>
  <c r="AC211" i="42"/>
  <c r="AK211" i="42" s="1"/>
  <c r="AB211" i="42"/>
  <c r="AJ211" i="42"/>
  <c r="AA211" i="42"/>
  <c r="Z211" i="42"/>
  <c r="Y211" i="42"/>
  <c r="AG211" i="42"/>
  <c r="AO210" i="42"/>
  <c r="AE210" i="42"/>
  <c r="AM210" i="42"/>
  <c r="AD210" i="42"/>
  <c r="AL210" i="42"/>
  <c r="AC210" i="42"/>
  <c r="AK210" i="42"/>
  <c r="AB210" i="42"/>
  <c r="AJ210" i="42"/>
  <c r="AA210" i="42"/>
  <c r="Z210" i="42"/>
  <c r="Y210" i="42"/>
  <c r="AG210" i="42"/>
  <c r="AO209" i="42"/>
  <c r="AE209" i="42"/>
  <c r="AM209" i="42"/>
  <c r="AD209" i="42"/>
  <c r="AL209" i="42" s="1"/>
  <c r="AC209" i="42"/>
  <c r="AK209" i="42"/>
  <c r="AB209" i="42"/>
  <c r="AJ209" i="42" s="1"/>
  <c r="AA209" i="42"/>
  <c r="Z209" i="42"/>
  <c r="Y209" i="42"/>
  <c r="AG209" i="42" s="1"/>
  <c r="AO208" i="42"/>
  <c r="AE208" i="42"/>
  <c r="AM208" i="42" s="1"/>
  <c r="AD208" i="42"/>
  <c r="AL208" i="42"/>
  <c r="AC208" i="42"/>
  <c r="AK208" i="42"/>
  <c r="AB208" i="42"/>
  <c r="AJ208" i="42"/>
  <c r="AA208" i="42"/>
  <c r="Z208" i="42"/>
  <c r="Y208" i="42"/>
  <c r="AG208" i="42"/>
  <c r="AO207" i="42"/>
  <c r="AE207" i="42"/>
  <c r="AM207" i="42" s="1"/>
  <c r="AD207" i="42"/>
  <c r="AL207" i="42"/>
  <c r="AC207" i="42"/>
  <c r="AK207" i="42" s="1"/>
  <c r="AB207" i="42"/>
  <c r="AJ207" i="42"/>
  <c r="AA207" i="42"/>
  <c r="AI207" i="42" s="1"/>
  <c r="Z207" i="42"/>
  <c r="Y207" i="42"/>
  <c r="AG207" i="42"/>
  <c r="AO206" i="42"/>
  <c r="AE206" i="42"/>
  <c r="AM206" i="42"/>
  <c r="AD206" i="42"/>
  <c r="AL206" i="42" s="1"/>
  <c r="AC206" i="42"/>
  <c r="AK206" i="42"/>
  <c r="AB206" i="42"/>
  <c r="AJ206" i="42" s="1"/>
  <c r="AA206" i="42"/>
  <c r="AI206" i="42"/>
  <c r="Z206" i="42"/>
  <c r="Y206" i="42"/>
  <c r="AG206" i="42"/>
  <c r="AE205" i="42"/>
  <c r="AM205" i="42" s="1"/>
  <c r="AD205" i="42"/>
  <c r="AL205" i="42"/>
  <c r="AC205" i="42"/>
  <c r="AK205" i="42"/>
  <c r="AB205" i="42"/>
  <c r="AJ205" i="42"/>
  <c r="AA205" i="42"/>
  <c r="AI205" i="42" s="1"/>
  <c r="Z205" i="42"/>
  <c r="AH205" i="42"/>
  <c r="Y205" i="42"/>
  <c r="AG205" i="42"/>
  <c r="AO204" i="42"/>
  <c r="AE204" i="42"/>
  <c r="AM204" i="42"/>
  <c r="AD204" i="42"/>
  <c r="AL204" i="42" s="1"/>
  <c r="AC204" i="42"/>
  <c r="AK204" i="42"/>
  <c r="AB204" i="42"/>
  <c r="AJ204" i="42" s="1"/>
  <c r="AA204" i="42"/>
  <c r="Z204" i="42"/>
  <c r="Y204" i="42"/>
  <c r="AG204" i="42" s="1"/>
  <c r="AE203" i="42"/>
  <c r="AM203" i="42"/>
  <c r="AD203" i="42"/>
  <c r="AL203" i="42" s="1"/>
  <c r="AC203" i="42"/>
  <c r="AK203" i="42"/>
  <c r="AB203" i="42"/>
  <c r="AJ203" i="42" s="1"/>
  <c r="AA203" i="42"/>
  <c r="AI203" i="42"/>
  <c r="Z203" i="42"/>
  <c r="Y203" i="42"/>
  <c r="AG203" i="42"/>
  <c r="AO202" i="42"/>
  <c r="AE202" i="42"/>
  <c r="AM202" i="42" s="1"/>
  <c r="AD202" i="42"/>
  <c r="AL202" i="42"/>
  <c r="AC202" i="42"/>
  <c r="AK202" i="42" s="1"/>
  <c r="AB202" i="42"/>
  <c r="AJ202" i="42"/>
  <c r="AA202" i="42"/>
  <c r="Z202" i="42"/>
  <c r="Y202" i="42"/>
  <c r="AG202" i="42"/>
  <c r="AO201" i="42"/>
  <c r="AE201" i="42"/>
  <c r="AM201" i="42"/>
  <c r="AD201" i="42"/>
  <c r="AL201" i="42"/>
  <c r="AC201" i="42"/>
  <c r="AK201" i="42"/>
  <c r="AB201" i="42"/>
  <c r="AJ201" i="42"/>
  <c r="AA201" i="42"/>
  <c r="Z201" i="42"/>
  <c r="Y201" i="42"/>
  <c r="AG201" i="42"/>
  <c r="AO200" i="42"/>
  <c r="AE200" i="42"/>
  <c r="AM200" i="42"/>
  <c r="AD200" i="42"/>
  <c r="AL200" i="42" s="1"/>
  <c r="AC200" i="42"/>
  <c r="AK200" i="42"/>
  <c r="AB200" i="42"/>
  <c r="AJ200" i="42" s="1"/>
  <c r="AA200" i="42"/>
  <c r="AI200" i="42"/>
  <c r="Z200" i="42"/>
  <c r="AH200" i="42" s="1"/>
  <c r="Y200" i="42"/>
  <c r="AG200" i="42"/>
  <c r="AO199" i="42"/>
  <c r="AE199" i="42"/>
  <c r="AM199" i="42"/>
  <c r="AD199" i="42"/>
  <c r="AL199" i="42"/>
  <c r="AC199" i="42"/>
  <c r="AK199" i="42"/>
  <c r="AB199" i="42"/>
  <c r="AJ199" i="42" s="1"/>
  <c r="AA199" i="42"/>
  <c r="AI199" i="42"/>
  <c r="Z199" i="42"/>
  <c r="AH199" i="42"/>
  <c r="Y199" i="42"/>
  <c r="AG199" i="42"/>
  <c r="AO198" i="42"/>
  <c r="AE198" i="42"/>
  <c r="AM198" i="42" s="1"/>
  <c r="AD198" i="42"/>
  <c r="AL198" i="42"/>
  <c r="AC198" i="42"/>
  <c r="AK198" i="42" s="1"/>
  <c r="AB198" i="42"/>
  <c r="AJ198" i="42" s="1"/>
  <c r="AA198" i="42"/>
  <c r="AI198" i="42" s="1"/>
  <c r="Z198" i="42"/>
  <c r="Y198" i="42"/>
  <c r="AG198" i="42"/>
  <c r="AO197" i="42"/>
  <c r="AE197" i="42"/>
  <c r="AM197" i="42"/>
  <c r="AD197" i="42"/>
  <c r="AL197" i="42" s="1"/>
  <c r="AC197" i="42"/>
  <c r="AK197" i="42"/>
  <c r="AB197" i="42"/>
  <c r="AJ197" i="42" s="1"/>
  <c r="AA197" i="42"/>
  <c r="AI197" i="42"/>
  <c r="Z197" i="42"/>
  <c r="AH197" i="42" s="1"/>
  <c r="Y197" i="42"/>
  <c r="AG197" i="42"/>
  <c r="AO196" i="42"/>
  <c r="AE196" i="42"/>
  <c r="AM196" i="42"/>
  <c r="AD196" i="42"/>
  <c r="AL196" i="42"/>
  <c r="AC196" i="42"/>
  <c r="AK196" i="42"/>
  <c r="AB196" i="42"/>
  <c r="AJ196" i="42"/>
  <c r="AA196" i="42"/>
  <c r="AI196" i="42"/>
  <c r="Z196" i="42"/>
  <c r="Y196" i="42"/>
  <c r="AG196" i="42" s="1"/>
  <c r="AO195" i="42"/>
  <c r="AE195" i="42"/>
  <c r="AM195" i="42"/>
  <c r="AD195" i="42"/>
  <c r="AL195" i="42"/>
  <c r="AC195" i="42"/>
  <c r="AK195" i="42" s="1"/>
  <c r="AB195" i="42"/>
  <c r="AJ195" i="42"/>
  <c r="AA195" i="42"/>
  <c r="AI195" i="42"/>
  <c r="Z195" i="42"/>
  <c r="Y195" i="42"/>
  <c r="AG195" i="42"/>
  <c r="AO194" i="42"/>
  <c r="AE194" i="42"/>
  <c r="AM194" i="42"/>
  <c r="AD194" i="42"/>
  <c r="AL194" i="42"/>
  <c r="AC194" i="42"/>
  <c r="AK194" i="42"/>
  <c r="AB194" i="42"/>
  <c r="AJ194" i="42" s="1"/>
  <c r="AA194" i="42"/>
  <c r="AI194" i="42"/>
  <c r="Z194" i="42"/>
  <c r="Y194" i="42"/>
  <c r="AG194" i="42" s="1"/>
  <c r="AO193" i="42"/>
  <c r="AE193" i="42"/>
  <c r="AD193" i="42"/>
  <c r="AC193" i="42"/>
  <c r="AB193" i="42"/>
  <c r="AJ193" i="42"/>
  <c r="AA193" i="42"/>
  <c r="AI193" i="42" s="1"/>
  <c r="Z193" i="42"/>
  <c r="AH193" i="42"/>
  <c r="Y193" i="42"/>
  <c r="AO192" i="42"/>
  <c r="AE192" i="42"/>
  <c r="AD192" i="42"/>
  <c r="AC192" i="42"/>
  <c r="AB192" i="42"/>
  <c r="AJ192" i="42"/>
  <c r="AA192" i="42"/>
  <c r="AI192" i="42"/>
  <c r="Z192" i="42"/>
  <c r="AH192" i="42"/>
  <c r="Y192" i="42"/>
  <c r="AO191" i="42"/>
  <c r="AE191" i="42"/>
  <c r="AD191" i="42"/>
  <c r="AC191" i="42"/>
  <c r="AB191" i="42"/>
  <c r="AJ191" i="42" s="1"/>
  <c r="AA191" i="42"/>
  <c r="AI191" i="42"/>
  <c r="Z191" i="42"/>
  <c r="AH191" i="42" s="1"/>
  <c r="Y191" i="42"/>
  <c r="AO190" i="42"/>
  <c r="AE190" i="42"/>
  <c r="AD190" i="42"/>
  <c r="AC190" i="42"/>
  <c r="AB190" i="42"/>
  <c r="AJ190" i="42"/>
  <c r="AA190" i="42"/>
  <c r="AI190" i="42"/>
  <c r="Z190" i="42"/>
  <c r="AH190" i="42" s="1"/>
  <c r="Y190" i="42"/>
  <c r="AO188" i="42"/>
  <c r="AE188" i="42"/>
  <c r="AD188" i="42"/>
  <c r="AC188" i="42"/>
  <c r="AB188" i="42"/>
  <c r="AJ188" i="42"/>
  <c r="AA188" i="42"/>
  <c r="AI188" i="42" s="1"/>
  <c r="Z188" i="42"/>
  <c r="AH188" i="42"/>
  <c r="Y188" i="42"/>
  <c r="AO187" i="42"/>
  <c r="AE187" i="42"/>
  <c r="AD187" i="42"/>
  <c r="AC187" i="42"/>
  <c r="AB187" i="42"/>
  <c r="AJ187" i="42"/>
  <c r="AA187" i="42"/>
  <c r="AI187" i="42"/>
  <c r="Z187" i="42"/>
  <c r="AH187" i="42"/>
  <c r="Y187" i="42"/>
  <c r="AO186" i="42"/>
  <c r="AE186" i="42"/>
  <c r="AD186" i="42"/>
  <c r="AC186" i="42"/>
  <c r="AB186" i="42"/>
  <c r="AJ186" i="42" s="1"/>
  <c r="AA186" i="42"/>
  <c r="AI186" i="42"/>
  <c r="Z186" i="42"/>
  <c r="AH186" i="42" s="1"/>
  <c r="Y186" i="42"/>
  <c r="AO185" i="42"/>
  <c r="AE185" i="42"/>
  <c r="AD185" i="42"/>
  <c r="AC185" i="42"/>
  <c r="AB185" i="42"/>
  <c r="AJ185" i="42"/>
  <c r="AA185" i="42"/>
  <c r="AI185" i="42"/>
  <c r="Z185" i="42"/>
  <c r="AH185" i="42"/>
  <c r="Y185" i="42"/>
  <c r="AO184" i="42"/>
  <c r="AE184" i="42"/>
  <c r="AM184" i="42"/>
  <c r="AD184" i="42"/>
  <c r="AL184" i="42"/>
  <c r="AC184" i="42"/>
  <c r="AK184" i="42"/>
  <c r="AB184" i="42"/>
  <c r="AJ184" i="42"/>
  <c r="AA184" i="42"/>
  <c r="AI184" i="42"/>
  <c r="Z184" i="42"/>
  <c r="AH184" i="42"/>
  <c r="Y184" i="42"/>
  <c r="AG184" i="42"/>
  <c r="AO183" i="42"/>
  <c r="AE183" i="42"/>
  <c r="AD183" i="42"/>
  <c r="AC183" i="42"/>
  <c r="AB183" i="42"/>
  <c r="AJ183" i="42"/>
  <c r="AA183" i="42"/>
  <c r="AI183" i="42"/>
  <c r="Z183" i="42"/>
  <c r="AH183" i="42"/>
  <c r="Y183" i="42"/>
  <c r="AO182" i="42"/>
  <c r="AE182" i="42"/>
  <c r="AD182" i="42"/>
  <c r="AC182" i="42"/>
  <c r="AB182" i="42"/>
  <c r="AJ182" i="42" s="1"/>
  <c r="AA182" i="42"/>
  <c r="AI182" i="42"/>
  <c r="Z182" i="42"/>
  <c r="AH182" i="42" s="1"/>
  <c r="Y182" i="42"/>
  <c r="AO181" i="42"/>
  <c r="AE181" i="42"/>
  <c r="AD181" i="42"/>
  <c r="AC181" i="42"/>
  <c r="AB181" i="42"/>
  <c r="AJ181" i="42"/>
  <c r="AA181" i="42"/>
  <c r="AI181" i="42"/>
  <c r="Z181" i="42"/>
  <c r="AH181" i="42"/>
  <c r="Y181" i="42"/>
  <c r="AO180" i="42"/>
  <c r="AE180" i="42"/>
  <c r="AD180" i="42"/>
  <c r="AC180" i="42"/>
  <c r="AB180" i="42"/>
  <c r="AJ180" i="42"/>
  <c r="AA180" i="42"/>
  <c r="AI180" i="42" s="1"/>
  <c r="Z180" i="42"/>
  <c r="AH180" i="42"/>
  <c r="Y180" i="42"/>
  <c r="AO179" i="42"/>
  <c r="AE179" i="42"/>
  <c r="AD179" i="42"/>
  <c r="AC179" i="42"/>
  <c r="AB179" i="42"/>
  <c r="AJ179" i="42"/>
  <c r="AA179" i="42"/>
  <c r="AI179" i="42" s="1"/>
  <c r="Z179" i="42"/>
  <c r="AH179" i="42"/>
  <c r="Y179" i="42"/>
  <c r="AO178" i="42"/>
  <c r="AE178" i="42"/>
  <c r="AD178" i="42"/>
  <c r="AC178" i="42"/>
  <c r="AB178" i="42"/>
  <c r="AJ178" i="42" s="1"/>
  <c r="AA178" i="42"/>
  <c r="AI178" i="42"/>
  <c r="Z178" i="42"/>
  <c r="AH178" i="42" s="1"/>
  <c r="Y178" i="42"/>
  <c r="AO177" i="42"/>
  <c r="AE177" i="42"/>
  <c r="AD177" i="42"/>
  <c r="AC177" i="42"/>
  <c r="AB177" i="42"/>
  <c r="AJ177" i="42"/>
  <c r="AA177" i="42"/>
  <c r="AI177" i="42"/>
  <c r="Z177" i="42"/>
  <c r="AH177" i="42" s="1"/>
  <c r="Y177" i="42"/>
  <c r="AO176" i="42"/>
  <c r="AE176" i="42"/>
  <c r="AD176" i="42"/>
  <c r="AC176" i="42"/>
  <c r="AB176" i="42"/>
  <c r="AJ176" i="42"/>
  <c r="AA176" i="42"/>
  <c r="AI176" i="42" s="1"/>
  <c r="Z176" i="42"/>
  <c r="AH176" i="42"/>
  <c r="Y176" i="42"/>
  <c r="AO175" i="42"/>
  <c r="AE175" i="42"/>
  <c r="AD175" i="42"/>
  <c r="AC175" i="42"/>
  <c r="AB175" i="42"/>
  <c r="AJ175" i="42"/>
  <c r="AA175" i="42"/>
  <c r="AI175" i="42" s="1"/>
  <c r="Z175" i="42"/>
  <c r="AH175" i="42"/>
  <c r="Y175" i="42"/>
  <c r="AO174" i="42"/>
  <c r="AE174" i="42"/>
  <c r="AD174" i="42"/>
  <c r="AC174" i="42"/>
  <c r="AB174" i="42"/>
  <c r="AJ174" i="42" s="1"/>
  <c r="AA174" i="42"/>
  <c r="AI174" i="42"/>
  <c r="Z174" i="42"/>
  <c r="AH174" i="42" s="1"/>
  <c r="Y174" i="42"/>
  <c r="AO173" i="42"/>
  <c r="AE173" i="42"/>
  <c r="AM173" i="42" s="1"/>
  <c r="AD173" i="42"/>
  <c r="AL173" i="42" s="1"/>
  <c r="AC173" i="42"/>
  <c r="AK173" i="42" s="1"/>
  <c r="AB173" i="42"/>
  <c r="AJ173" i="42"/>
  <c r="AA173" i="42"/>
  <c r="AI173" i="42" s="1"/>
  <c r="Z173" i="42"/>
  <c r="AH173" i="42"/>
  <c r="Y173" i="42"/>
  <c r="AG173" i="42" s="1"/>
  <c r="AO172" i="42"/>
  <c r="AE172" i="42"/>
  <c r="AD172" i="42"/>
  <c r="AC172" i="42"/>
  <c r="AB172" i="42"/>
  <c r="AJ172" i="42" s="1"/>
  <c r="AA172" i="42"/>
  <c r="AI172" i="42" s="1"/>
  <c r="Z172" i="42"/>
  <c r="AH172" i="42"/>
  <c r="Y172" i="42"/>
  <c r="AE171" i="42"/>
  <c r="AM171" i="42"/>
  <c r="AD171" i="42"/>
  <c r="AL171" i="42" s="1"/>
  <c r="AC171" i="42"/>
  <c r="AK171" i="42"/>
  <c r="AB171" i="42"/>
  <c r="AJ171" i="42" s="1"/>
  <c r="AA171" i="42"/>
  <c r="AI171" i="42"/>
  <c r="Z171" i="42"/>
  <c r="AH171" i="42" s="1"/>
  <c r="Y171" i="42"/>
  <c r="AG171" i="42"/>
  <c r="AO170" i="42"/>
  <c r="AE170" i="42"/>
  <c r="AD170" i="42"/>
  <c r="AC170" i="42"/>
  <c r="AB170" i="42"/>
  <c r="AJ170" i="42" s="1"/>
  <c r="AA170" i="42"/>
  <c r="AI170" i="42"/>
  <c r="Z170" i="42"/>
  <c r="AH170" i="42" s="1"/>
  <c r="Y170" i="42"/>
  <c r="AO169" i="42"/>
  <c r="AE169" i="42"/>
  <c r="AD169" i="42"/>
  <c r="AC169" i="42"/>
  <c r="AB169" i="42"/>
  <c r="AJ169" i="42"/>
  <c r="AA169" i="42"/>
  <c r="AI169" i="42" s="1"/>
  <c r="Z169" i="42"/>
  <c r="AH169" i="42"/>
  <c r="Y169" i="42"/>
  <c r="AO168" i="42"/>
  <c r="AE168" i="42"/>
  <c r="AD168" i="42"/>
  <c r="AC168" i="42"/>
  <c r="AB168" i="42"/>
  <c r="AJ168" i="42"/>
  <c r="AA168" i="42"/>
  <c r="AI168" i="42"/>
  <c r="Z168" i="42"/>
  <c r="AH168" i="42"/>
  <c r="Y168" i="42"/>
  <c r="AO167" i="42"/>
  <c r="AE167" i="42"/>
  <c r="AM167" i="42"/>
  <c r="AD167" i="42"/>
  <c r="AL167" i="42"/>
  <c r="AC167" i="42"/>
  <c r="AK167" i="42"/>
  <c r="AB167" i="42"/>
  <c r="AJ167" i="42"/>
  <c r="AA167" i="42"/>
  <c r="AI167" i="42"/>
  <c r="Z167" i="42"/>
  <c r="AH167" i="42"/>
  <c r="Y167" i="42"/>
  <c r="AG167" i="42"/>
  <c r="AO166" i="42"/>
  <c r="AE166" i="42"/>
  <c r="AM166" i="42" s="1"/>
  <c r="AD166" i="42"/>
  <c r="AL166" i="42"/>
  <c r="AC166" i="42"/>
  <c r="AK166" i="42" s="1"/>
  <c r="AB166" i="42"/>
  <c r="AJ166" i="42"/>
  <c r="AA166" i="42"/>
  <c r="AI166" i="42" s="1"/>
  <c r="Z166" i="42"/>
  <c r="AH166" i="42"/>
  <c r="Y166" i="42"/>
  <c r="AG166" i="42" s="1"/>
  <c r="AO165" i="42"/>
  <c r="AE165" i="42"/>
  <c r="AD165" i="42"/>
  <c r="AC165" i="42"/>
  <c r="AB165" i="42"/>
  <c r="AJ165" i="42"/>
  <c r="AA165" i="42"/>
  <c r="AI165" i="42" s="1"/>
  <c r="Z165" i="42"/>
  <c r="Y165" i="42"/>
  <c r="AO164" i="42"/>
  <c r="AE164" i="42"/>
  <c r="AD164" i="42"/>
  <c r="AC164" i="42"/>
  <c r="AB164" i="42"/>
  <c r="AJ164" i="42" s="1"/>
  <c r="AA164" i="42"/>
  <c r="AI164" i="42"/>
  <c r="Z164" i="42"/>
  <c r="AH164" i="42" s="1"/>
  <c r="Y164" i="42"/>
  <c r="AO163" i="42"/>
  <c r="AE163" i="42"/>
  <c r="AD163" i="42"/>
  <c r="AC163" i="42"/>
  <c r="AB163" i="42"/>
  <c r="AJ163" i="42" s="1"/>
  <c r="AA163" i="42"/>
  <c r="AI163" i="42"/>
  <c r="Z163" i="42"/>
  <c r="AH163" i="42" s="1"/>
  <c r="Y163" i="42"/>
  <c r="AO162" i="42"/>
  <c r="AE162" i="42"/>
  <c r="AD162" i="42"/>
  <c r="AC162" i="42"/>
  <c r="AB162" i="42"/>
  <c r="AJ162" i="42"/>
  <c r="AA162" i="42"/>
  <c r="AI162" i="42" s="1"/>
  <c r="Z162" i="42"/>
  <c r="AH162" i="42"/>
  <c r="Y162" i="42"/>
  <c r="AO161" i="42"/>
  <c r="AE161" i="42"/>
  <c r="AD161" i="42"/>
  <c r="AC161" i="42"/>
  <c r="AB161" i="42"/>
  <c r="AJ161" i="42"/>
  <c r="AA161" i="42"/>
  <c r="AI161" i="42" s="1"/>
  <c r="Z161" i="42"/>
  <c r="AH161" i="42"/>
  <c r="Y161" i="42"/>
  <c r="AO160" i="42"/>
  <c r="AE160" i="42"/>
  <c r="AD160" i="42"/>
  <c r="AC160" i="42"/>
  <c r="AB160" i="42"/>
  <c r="AJ160" i="42" s="1"/>
  <c r="AA160" i="42"/>
  <c r="AI160" i="42"/>
  <c r="Z160" i="42"/>
  <c r="AH160" i="42" s="1"/>
  <c r="Y160" i="42"/>
  <c r="AO159" i="42"/>
  <c r="AE159" i="42"/>
  <c r="AD159" i="42"/>
  <c r="AC159" i="42"/>
  <c r="AB159" i="42"/>
  <c r="AJ159" i="42"/>
  <c r="AA159" i="42"/>
  <c r="AI159" i="42"/>
  <c r="Z159" i="42"/>
  <c r="Y159" i="42"/>
  <c r="AO158" i="42"/>
  <c r="AE158" i="42"/>
  <c r="AD158" i="42"/>
  <c r="AC158" i="42"/>
  <c r="AB158" i="42"/>
  <c r="AJ158" i="42"/>
  <c r="AA158" i="42"/>
  <c r="AI158" i="42"/>
  <c r="Z158" i="42"/>
  <c r="AH158" i="42"/>
  <c r="Y158" i="42"/>
  <c r="AO157" i="42"/>
  <c r="AE157" i="42"/>
  <c r="AM157" i="42"/>
  <c r="AD157" i="42"/>
  <c r="AL157" i="42"/>
  <c r="AC157" i="42"/>
  <c r="AK157" i="42"/>
  <c r="AB157" i="42"/>
  <c r="AJ157" i="42"/>
  <c r="AA157" i="42"/>
  <c r="AI157" i="42"/>
  <c r="Z157" i="42"/>
  <c r="AH157" i="42"/>
  <c r="Y157" i="42"/>
  <c r="AG157" i="42"/>
  <c r="AO156" i="42"/>
  <c r="AE156" i="42"/>
  <c r="AD156" i="42"/>
  <c r="AC156" i="42"/>
  <c r="AB156" i="42"/>
  <c r="AJ156" i="42"/>
  <c r="AA156" i="42"/>
  <c r="AI156" i="42"/>
  <c r="Z156" i="42"/>
  <c r="AH156" i="42"/>
  <c r="Y156" i="42"/>
  <c r="AO155" i="42"/>
  <c r="AE155" i="42"/>
  <c r="AD155" i="42"/>
  <c r="AC155" i="42"/>
  <c r="AB155" i="42"/>
  <c r="AJ155" i="42" s="1"/>
  <c r="AA155" i="42"/>
  <c r="AI155" i="42" s="1"/>
  <c r="Z155" i="42"/>
  <c r="Y155" i="42"/>
  <c r="AO154" i="42"/>
  <c r="AE154" i="42"/>
  <c r="AD154" i="42"/>
  <c r="AC154" i="42"/>
  <c r="AB154" i="42"/>
  <c r="AJ154" i="42" s="1"/>
  <c r="AA154" i="42"/>
  <c r="AI154" i="42"/>
  <c r="Z154" i="42"/>
  <c r="AH154" i="42" s="1"/>
  <c r="Y154" i="42"/>
  <c r="AO153" i="42"/>
  <c r="AE153" i="42"/>
  <c r="AD153" i="42"/>
  <c r="AC153" i="42"/>
  <c r="AB153" i="42"/>
  <c r="AJ153" i="42"/>
  <c r="AA153" i="42"/>
  <c r="AI153" i="42"/>
  <c r="Z153" i="42"/>
  <c r="AH153" i="42"/>
  <c r="Y153" i="42"/>
  <c r="AO152" i="42"/>
  <c r="AE152" i="42"/>
  <c r="AD152" i="42"/>
  <c r="AC152" i="42"/>
  <c r="AB152" i="42"/>
  <c r="AJ152" i="42"/>
  <c r="AA152" i="42"/>
  <c r="AI152" i="42" s="1"/>
  <c r="Z152" i="42"/>
  <c r="AH152" i="42"/>
  <c r="Y152" i="42"/>
  <c r="AO151" i="42"/>
  <c r="AE151" i="42"/>
  <c r="AD151" i="42"/>
  <c r="AC151" i="42"/>
  <c r="AB151" i="42"/>
  <c r="AJ151" i="42"/>
  <c r="AA151" i="42"/>
  <c r="AI151" i="42"/>
  <c r="Z151" i="42"/>
  <c r="AH151" i="42"/>
  <c r="Y151" i="42"/>
  <c r="AO150" i="42"/>
  <c r="AE150" i="42"/>
  <c r="AM150" i="42"/>
  <c r="AD150" i="42"/>
  <c r="AL150" i="42"/>
  <c r="AC150" i="42"/>
  <c r="AK150" i="42"/>
  <c r="AB150" i="42"/>
  <c r="AJ150" i="42"/>
  <c r="AA150" i="42"/>
  <c r="AI150" i="42"/>
  <c r="Z150" i="42"/>
  <c r="AH150" i="42"/>
  <c r="Y150" i="42"/>
  <c r="AO149" i="42"/>
  <c r="AE149" i="42"/>
  <c r="AM149" i="42"/>
  <c r="AD149" i="42"/>
  <c r="AL149" i="42"/>
  <c r="AC149" i="42"/>
  <c r="AK149" i="42"/>
  <c r="AB149" i="42"/>
  <c r="AJ149" i="42"/>
  <c r="AA149" i="42"/>
  <c r="AI149" i="42"/>
  <c r="Z149" i="42"/>
  <c r="AH149" i="42"/>
  <c r="Y149" i="42"/>
  <c r="AO148" i="42"/>
  <c r="AE148" i="42"/>
  <c r="AD148" i="42"/>
  <c r="AC148" i="42"/>
  <c r="AB148" i="42"/>
  <c r="AJ148" i="42" s="1"/>
  <c r="AA148" i="42"/>
  <c r="AI148" i="42"/>
  <c r="Z148" i="42"/>
  <c r="Y148" i="42"/>
  <c r="AO147" i="42"/>
  <c r="AE147" i="42"/>
  <c r="AD147" i="42"/>
  <c r="AC147" i="42"/>
  <c r="AB147" i="42"/>
  <c r="AJ147" i="42"/>
  <c r="AA147" i="42"/>
  <c r="AI147" i="42" s="1"/>
  <c r="Z147" i="42"/>
  <c r="AH147" i="42" s="1"/>
  <c r="Y147" i="42"/>
  <c r="AO146" i="42"/>
  <c r="AE146" i="42"/>
  <c r="AD146" i="42"/>
  <c r="AC146" i="42"/>
  <c r="AB146" i="42"/>
  <c r="AJ146" i="42"/>
  <c r="AA146" i="42"/>
  <c r="AI146" i="42"/>
  <c r="Z146" i="42"/>
  <c r="AH146" i="42"/>
  <c r="Y146" i="42"/>
  <c r="AO145" i="42"/>
  <c r="AE145" i="42"/>
  <c r="AD145" i="42"/>
  <c r="AC145" i="42"/>
  <c r="AB145" i="42"/>
  <c r="AJ145" i="42" s="1"/>
  <c r="AA145" i="42"/>
  <c r="AI145" i="42"/>
  <c r="Z145" i="42"/>
  <c r="AH145" i="42" s="1"/>
  <c r="Y145" i="42"/>
  <c r="AO144" i="42"/>
  <c r="AE144" i="42"/>
  <c r="AD144" i="42"/>
  <c r="AC144" i="42"/>
  <c r="AB144" i="42"/>
  <c r="AJ144" i="42"/>
  <c r="AA144" i="42"/>
  <c r="AI144" i="42"/>
  <c r="Z144" i="42"/>
  <c r="AH144" i="42"/>
  <c r="Y144" i="42"/>
  <c r="AO143" i="42"/>
  <c r="AE143" i="42"/>
  <c r="AD143" i="42"/>
  <c r="AC143" i="42"/>
  <c r="AB143" i="42"/>
  <c r="AJ143" i="42" s="1"/>
  <c r="AA143" i="42"/>
  <c r="AI143" i="42" s="1"/>
  <c r="Z143" i="42"/>
  <c r="AH143" i="42"/>
  <c r="Y143" i="42"/>
  <c r="AO142" i="42"/>
  <c r="AE142" i="42"/>
  <c r="AD142" i="42"/>
  <c r="AC142" i="42"/>
  <c r="AB142" i="42"/>
  <c r="AJ142" i="42"/>
  <c r="AA142" i="42"/>
  <c r="AI142" i="42" s="1"/>
  <c r="Z142" i="42"/>
  <c r="AH142" i="42"/>
  <c r="Y142" i="42"/>
  <c r="AO141" i="42"/>
  <c r="AE141" i="42"/>
  <c r="AD141" i="42"/>
  <c r="AC141" i="42"/>
  <c r="AB141" i="42"/>
  <c r="AJ141" i="42" s="1"/>
  <c r="AA141" i="42"/>
  <c r="AI141" i="42"/>
  <c r="Z141" i="42"/>
  <c r="AH141" i="42" s="1"/>
  <c r="Y141" i="42"/>
  <c r="AO140" i="42"/>
  <c r="AE140" i="42"/>
  <c r="AD140" i="42"/>
  <c r="AC140" i="42"/>
  <c r="AB140" i="42"/>
  <c r="AJ140" i="42"/>
  <c r="AA140" i="42"/>
  <c r="AI140" i="42"/>
  <c r="Z140" i="42"/>
  <c r="AH140" i="42" s="1"/>
  <c r="Y140" i="42"/>
  <c r="AO139" i="42"/>
  <c r="AE139" i="42"/>
  <c r="AD139" i="42"/>
  <c r="AC139" i="42"/>
  <c r="AB139" i="42"/>
  <c r="AJ139" i="42"/>
  <c r="AA139" i="42"/>
  <c r="AI139" i="42" s="1"/>
  <c r="Z139" i="42"/>
  <c r="AH139" i="42" s="1"/>
  <c r="Y139" i="42"/>
  <c r="AO138" i="42"/>
  <c r="AE138" i="42"/>
  <c r="AM138" i="42" s="1"/>
  <c r="AD138" i="42"/>
  <c r="AC138" i="42"/>
  <c r="AB138" i="42"/>
  <c r="AJ138" i="42" s="1"/>
  <c r="AA138" i="42"/>
  <c r="AI138" i="42" s="1"/>
  <c r="Z138" i="42"/>
  <c r="AH138" i="42"/>
  <c r="Y138" i="42"/>
  <c r="AO137" i="42"/>
  <c r="AE137" i="42"/>
  <c r="AM137" i="42"/>
  <c r="AD137" i="42"/>
  <c r="AL137" i="42" s="1"/>
  <c r="AC137" i="42"/>
  <c r="AK137" i="42"/>
  <c r="AB137" i="42"/>
  <c r="AJ137" i="42" s="1"/>
  <c r="AA137" i="42"/>
  <c r="AI137" i="42"/>
  <c r="Z137" i="42"/>
  <c r="AH137" i="42" s="1"/>
  <c r="Y137" i="42"/>
  <c r="AG137" i="42" s="1"/>
  <c r="AO136" i="42"/>
  <c r="AE136" i="42"/>
  <c r="AD136" i="42"/>
  <c r="AC136" i="42"/>
  <c r="AB136" i="42"/>
  <c r="AJ136" i="42" s="1"/>
  <c r="AA136" i="42"/>
  <c r="AI136" i="42"/>
  <c r="Z136" i="42"/>
  <c r="AH136" i="42" s="1"/>
  <c r="Y136" i="42"/>
  <c r="AO135" i="42"/>
  <c r="AE135" i="42"/>
  <c r="AD135" i="42"/>
  <c r="AC135" i="42"/>
  <c r="AB135" i="42"/>
  <c r="AJ135" i="42"/>
  <c r="AA135" i="42"/>
  <c r="AI135" i="42"/>
  <c r="Z135" i="42"/>
  <c r="AH135" i="42"/>
  <c r="Y135" i="42"/>
  <c r="AO134" i="42"/>
  <c r="AE134" i="42"/>
  <c r="AD134" i="42"/>
  <c r="AC134" i="42"/>
  <c r="AB134" i="42"/>
  <c r="AJ134" i="42"/>
  <c r="AA134" i="42"/>
  <c r="AI134" i="42" s="1"/>
  <c r="Z134" i="42"/>
  <c r="AH134" i="42"/>
  <c r="Y134" i="42"/>
  <c r="AO133" i="42"/>
  <c r="AE133" i="42"/>
  <c r="AM133" i="42"/>
  <c r="AD133" i="42"/>
  <c r="AL133" i="42" s="1"/>
  <c r="AC133" i="42"/>
  <c r="AK133" i="42" s="1"/>
  <c r="AB133" i="42"/>
  <c r="AJ133" i="42" s="1"/>
  <c r="AA133" i="42"/>
  <c r="AI133" i="42"/>
  <c r="Z133" i="42"/>
  <c r="AH133" i="42" s="1"/>
  <c r="Y133" i="42"/>
  <c r="AO132" i="42"/>
  <c r="AE132" i="42"/>
  <c r="AM132" i="42" s="1"/>
  <c r="AD132" i="42"/>
  <c r="AL132" i="42"/>
  <c r="AC132" i="42"/>
  <c r="AK132" i="42" s="1"/>
  <c r="AB132" i="42"/>
  <c r="AJ132" i="42" s="1"/>
  <c r="AA132" i="42"/>
  <c r="AI132" i="42" s="1"/>
  <c r="Z132" i="42"/>
  <c r="AH132" i="42" s="1"/>
  <c r="Y132" i="42"/>
  <c r="AO131" i="42"/>
  <c r="AE131" i="42"/>
  <c r="AM131" i="42"/>
  <c r="AD131" i="42"/>
  <c r="AC131" i="42"/>
  <c r="AB131" i="42"/>
  <c r="AJ131" i="42" s="1"/>
  <c r="AA131" i="42"/>
  <c r="AI131" i="42"/>
  <c r="Z131" i="42"/>
  <c r="AH131" i="42"/>
  <c r="Y131" i="42"/>
  <c r="AO130" i="42"/>
  <c r="AE130" i="42"/>
  <c r="AM130" i="42" s="1"/>
  <c r="AD130" i="42"/>
  <c r="AC130" i="42"/>
  <c r="AB130" i="42"/>
  <c r="AJ130" i="42"/>
  <c r="AA130" i="42"/>
  <c r="AI130" i="42" s="1"/>
  <c r="Z130" i="42"/>
  <c r="AH130" i="42"/>
  <c r="Y130" i="42"/>
  <c r="AO129" i="42"/>
  <c r="AE129" i="42"/>
  <c r="AM129" i="42" s="1"/>
  <c r="AD129" i="42"/>
  <c r="AC129" i="42"/>
  <c r="AB129" i="42"/>
  <c r="AJ129" i="42"/>
  <c r="AA129" i="42"/>
  <c r="AI129" i="42" s="1"/>
  <c r="Z129" i="42"/>
  <c r="AH129" i="42" s="1"/>
  <c r="Y129" i="42"/>
  <c r="AO128" i="42"/>
  <c r="AE128" i="42"/>
  <c r="AM128" i="42"/>
  <c r="AD128" i="42"/>
  <c r="AC128" i="42"/>
  <c r="AB128" i="42"/>
  <c r="AJ128" i="42" s="1"/>
  <c r="AA128" i="42"/>
  <c r="AI128" i="42" s="1"/>
  <c r="Z128" i="42"/>
  <c r="AH128" i="42"/>
  <c r="Y128" i="42"/>
  <c r="AO127" i="42"/>
  <c r="AE127" i="42"/>
  <c r="AM127" i="42"/>
  <c r="AD127" i="42"/>
  <c r="AL127" i="42" s="1"/>
  <c r="AC127" i="42"/>
  <c r="AK127" i="42" s="1"/>
  <c r="AB127" i="42"/>
  <c r="AJ127" i="42"/>
  <c r="AA127" i="42"/>
  <c r="AI127" i="42" s="1"/>
  <c r="Z127" i="42"/>
  <c r="AH127" i="42" s="1"/>
  <c r="Y127" i="42"/>
  <c r="AO126" i="42"/>
  <c r="AE126" i="42"/>
  <c r="AM126" i="42"/>
  <c r="AD126" i="42"/>
  <c r="AL126" i="42"/>
  <c r="AC126" i="42"/>
  <c r="AK126" i="42" s="1"/>
  <c r="AB126" i="42"/>
  <c r="AJ126" i="42" s="1"/>
  <c r="AA126" i="42"/>
  <c r="AI126" i="42" s="1"/>
  <c r="Z126" i="42"/>
  <c r="AH126" i="42"/>
  <c r="Y126" i="42"/>
  <c r="AO125" i="42"/>
  <c r="AE125" i="42"/>
  <c r="AM125" i="42" s="1"/>
  <c r="AD125" i="42"/>
  <c r="AL125" i="42" s="1"/>
  <c r="AC125" i="42"/>
  <c r="AK125" i="42"/>
  <c r="AB125" i="42"/>
  <c r="AJ125" i="42" s="1"/>
  <c r="AA125" i="42"/>
  <c r="AI125" i="42"/>
  <c r="Z125" i="42"/>
  <c r="AH125" i="42"/>
  <c r="Y125" i="42"/>
  <c r="AO124" i="42"/>
  <c r="AE124" i="42"/>
  <c r="AM124" i="42" s="1"/>
  <c r="AD124" i="42"/>
  <c r="AL124" i="42" s="1"/>
  <c r="AC124" i="42"/>
  <c r="AK124" i="42" s="1"/>
  <c r="AB124" i="42"/>
  <c r="AJ124" i="42" s="1"/>
  <c r="AA124" i="42"/>
  <c r="AI124" i="42" s="1"/>
  <c r="Z124" i="42"/>
  <c r="AH124" i="42" s="1"/>
  <c r="Y124" i="42"/>
  <c r="AO123" i="42"/>
  <c r="AE123" i="42"/>
  <c r="AM123" i="42"/>
  <c r="AD123" i="42"/>
  <c r="AL123" i="42" s="1"/>
  <c r="AC123" i="42"/>
  <c r="AK123" i="42"/>
  <c r="AB123" i="42"/>
  <c r="AJ123" i="42" s="1"/>
  <c r="AA123" i="42"/>
  <c r="AI123" i="42" s="1"/>
  <c r="Z123" i="42"/>
  <c r="AH123" i="42" s="1"/>
  <c r="Y123" i="42"/>
  <c r="AO122" i="42"/>
  <c r="AE122" i="42"/>
  <c r="AM122" i="42"/>
  <c r="AD122" i="42"/>
  <c r="AL122" i="42"/>
  <c r="AC122" i="42"/>
  <c r="AK122" i="42"/>
  <c r="AB122" i="42"/>
  <c r="AJ122" i="42"/>
  <c r="AA122" i="42"/>
  <c r="AI122" i="42"/>
  <c r="Z122" i="42"/>
  <c r="AH122" i="42"/>
  <c r="Y122" i="42"/>
  <c r="AO121" i="42"/>
  <c r="AE121" i="42"/>
  <c r="AM121" i="42"/>
  <c r="AD121" i="42"/>
  <c r="AL121" i="42"/>
  <c r="AC121" i="42"/>
  <c r="AK121" i="42"/>
  <c r="AB121" i="42"/>
  <c r="AJ121" i="42"/>
  <c r="AA121" i="42"/>
  <c r="AI121" i="42"/>
  <c r="Z121" i="42"/>
  <c r="AH121" i="42"/>
  <c r="Y121" i="42"/>
  <c r="AO120" i="42"/>
  <c r="AE120" i="42"/>
  <c r="AM120" i="42"/>
  <c r="AD120" i="42"/>
  <c r="AL120" i="42"/>
  <c r="AC120" i="42"/>
  <c r="AK120" i="42"/>
  <c r="AB120" i="42"/>
  <c r="AJ120" i="42"/>
  <c r="AA120" i="42"/>
  <c r="AI120" i="42"/>
  <c r="Z120" i="42"/>
  <c r="AH120" i="42"/>
  <c r="Y120" i="42"/>
  <c r="AO119" i="42"/>
  <c r="AE119" i="42"/>
  <c r="AM119" i="42"/>
  <c r="AD119" i="42"/>
  <c r="AC119" i="42"/>
  <c r="AB119" i="42"/>
  <c r="AJ119" i="42"/>
  <c r="AA119" i="42"/>
  <c r="AI119" i="42"/>
  <c r="Z119" i="42"/>
  <c r="AH119" i="42"/>
  <c r="Y119" i="42"/>
  <c r="AO118" i="42"/>
  <c r="AE118" i="42"/>
  <c r="AM118" i="42"/>
  <c r="AD118" i="42"/>
  <c r="AC118" i="42"/>
  <c r="AB118" i="42"/>
  <c r="AJ118" i="42"/>
  <c r="AA118" i="42"/>
  <c r="AI118" i="42"/>
  <c r="Z118" i="42"/>
  <c r="AH118" i="42"/>
  <c r="Y118" i="42"/>
  <c r="AO117" i="42"/>
  <c r="AE117" i="42"/>
  <c r="AM117" i="42"/>
  <c r="AD117" i="42"/>
  <c r="AC117" i="42"/>
  <c r="AB117" i="42"/>
  <c r="AJ117" i="42"/>
  <c r="AA117" i="42"/>
  <c r="AI117" i="42"/>
  <c r="Z117" i="42"/>
  <c r="AH117" i="42"/>
  <c r="Y117" i="42"/>
  <c r="AO116" i="42"/>
  <c r="AE116" i="42"/>
  <c r="AM116" i="42"/>
  <c r="AD116" i="42"/>
  <c r="AC116" i="42"/>
  <c r="AB116" i="42"/>
  <c r="AJ116" i="42"/>
  <c r="AA116" i="42"/>
  <c r="AI116" i="42"/>
  <c r="Z116" i="42"/>
  <c r="AH116" i="42"/>
  <c r="Y116" i="42"/>
  <c r="AO115" i="42"/>
  <c r="AE115" i="42"/>
  <c r="AM115" i="42"/>
  <c r="AD115" i="42"/>
  <c r="AC115" i="42"/>
  <c r="AB115" i="42"/>
  <c r="AJ115" i="42"/>
  <c r="AA115" i="42"/>
  <c r="AI115" i="42"/>
  <c r="Z115" i="42"/>
  <c r="AH115" i="42"/>
  <c r="Y115" i="42"/>
  <c r="AO114" i="42"/>
  <c r="AE114" i="42"/>
  <c r="AM114" i="42"/>
  <c r="AD114" i="42"/>
  <c r="AC114" i="42"/>
  <c r="AB114" i="42"/>
  <c r="AJ114" i="42"/>
  <c r="AA114" i="42"/>
  <c r="AI114" i="42"/>
  <c r="Z114" i="42"/>
  <c r="AH114" i="42"/>
  <c r="Y114" i="42"/>
  <c r="AO113" i="42"/>
  <c r="AE113" i="42"/>
  <c r="AM113" i="42"/>
  <c r="AD113" i="42"/>
  <c r="AL113" i="42"/>
  <c r="AC113" i="42"/>
  <c r="AK113" i="42"/>
  <c r="AB113" i="42"/>
  <c r="AJ113" i="42"/>
  <c r="AA113" i="42"/>
  <c r="AI113" i="42"/>
  <c r="Z113" i="42"/>
  <c r="AH113" i="42"/>
  <c r="Y113" i="42"/>
  <c r="AO112" i="42"/>
  <c r="AE112" i="42"/>
  <c r="AM112" i="42"/>
  <c r="AD112" i="42"/>
  <c r="AC112" i="42"/>
  <c r="AB112" i="42"/>
  <c r="AJ112" i="42"/>
  <c r="AA112" i="42"/>
  <c r="AI112" i="42"/>
  <c r="Z112" i="42"/>
  <c r="AH112" i="42"/>
  <c r="Y112" i="42"/>
  <c r="AO111" i="42"/>
  <c r="AE111" i="42"/>
  <c r="AM111" i="42"/>
  <c r="AD111" i="42"/>
  <c r="AC111" i="42"/>
  <c r="AB111" i="42"/>
  <c r="AJ111" i="42"/>
  <c r="AA111" i="42"/>
  <c r="AI111" i="42"/>
  <c r="Z111" i="42"/>
  <c r="AH111" i="42"/>
  <c r="Y111" i="42"/>
  <c r="AO110" i="42"/>
  <c r="AE110" i="42"/>
  <c r="AM110" i="42"/>
  <c r="AD110" i="42"/>
  <c r="AC110" i="42"/>
  <c r="AB110" i="42"/>
  <c r="AJ110" i="42"/>
  <c r="AA110" i="42"/>
  <c r="AI110" i="42"/>
  <c r="Z110" i="42"/>
  <c r="AH110" i="42"/>
  <c r="Y110" i="42"/>
  <c r="AO109" i="42"/>
  <c r="AE109" i="42"/>
  <c r="AM109" i="42"/>
  <c r="AD109" i="42"/>
  <c r="AC109" i="42"/>
  <c r="AB109" i="42"/>
  <c r="AJ109" i="42"/>
  <c r="AA109" i="42"/>
  <c r="AI109" i="42"/>
  <c r="Z109" i="42"/>
  <c r="AH109" i="42"/>
  <c r="Y109" i="42"/>
  <c r="AO108" i="42"/>
  <c r="AE108" i="42"/>
  <c r="AM108" i="42"/>
  <c r="AD108" i="42"/>
  <c r="AC108" i="42"/>
  <c r="AB108" i="42"/>
  <c r="AJ108" i="42"/>
  <c r="AA108" i="42"/>
  <c r="AI108" i="42"/>
  <c r="Z108" i="42"/>
  <c r="AH108" i="42"/>
  <c r="Y108" i="42"/>
  <c r="AO107" i="42"/>
  <c r="AE107" i="42"/>
  <c r="AM107" i="42"/>
  <c r="AD107" i="42"/>
  <c r="AC107" i="42"/>
  <c r="AB107" i="42"/>
  <c r="AJ107" i="42"/>
  <c r="AA107" i="42"/>
  <c r="AI107" i="42"/>
  <c r="Z107" i="42"/>
  <c r="AH107" i="42"/>
  <c r="Y107" i="42"/>
  <c r="AO106" i="42"/>
  <c r="AE106" i="42"/>
  <c r="AM106" i="42"/>
  <c r="AD106" i="42"/>
  <c r="AC106" i="42"/>
  <c r="AB106" i="42"/>
  <c r="AJ106" i="42"/>
  <c r="AA106" i="42"/>
  <c r="AI106" i="42"/>
  <c r="Z106" i="42"/>
  <c r="AH106" i="42"/>
  <c r="Y106" i="42"/>
  <c r="AO105" i="42"/>
  <c r="AE105" i="42"/>
  <c r="AM105" i="42"/>
  <c r="AD105" i="42"/>
  <c r="AC105" i="42"/>
  <c r="AB105" i="42"/>
  <c r="AJ105" i="42"/>
  <c r="AA105" i="42"/>
  <c r="AI105" i="42"/>
  <c r="Z105" i="42"/>
  <c r="AH105" i="42"/>
  <c r="Y105" i="42"/>
  <c r="AO104" i="42"/>
  <c r="AE104" i="42"/>
  <c r="AM104" i="42"/>
  <c r="AD104" i="42"/>
  <c r="AC104" i="42"/>
  <c r="AB104" i="42"/>
  <c r="AJ104" i="42"/>
  <c r="AA104" i="42"/>
  <c r="AI104" i="42"/>
  <c r="Z104" i="42"/>
  <c r="AH104" i="42"/>
  <c r="Y104" i="42"/>
  <c r="AO103" i="42"/>
  <c r="AE103" i="42"/>
  <c r="AM103" i="42"/>
  <c r="AD103" i="42"/>
  <c r="AC103" i="42"/>
  <c r="AB103" i="42"/>
  <c r="AJ103" i="42"/>
  <c r="AA103" i="42"/>
  <c r="AI103" i="42"/>
  <c r="Z103" i="42"/>
  <c r="AH103" i="42"/>
  <c r="Y103" i="42"/>
  <c r="AO102" i="42"/>
  <c r="AE102" i="42"/>
  <c r="AM102" i="42"/>
  <c r="AD102" i="42"/>
  <c r="AC102" i="42"/>
  <c r="AB102" i="42"/>
  <c r="AJ102" i="42"/>
  <c r="AA102" i="42"/>
  <c r="AI102" i="42"/>
  <c r="Z102" i="42"/>
  <c r="AH102" i="42"/>
  <c r="Y102" i="42"/>
  <c r="AO101" i="42"/>
  <c r="AE101" i="42"/>
  <c r="AM101" i="42"/>
  <c r="AD101" i="42"/>
  <c r="AC101" i="42"/>
  <c r="AB101" i="42"/>
  <c r="AJ101" i="42"/>
  <c r="AA101" i="42"/>
  <c r="AI101" i="42"/>
  <c r="Z101" i="42"/>
  <c r="AH101" i="42"/>
  <c r="Y101" i="42"/>
  <c r="AO100" i="42"/>
  <c r="AE100" i="42"/>
  <c r="AM100" i="42"/>
  <c r="AD100" i="42"/>
  <c r="AC100" i="42"/>
  <c r="AB100" i="42"/>
  <c r="AJ100" i="42"/>
  <c r="AA100" i="42"/>
  <c r="AI100" i="42"/>
  <c r="Z100" i="42"/>
  <c r="AH100" i="42"/>
  <c r="Y100" i="42"/>
  <c r="AO99" i="42"/>
  <c r="AE99" i="42"/>
  <c r="AM99" i="42"/>
  <c r="AD99" i="42"/>
  <c r="AL99" i="42"/>
  <c r="AC99" i="42"/>
  <c r="AK99" i="42"/>
  <c r="AB99" i="42"/>
  <c r="AJ99" i="42"/>
  <c r="AA99" i="42"/>
  <c r="AI99" i="42"/>
  <c r="Z99" i="42"/>
  <c r="AH99" i="42"/>
  <c r="Y99" i="42"/>
  <c r="AO98" i="42"/>
  <c r="AE98" i="42"/>
  <c r="AM98" i="42"/>
  <c r="AD98" i="42"/>
  <c r="AL98" i="42"/>
  <c r="AC98" i="42"/>
  <c r="AK98" i="42"/>
  <c r="AB98" i="42"/>
  <c r="AJ98" i="42"/>
  <c r="AA98" i="42"/>
  <c r="AI98" i="42"/>
  <c r="Z98" i="42"/>
  <c r="AH98" i="42"/>
  <c r="Y98" i="42"/>
  <c r="AO97" i="42"/>
  <c r="AE97" i="42"/>
  <c r="AM97" i="42"/>
  <c r="AD97" i="42"/>
  <c r="AL97" i="42"/>
  <c r="AC97" i="42"/>
  <c r="AK97" i="42"/>
  <c r="AB97" i="42"/>
  <c r="AJ97" i="42"/>
  <c r="AA97" i="42"/>
  <c r="AI97" i="42"/>
  <c r="Z97" i="42"/>
  <c r="AH97" i="42"/>
  <c r="Y97" i="42"/>
  <c r="AO96" i="42"/>
  <c r="AE96" i="42"/>
  <c r="AM96" i="42"/>
  <c r="AD96" i="42"/>
  <c r="AL96" i="42"/>
  <c r="AC96" i="42"/>
  <c r="AK96" i="42"/>
  <c r="AB96" i="42"/>
  <c r="AJ96" i="42"/>
  <c r="AA96" i="42"/>
  <c r="AI96" i="42"/>
  <c r="Z96" i="42"/>
  <c r="AH96" i="42"/>
  <c r="Y96" i="42"/>
  <c r="AO95" i="42"/>
  <c r="AE95" i="42"/>
  <c r="AM95" i="42"/>
  <c r="AD95" i="42"/>
  <c r="AL95" i="42"/>
  <c r="AC95" i="42"/>
  <c r="AK95" i="42"/>
  <c r="AB95" i="42"/>
  <c r="AJ95" i="42"/>
  <c r="AA95" i="42"/>
  <c r="AI95" i="42"/>
  <c r="Z95" i="42"/>
  <c r="AH95" i="42"/>
  <c r="Y95" i="42"/>
  <c r="AO94" i="42"/>
  <c r="AE94" i="42"/>
  <c r="AM94" i="42"/>
  <c r="AD94" i="42"/>
  <c r="AL94" i="42"/>
  <c r="AC94" i="42"/>
  <c r="AK94" i="42"/>
  <c r="AB94" i="42"/>
  <c r="AJ94" i="42"/>
  <c r="AA94" i="42"/>
  <c r="AI94" i="42"/>
  <c r="Z94" i="42"/>
  <c r="AH94" i="42"/>
  <c r="Y94" i="42"/>
  <c r="AO93" i="42"/>
  <c r="AE93" i="42"/>
  <c r="AM93" i="42"/>
  <c r="AD93" i="42"/>
  <c r="AL93" i="42"/>
  <c r="AC93" i="42"/>
  <c r="AK93" i="42"/>
  <c r="AB93" i="42"/>
  <c r="AJ93" i="42"/>
  <c r="AA93" i="42"/>
  <c r="AI93" i="42"/>
  <c r="Z93" i="42"/>
  <c r="AH93" i="42"/>
  <c r="Y93" i="42"/>
  <c r="AO92" i="42"/>
  <c r="AE92" i="42"/>
  <c r="AM92" i="42"/>
  <c r="AD92" i="42"/>
  <c r="AL92" i="42"/>
  <c r="AC92" i="42"/>
  <c r="AK92" i="42"/>
  <c r="AB92" i="42"/>
  <c r="AJ92" i="42"/>
  <c r="AA92" i="42"/>
  <c r="AI92" i="42"/>
  <c r="Z92" i="42"/>
  <c r="AH92" i="42"/>
  <c r="Y92" i="42"/>
  <c r="AO91" i="42"/>
  <c r="AE91" i="42"/>
  <c r="AM91" i="42"/>
  <c r="AD91" i="42"/>
  <c r="AL91" i="42"/>
  <c r="AC91" i="42"/>
  <c r="AK91" i="42"/>
  <c r="AB91" i="42"/>
  <c r="AJ91" i="42"/>
  <c r="AA91" i="42"/>
  <c r="AI91" i="42"/>
  <c r="Z91" i="42"/>
  <c r="AH91" i="42"/>
  <c r="Y91" i="42"/>
  <c r="AO90" i="42"/>
  <c r="AE90" i="42"/>
  <c r="AM90" i="42"/>
  <c r="AD90" i="42"/>
  <c r="AL90" i="42"/>
  <c r="AC90" i="42"/>
  <c r="AK90" i="42"/>
  <c r="AB90" i="42"/>
  <c r="AJ90" i="42"/>
  <c r="AA90" i="42"/>
  <c r="AI90" i="42"/>
  <c r="Z90" i="42"/>
  <c r="AH90" i="42"/>
  <c r="Y90" i="42"/>
  <c r="AO89" i="42"/>
  <c r="AE89" i="42"/>
  <c r="AM89" i="42"/>
  <c r="AD89" i="42"/>
  <c r="AL89" i="42"/>
  <c r="AC89" i="42"/>
  <c r="AK89" i="42"/>
  <c r="AB89" i="42"/>
  <c r="AJ89" i="42"/>
  <c r="AA89" i="42"/>
  <c r="AI89" i="42"/>
  <c r="Z89" i="42"/>
  <c r="AH89" i="42"/>
  <c r="Y89" i="42"/>
  <c r="AO88" i="42"/>
  <c r="AE88" i="42"/>
  <c r="AM88" i="42"/>
  <c r="AD88" i="42"/>
  <c r="AL88" i="42"/>
  <c r="AC88" i="42"/>
  <c r="AK88" i="42"/>
  <c r="AB88" i="42"/>
  <c r="AJ88" i="42"/>
  <c r="AA88" i="42"/>
  <c r="AI88" i="42"/>
  <c r="Z88" i="42"/>
  <c r="AH88" i="42"/>
  <c r="Y88" i="42"/>
  <c r="AO87" i="42"/>
  <c r="AE87" i="42"/>
  <c r="AM87" i="42"/>
  <c r="AD87" i="42"/>
  <c r="AL87" i="42"/>
  <c r="AC87" i="42"/>
  <c r="AK87" i="42"/>
  <c r="AB87" i="42"/>
  <c r="AJ87" i="42"/>
  <c r="AA87" i="42"/>
  <c r="AI87" i="42"/>
  <c r="Z87" i="42"/>
  <c r="AH87" i="42"/>
  <c r="Y87" i="42"/>
  <c r="AO86" i="42"/>
  <c r="AE86" i="42"/>
  <c r="AM86" i="42"/>
  <c r="AD86" i="42"/>
  <c r="AL86" i="42"/>
  <c r="AC86" i="42"/>
  <c r="AK86" i="42"/>
  <c r="AB86" i="42"/>
  <c r="AJ86" i="42"/>
  <c r="AA86" i="42"/>
  <c r="AI86" i="42"/>
  <c r="Z86" i="42"/>
  <c r="AH86" i="42"/>
  <c r="Y86" i="42"/>
  <c r="AO85" i="42"/>
  <c r="AE85" i="42"/>
  <c r="AM85" i="42"/>
  <c r="AD85" i="42"/>
  <c r="AL85" i="42"/>
  <c r="AC85" i="42"/>
  <c r="AK85" i="42"/>
  <c r="AB85" i="42"/>
  <c r="AJ85" i="42"/>
  <c r="AA85" i="42"/>
  <c r="AI85" i="42"/>
  <c r="Z85" i="42"/>
  <c r="AH85" i="42"/>
  <c r="Y85" i="42"/>
  <c r="AO84" i="42"/>
  <c r="AE84" i="42"/>
  <c r="AM84" i="42"/>
  <c r="AD84" i="42"/>
  <c r="AL84" i="42"/>
  <c r="AC84" i="42"/>
  <c r="AK84" i="42"/>
  <c r="AB84" i="42"/>
  <c r="AJ84" i="42"/>
  <c r="AA84" i="42"/>
  <c r="AI84" i="42"/>
  <c r="Z84" i="42"/>
  <c r="AH84" i="42"/>
  <c r="Y84" i="42"/>
  <c r="AO83" i="42"/>
  <c r="AE83" i="42"/>
  <c r="AM83" i="42"/>
  <c r="AD83" i="42"/>
  <c r="AL83" i="42"/>
  <c r="AC83" i="42"/>
  <c r="AK83" i="42"/>
  <c r="AB83" i="42"/>
  <c r="AJ83" i="42"/>
  <c r="AA83" i="42"/>
  <c r="AI83" i="42"/>
  <c r="Z83" i="42"/>
  <c r="AH83" i="42"/>
  <c r="Y83" i="42"/>
  <c r="AO82" i="42"/>
  <c r="AE82" i="42"/>
  <c r="AM82" i="42"/>
  <c r="AD82" i="42"/>
  <c r="AL82" i="42"/>
  <c r="AC82" i="42"/>
  <c r="AK82" i="42"/>
  <c r="AB82" i="42"/>
  <c r="AJ82" i="42"/>
  <c r="AA82" i="42"/>
  <c r="AI82" i="42"/>
  <c r="Z82" i="42"/>
  <c r="AH82" i="42"/>
  <c r="Y82" i="42"/>
  <c r="AO81" i="42"/>
  <c r="AE81" i="42"/>
  <c r="AM81" i="42"/>
  <c r="AD81" i="42"/>
  <c r="AL81" i="42"/>
  <c r="AC81" i="42"/>
  <c r="AK81" i="42"/>
  <c r="AB81" i="42"/>
  <c r="AJ81" i="42"/>
  <c r="AA81" i="42"/>
  <c r="AI81" i="42"/>
  <c r="Z81" i="42"/>
  <c r="AH81" i="42"/>
  <c r="Y81" i="42"/>
  <c r="AO80" i="42"/>
  <c r="AE80" i="42"/>
  <c r="AM80" i="42"/>
  <c r="AD80" i="42"/>
  <c r="AL80" i="42"/>
  <c r="AC80" i="42"/>
  <c r="AK80" i="42"/>
  <c r="AB80" i="42"/>
  <c r="AJ80" i="42"/>
  <c r="AA80" i="42"/>
  <c r="AI80" i="42"/>
  <c r="Z80" i="42"/>
  <c r="AH80" i="42"/>
  <c r="Y80" i="42"/>
  <c r="AO79" i="42"/>
  <c r="AE79" i="42"/>
  <c r="AM79" i="42"/>
  <c r="AD79" i="42"/>
  <c r="AL79" i="42"/>
  <c r="AC79" i="42"/>
  <c r="AK79" i="42"/>
  <c r="AB79" i="42"/>
  <c r="AJ79" i="42"/>
  <c r="AA79" i="42"/>
  <c r="AI79" i="42"/>
  <c r="Z79" i="42"/>
  <c r="AH79" i="42"/>
  <c r="Y79" i="42"/>
  <c r="AO78" i="42"/>
  <c r="AE78" i="42"/>
  <c r="AM78" i="42"/>
  <c r="AD78" i="42"/>
  <c r="AL78" i="42"/>
  <c r="AC78" i="42"/>
  <c r="AK78" i="42"/>
  <c r="AB78" i="42"/>
  <c r="AJ78" i="42"/>
  <c r="AA78" i="42"/>
  <c r="AI78" i="42"/>
  <c r="Z78" i="42"/>
  <c r="AH78" i="42"/>
  <c r="Y78" i="42"/>
  <c r="AO77" i="42"/>
  <c r="AE77" i="42"/>
  <c r="AM77" i="42"/>
  <c r="AD77" i="42"/>
  <c r="AL77" i="42"/>
  <c r="AC77" i="42"/>
  <c r="AK77" i="42"/>
  <c r="AB77" i="42"/>
  <c r="AJ77" i="42"/>
  <c r="AA77" i="42"/>
  <c r="AI77" i="42"/>
  <c r="Z77" i="42"/>
  <c r="AH77" i="42"/>
  <c r="Y77" i="42"/>
  <c r="AO76" i="42"/>
  <c r="AE76" i="42"/>
  <c r="AM76" i="42"/>
  <c r="AD76" i="42"/>
  <c r="AL76" i="42"/>
  <c r="AC76" i="42"/>
  <c r="AK76" i="42"/>
  <c r="AB76" i="42"/>
  <c r="AJ76" i="42"/>
  <c r="AA76" i="42"/>
  <c r="AI76" i="42"/>
  <c r="Z76" i="42"/>
  <c r="AH76" i="42"/>
  <c r="Y76" i="42"/>
  <c r="AO75" i="42"/>
  <c r="AE75" i="42"/>
  <c r="AM75" i="42"/>
  <c r="AD75" i="42"/>
  <c r="AL75" i="42"/>
  <c r="AC75" i="42"/>
  <c r="AK75" i="42"/>
  <c r="AB75" i="42"/>
  <c r="AJ75" i="42"/>
  <c r="AA75" i="42"/>
  <c r="AI75" i="42"/>
  <c r="Z75" i="42"/>
  <c r="AH75" i="42"/>
  <c r="Y75" i="42"/>
  <c r="AO74" i="42"/>
  <c r="AE74" i="42"/>
  <c r="AM74" i="42"/>
  <c r="AD74" i="42"/>
  <c r="AL74" i="42"/>
  <c r="AC74" i="42"/>
  <c r="AK74" i="42"/>
  <c r="AB74" i="42"/>
  <c r="AJ74" i="42"/>
  <c r="AA74" i="42"/>
  <c r="AI74" i="42"/>
  <c r="Z74" i="42"/>
  <c r="AH74" i="42"/>
  <c r="Y74" i="42"/>
  <c r="AO73" i="42"/>
  <c r="AE73" i="42"/>
  <c r="AM73" i="42"/>
  <c r="AD73" i="42"/>
  <c r="AL73" i="42"/>
  <c r="AC73" i="42"/>
  <c r="AK73" i="42"/>
  <c r="AB73" i="42"/>
  <c r="AJ73" i="42"/>
  <c r="AA73" i="42"/>
  <c r="AI73" i="42"/>
  <c r="Z73" i="42"/>
  <c r="AH73" i="42"/>
  <c r="Y73" i="42"/>
  <c r="AO72" i="42"/>
  <c r="AE72" i="42"/>
  <c r="AM72" i="42"/>
  <c r="AD72" i="42"/>
  <c r="AL72" i="42"/>
  <c r="AC72" i="42"/>
  <c r="AK72" i="42"/>
  <c r="AB72" i="42"/>
  <c r="AJ72" i="42"/>
  <c r="AA72" i="42"/>
  <c r="AI72" i="42"/>
  <c r="Z72" i="42"/>
  <c r="AH72" i="42"/>
  <c r="Y72" i="42"/>
  <c r="AO71" i="42"/>
  <c r="AE71" i="42"/>
  <c r="AM71" i="42"/>
  <c r="AD71" i="42"/>
  <c r="AL71" i="42"/>
  <c r="AC71" i="42"/>
  <c r="AK71" i="42"/>
  <c r="AB71" i="42"/>
  <c r="AJ71" i="42"/>
  <c r="AA71" i="42"/>
  <c r="AI71" i="42"/>
  <c r="Z71" i="42"/>
  <c r="AH71" i="42"/>
  <c r="Y71" i="42"/>
  <c r="AO70" i="42"/>
  <c r="AE70" i="42"/>
  <c r="AM70" i="42"/>
  <c r="AD70" i="42"/>
  <c r="AL70" i="42"/>
  <c r="AC70" i="42"/>
  <c r="AK70" i="42"/>
  <c r="AB70" i="42"/>
  <c r="AJ70" i="42"/>
  <c r="AA70" i="42"/>
  <c r="AI70" i="42"/>
  <c r="Z70" i="42"/>
  <c r="AH70" i="42"/>
  <c r="Y70" i="42"/>
  <c r="AO69" i="42"/>
  <c r="AE69" i="42"/>
  <c r="AM69" i="42"/>
  <c r="AD69" i="42"/>
  <c r="AL69" i="42"/>
  <c r="AC69" i="42"/>
  <c r="AK69" i="42"/>
  <c r="AB69" i="42"/>
  <c r="AJ69" i="42"/>
  <c r="AA69" i="42"/>
  <c r="AI69" i="42"/>
  <c r="Z69" i="42"/>
  <c r="AH69" i="42"/>
  <c r="Y69" i="42"/>
  <c r="AO68" i="42"/>
  <c r="AE68" i="42"/>
  <c r="AM68" i="42"/>
  <c r="AD68" i="42"/>
  <c r="AL68" i="42"/>
  <c r="AC68" i="42"/>
  <c r="AK68" i="42"/>
  <c r="AB68" i="42"/>
  <c r="AJ68" i="42"/>
  <c r="AA68" i="42"/>
  <c r="AI68" i="42"/>
  <c r="Z68" i="42"/>
  <c r="AH68" i="42"/>
  <c r="Y68" i="42"/>
  <c r="AO67" i="42"/>
  <c r="AE67" i="42"/>
  <c r="AM67" i="42"/>
  <c r="AD67" i="42"/>
  <c r="AL67" i="42"/>
  <c r="AC67" i="42"/>
  <c r="AK67" i="42"/>
  <c r="AB67" i="42"/>
  <c r="AJ67" i="42"/>
  <c r="AA67" i="42"/>
  <c r="AI67" i="42"/>
  <c r="Z67" i="42"/>
  <c r="AH67" i="42"/>
  <c r="Y67" i="42"/>
  <c r="AO66" i="42"/>
  <c r="AE66" i="42"/>
  <c r="AM66" i="42"/>
  <c r="AD66" i="42"/>
  <c r="AL66" i="42"/>
  <c r="AC66" i="42"/>
  <c r="AK66" i="42"/>
  <c r="AB66" i="42"/>
  <c r="AJ66" i="42"/>
  <c r="AA66" i="42"/>
  <c r="AI66" i="42"/>
  <c r="Z66" i="42"/>
  <c r="AH66" i="42"/>
  <c r="Y66" i="42"/>
  <c r="AO65" i="42"/>
  <c r="AE65" i="42"/>
  <c r="AM65" i="42"/>
  <c r="AD65" i="42"/>
  <c r="AL65" i="42"/>
  <c r="AC65" i="42"/>
  <c r="AK65" i="42"/>
  <c r="AB65" i="42"/>
  <c r="AJ65" i="42"/>
  <c r="AA65" i="42"/>
  <c r="AI65" i="42"/>
  <c r="Z65" i="42"/>
  <c r="AH65" i="42"/>
  <c r="Y65" i="42"/>
  <c r="AO64" i="42"/>
  <c r="AE64" i="42"/>
  <c r="AM64" i="42"/>
  <c r="AD64" i="42"/>
  <c r="AL64" i="42"/>
  <c r="AC64" i="42"/>
  <c r="AK64" i="42"/>
  <c r="AB64" i="42"/>
  <c r="AJ64" i="42"/>
  <c r="AA64" i="42"/>
  <c r="AI64" i="42"/>
  <c r="Z64" i="42"/>
  <c r="AH64" i="42"/>
  <c r="Y64" i="42"/>
  <c r="AO63" i="42"/>
  <c r="AE63" i="42"/>
  <c r="AM63" i="42"/>
  <c r="AD63" i="42"/>
  <c r="AL63" i="42"/>
  <c r="AC63" i="42"/>
  <c r="AK63" i="42"/>
  <c r="AB63" i="42"/>
  <c r="AJ63" i="42"/>
  <c r="AA63" i="42"/>
  <c r="AI63" i="42"/>
  <c r="Z63" i="42"/>
  <c r="AH63" i="42"/>
  <c r="Y63" i="42"/>
  <c r="AO62" i="42"/>
  <c r="AE62" i="42"/>
  <c r="AM62" i="42"/>
  <c r="AD62" i="42"/>
  <c r="AL62" i="42"/>
  <c r="AC62" i="42"/>
  <c r="AK62" i="42"/>
  <c r="AB62" i="42"/>
  <c r="AJ62" i="42"/>
  <c r="AA62" i="42"/>
  <c r="AI62" i="42"/>
  <c r="Z62" i="42"/>
  <c r="AH62" i="42"/>
  <c r="Y62" i="42"/>
  <c r="AO61" i="42"/>
  <c r="AE61" i="42"/>
  <c r="AM61" i="42"/>
  <c r="AD61" i="42"/>
  <c r="AL61" i="42"/>
  <c r="AC61" i="42"/>
  <c r="AK61" i="42"/>
  <c r="AB61" i="42"/>
  <c r="AJ61" i="42"/>
  <c r="AA61" i="42"/>
  <c r="AI61" i="42"/>
  <c r="Z61" i="42"/>
  <c r="AH61" i="42"/>
  <c r="Y61" i="42"/>
  <c r="AG61" i="42"/>
  <c r="AO60" i="42"/>
  <c r="AE60" i="42"/>
  <c r="AM60" i="42" s="1"/>
  <c r="AD60" i="42"/>
  <c r="AL60" i="42" s="1"/>
  <c r="AC60" i="42"/>
  <c r="AK60" i="42" s="1"/>
  <c r="AB60" i="42"/>
  <c r="AJ60" i="42" s="1"/>
  <c r="AA60" i="42"/>
  <c r="Z60" i="42"/>
  <c r="AH60" i="42"/>
  <c r="Y60" i="42"/>
  <c r="AG60" i="42"/>
  <c r="AO59" i="42"/>
  <c r="AE59" i="42"/>
  <c r="AM59" i="42" s="1"/>
  <c r="AD59" i="42"/>
  <c r="AL59" i="42"/>
  <c r="AC59" i="42"/>
  <c r="AK59" i="42" s="1"/>
  <c r="AB59" i="42"/>
  <c r="AJ59" i="42" s="1"/>
  <c r="AA59" i="42"/>
  <c r="Z59" i="42"/>
  <c r="AH59" i="42"/>
  <c r="Y59" i="42"/>
  <c r="AG59" i="42" s="1"/>
  <c r="AO58" i="42"/>
  <c r="AE58" i="42"/>
  <c r="AM58" i="42" s="1"/>
  <c r="AD58" i="42"/>
  <c r="AL58" i="42" s="1"/>
  <c r="AC58" i="42"/>
  <c r="AK58" i="42" s="1"/>
  <c r="AB58" i="42"/>
  <c r="AJ58" i="42" s="1"/>
  <c r="AA58" i="42"/>
  <c r="Z58" i="42"/>
  <c r="AH58" i="42"/>
  <c r="Y58" i="42"/>
  <c r="AG58" i="42"/>
  <c r="AO57" i="42"/>
  <c r="AE57" i="42"/>
  <c r="AM57" i="42" s="1"/>
  <c r="AD57" i="42"/>
  <c r="AL57" i="42" s="1"/>
  <c r="AC57" i="42"/>
  <c r="AK57" i="42" s="1"/>
  <c r="AB57" i="42"/>
  <c r="AJ57" i="42"/>
  <c r="AA57" i="42"/>
  <c r="Z57" i="42"/>
  <c r="AH57" i="42"/>
  <c r="Y57" i="42"/>
  <c r="AG57" i="42"/>
  <c r="AO56" i="42"/>
  <c r="AE56" i="42"/>
  <c r="AM56" i="42"/>
  <c r="AD56" i="42"/>
  <c r="AL56" i="42" s="1"/>
  <c r="AC56" i="42"/>
  <c r="AK56" i="42" s="1"/>
  <c r="AB56" i="42"/>
  <c r="AJ56" i="42" s="1"/>
  <c r="AA56" i="42"/>
  <c r="Z56" i="42"/>
  <c r="AH56" i="42" s="1"/>
  <c r="Y56" i="42"/>
  <c r="AG56" i="42"/>
  <c r="AO55" i="42"/>
  <c r="AE55" i="42"/>
  <c r="AM55" i="42" s="1"/>
  <c r="AD55" i="42"/>
  <c r="AL55" i="42" s="1"/>
  <c r="AC55" i="42"/>
  <c r="AK55" i="42" s="1"/>
  <c r="AB55" i="42"/>
  <c r="AJ55" i="42" s="1"/>
  <c r="AA55" i="42"/>
  <c r="Z55" i="42"/>
  <c r="AH55" i="42"/>
  <c r="Y55" i="42"/>
  <c r="AG55" i="42" s="1"/>
  <c r="AO54" i="42"/>
  <c r="AE54" i="42"/>
  <c r="AM54" i="42" s="1"/>
  <c r="AD54" i="42"/>
  <c r="AL54" i="42" s="1"/>
  <c r="AC54" i="42"/>
  <c r="AK54" i="42"/>
  <c r="AB54" i="42"/>
  <c r="AJ54" i="42" s="1"/>
  <c r="AA54" i="42"/>
  <c r="Z54" i="42"/>
  <c r="AH54" i="42"/>
  <c r="Y54" i="42"/>
  <c r="AG54" i="42"/>
  <c r="AO53" i="42"/>
  <c r="AE53" i="42"/>
  <c r="AM53" i="42" s="1"/>
  <c r="AD53" i="42"/>
  <c r="AL53" i="42" s="1"/>
  <c r="AC53" i="42"/>
  <c r="AK53" i="42" s="1"/>
  <c r="AB53" i="42"/>
  <c r="AJ53" i="42" s="1"/>
  <c r="AA53" i="42"/>
  <c r="Z53" i="42"/>
  <c r="AH53" i="42"/>
  <c r="Y53" i="42"/>
  <c r="AG53" i="42"/>
  <c r="AO52" i="42"/>
  <c r="AE52" i="42"/>
  <c r="AM52" i="42" s="1"/>
  <c r="AD52" i="42"/>
  <c r="AL52" i="42" s="1"/>
  <c r="AC52" i="42"/>
  <c r="AK52" i="42" s="1"/>
  <c r="AB52" i="42"/>
  <c r="AJ52" i="42" s="1"/>
  <c r="AA52" i="42"/>
  <c r="Z52" i="42"/>
  <c r="AH52" i="42"/>
  <c r="Y52" i="42"/>
  <c r="AG52" i="42"/>
  <c r="AO51" i="42"/>
  <c r="AE51" i="42"/>
  <c r="AM51" i="42" s="1"/>
  <c r="AD51" i="42"/>
  <c r="AL51" i="42"/>
  <c r="AC51" i="42"/>
  <c r="AK51" i="42" s="1"/>
  <c r="AB51" i="42"/>
  <c r="AJ51" i="42" s="1"/>
  <c r="AA51" i="42"/>
  <c r="Z51" i="42"/>
  <c r="AH51" i="42"/>
  <c r="Y51" i="42"/>
  <c r="AG51" i="42" s="1"/>
  <c r="AO50" i="42"/>
  <c r="AE50" i="42"/>
  <c r="AM50" i="42" s="1"/>
  <c r="AD50" i="42"/>
  <c r="AL50" i="42" s="1"/>
  <c r="AC50" i="42"/>
  <c r="AK50" i="42" s="1"/>
  <c r="AB50" i="42"/>
  <c r="AJ50" i="42" s="1"/>
  <c r="AA50" i="42"/>
  <c r="Z50" i="42"/>
  <c r="AH50" i="42"/>
  <c r="Y50" i="42"/>
  <c r="AG50" i="42"/>
  <c r="AO49" i="42"/>
  <c r="AE49" i="42"/>
  <c r="AM49" i="42" s="1"/>
  <c r="AD49" i="42"/>
  <c r="AL49" i="42" s="1"/>
  <c r="AC49" i="42"/>
  <c r="AK49" i="42" s="1"/>
  <c r="AB49" i="42"/>
  <c r="AJ49" i="42"/>
  <c r="AA49" i="42"/>
  <c r="Z49" i="42"/>
  <c r="AH49" i="42"/>
  <c r="Y49" i="42"/>
  <c r="AG49" i="42"/>
  <c r="AO48" i="42"/>
  <c r="AE48" i="42"/>
  <c r="AM48" i="42"/>
  <c r="AD48" i="42"/>
  <c r="AL48" i="42" s="1"/>
  <c r="AC48" i="42"/>
  <c r="AK48" i="42" s="1"/>
  <c r="AB48" i="42"/>
  <c r="AJ48" i="42" s="1"/>
  <c r="AA48" i="42"/>
  <c r="Z48" i="42"/>
  <c r="Y48" i="42"/>
  <c r="AG48" i="42" s="1"/>
  <c r="AO47" i="42"/>
  <c r="AE47" i="42"/>
  <c r="AM47" i="42"/>
  <c r="AD47" i="42"/>
  <c r="AL47" i="42"/>
  <c r="AC47" i="42"/>
  <c r="AK47" i="42"/>
  <c r="AB47" i="42"/>
  <c r="AJ47" i="42"/>
  <c r="AA47" i="42"/>
  <c r="Z47" i="42"/>
  <c r="Y47" i="42"/>
  <c r="AG47" i="42"/>
  <c r="AO46" i="42"/>
  <c r="AE46" i="42"/>
  <c r="AM46" i="42" s="1"/>
  <c r="AD46" i="42"/>
  <c r="AL46" i="42" s="1"/>
  <c r="AC46" i="42"/>
  <c r="AK46" i="42" s="1"/>
  <c r="AB46" i="42"/>
  <c r="AJ46" i="42"/>
  <c r="AA46" i="42"/>
  <c r="Z46" i="42"/>
  <c r="Y46" i="42"/>
  <c r="AG46" i="42" s="1"/>
  <c r="AO45" i="42"/>
  <c r="AE45" i="42"/>
  <c r="AM45" i="42"/>
  <c r="AD45" i="42"/>
  <c r="AL45" i="42"/>
  <c r="AC45" i="42"/>
  <c r="AK45" i="42"/>
  <c r="AB45" i="42"/>
  <c r="AJ45" i="42"/>
  <c r="AA45" i="42"/>
  <c r="Z45" i="42"/>
  <c r="Y45" i="42"/>
  <c r="AG45" i="42"/>
  <c r="AO44" i="42"/>
  <c r="AE44" i="42"/>
  <c r="AM44" i="42" s="1"/>
  <c r="AD44" i="42"/>
  <c r="AL44" i="42" s="1"/>
  <c r="AC44" i="42"/>
  <c r="AK44" i="42" s="1"/>
  <c r="AB44" i="42"/>
  <c r="AJ44" i="42" s="1"/>
  <c r="AA44" i="42"/>
  <c r="Z44" i="42"/>
  <c r="AH44" i="42"/>
  <c r="Y44" i="42"/>
  <c r="AG44" i="42"/>
  <c r="AO43" i="42"/>
  <c r="AE43" i="42"/>
  <c r="AM43" i="42" s="1"/>
  <c r="AD43" i="42"/>
  <c r="AL43" i="42" s="1"/>
  <c r="AC43" i="42"/>
  <c r="AK43" i="42" s="1"/>
  <c r="AB43" i="42"/>
  <c r="AJ43" i="42"/>
  <c r="AA43" i="42"/>
  <c r="Z43" i="42"/>
  <c r="Y43" i="42"/>
  <c r="AG43" i="42" s="1"/>
  <c r="AO42" i="42"/>
  <c r="AE42" i="42"/>
  <c r="AM42" i="42"/>
  <c r="AD42" i="42"/>
  <c r="AL42" i="42"/>
  <c r="AC42" i="42"/>
  <c r="AK42" i="42"/>
  <c r="AB42" i="42"/>
  <c r="AJ42" i="42"/>
  <c r="AA42" i="42"/>
  <c r="Z42" i="42"/>
  <c r="Y42" i="42"/>
  <c r="AG42" i="42"/>
  <c r="AO41" i="42"/>
  <c r="AE41" i="42"/>
  <c r="AM41" i="42" s="1"/>
  <c r="AD41" i="42"/>
  <c r="AL41" i="42" s="1"/>
  <c r="AC41" i="42"/>
  <c r="AK41" i="42" s="1"/>
  <c r="AB41" i="42"/>
  <c r="AJ41" i="42" s="1"/>
  <c r="AA41" i="42"/>
  <c r="Z41" i="42"/>
  <c r="Y41" i="42"/>
  <c r="AG41" i="42" s="1"/>
  <c r="AO40" i="42"/>
  <c r="AE40" i="42"/>
  <c r="AM40" i="42" s="1"/>
  <c r="AD40" i="42"/>
  <c r="AL40" i="42"/>
  <c r="AC40" i="42"/>
  <c r="AK40" i="42"/>
  <c r="AB40" i="42"/>
  <c r="AJ40" i="42"/>
  <c r="AA40" i="42"/>
  <c r="Z40" i="42"/>
  <c r="AH40" i="42" s="1"/>
  <c r="Y40" i="42"/>
  <c r="AG40" i="42" s="1"/>
  <c r="AO39" i="42"/>
  <c r="AE39" i="42"/>
  <c r="AM39" i="42"/>
  <c r="AD39" i="42"/>
  <c r="AL39" i="42" s="1"/>
  <c r="AC39" i="42"/>
  <c r="AK39" i="42"/>
  <c r="AB39" i="42"/>
  <c r="AJ39" i="42"/>
  <c r="AA39" i="42"/>
  <c r="Z39" i="42"/>
  <c r="Y39" i="42"/>
  <c r="AG39" i="42" s="1"/>
  <c r="AO38" i="42"/>
  <c r="AE38" i="42"/>
  <c r="AM38" i="42" s="1"/>
  <c r="AD38" i="42"/>
  <c r="AL38" i="42" s="1"/>
  <c r="AC38" i="42"/>
  <c r="AK38" i="42"/>
  <c r="AB38" i="42"/>
  <c r="AJ38" i="42" s="1"/>
  <c r="AA38" i="42"/>
  <c r="Z38" i="42"/>
  <c r="Y38" i="42"/>
  <c r="AG38" i="42" s="1"/>
  <c r="AO37" i="42"/>
  <c r="AE37" i="42"/>
  <c r="AM37" i="42"/>
  <c r="AD37" i="42"/>
  <c r="AL37" i="42"/>
  <c r="AC37" i="42"/>
  <c r="AK37" i="42"/>
  <c r="AB37" i="42"/>
  <c r="AJ37" i="42"/>
  <c r="AA37" i="42"/>
  <c r="Z37" i="42"/>
  <c r="Y37" i="42"/>
  <c r="AG37" i="42"/>
  <c r="AO36" i="42"/>
  <c r="AE36" i="42"/>
  <c r="AM36" i="42" s="1"/>
  <c r="AD36" i="42"/>
  <c r="AL36" i="42" s="1"/>
  <c r="AC36" i="42"/>
  <c r="AK36" i="42" s="1"/>
  <c r="AB36" i="42"/>
  <c r="AJ36" i="42" s="1"/>
  <c r="AA36" i="42"/>
  <c r="Z36" i="42"/>
  <c r="Y36" i="42"/>
  <c r="AG36" i="42" s="1"/>
  <c r="AO35" i="42"/>
  <c r="AE35" i="42"/>
  <c r="AM35" i="42"/>
  <c r="AD35" i="42"/>
  <c r="AL35" i="42"/>
  <c r="AC35" i="42"/>
  <c r="AK35" i="42"/>
  <c r="AB35" i="42"/>
  <c r="AJ35" i="42"/>
  <c r="AA35" i="42"/>
  <c r="Z35" i="42"/>
  <c r="AH35" i="42" s="1"/>
  <c r="Y35" i="42"/>
  <c r="AG35" i="42" s="1"/>
  <c r="AO34" i="42"/>
  <c r="AE34" i="42"/>
  <c r="AM34" i="42"/>
  <c r="AD34" i="42"/>
  <c r="AL34" i="42"/>
  <c r="AC34" i="42"/>
  <c r="AK34" i="42"/>
  <c r="AB34" i="42"/>
  <c r="AJ34" i="42"/>
  <c r="AA34" i="42"/>
  <c r="Z34" i="42"/>
  <c r="Y34" i="42"/>
  <c r="AG34" i="42"/>
  <c r="AO33" i="42"/>
  <c r="AE33" i="42"/>
  <c r="AM33" i="42" s="1"/>
  <c r="AD33" i="42"/>
  <c r="AL33" i="42"/>
  <c r="AC33" i="42"/>
  <c r="AK33" i="42" s="1"/>
  <c r="AB33" i="42"/>
  <c r="AJ33" i="42" s="1"/>
  <c r="AA33" i="42"/>
  <c r="Z33" i="42"/>
  <c r="Y33" i="42"/>
  <c r="AG33" i="42"/>
  <c r="AO32" i="42"/>
  <c r="AE32" i="42"/>
  <c r="AM32" i="42"/>
  <c r="AD32" i="42"/>
  <c r="AL32" i="42"/>
  <c r="AC32" i="42"/>
  <c r="AK32" i="42"/>
  <c r="AB32" i="42"/>
  <c r="AJ32" i="42"/>
  <c r="AA32" i="42"/>
  <c r="AI32" i="42"/>
  <c r="Z32" i="42"/>
  <c r="AH32" i="42"/>
  <c r="Y32" i="42"/>
  <c r="AG32" i="42"/>
  <c r="AO31" i="42"/>
  <c r="AE31" i="42"/>
  <c r="AM31" i="42" s="1"/>
  <c r="AD31" i="42"/>
  <c r="AL31" i="42" s="1"/>
  <c r="AC31" i="42"/>
  <c r="AK31" i="42" s="1"/>
  <c r="AB31" i="42"/>
  <c r="AJ31" i="42" s="1"/>
  <c r="AA31" i="42"/>
  <c r="AI31" i="42" s="1"/>
  <c r="Z31" i="42"/>
  <c r="AH31" i="42" s="1"/>
  <c r="Y31" i="42"/>
  <c r="AG31" i="42" s="1"/>
  <c r="AO30" i="42"/>
  <c r="AE30" i="42"/>
  <c r="AM30" i="42"/>
  <c r="AD30" i="42"/>
  <c r="AL30" i="42"/>
  <c r="AC30" i="42"/>
  <c r="AK30" i="42"/>
  <c r="AB30" i="42"/>
  <c r="AA30" i="42"/>
  <c r="AI30" i="42"/>
  <c r="Z30" i="42"/>
  <c r="AH30" i="42" s="1"/>
  <c r="Y30" i="42"/>
  <c r="AG30" i="42" s="1"/>
  <c r="AO29" i="42"/>
  <c r="AE29" i="42"/>
  <c r="AM29" i="42"/>
  <c r="AD29" i="42"/>
  <c r="AL29" i="42"/>
  <c r="AC29" i="42"/>
  <c r="AK29" i="42"/>
  <c r="AB29" i="42"/>
  <c r="AA29" i="42"/>
  <c r="AI29" i="42" s="1"/>
  <c r="Z29" i="42"/>
  <c r="AH29" i="42" s="1"/>
  <c r="Y29" i="42"/>
  <c r="AG29" i="42" s="1"/>
  <c r="AO28" i="42"/>
  <c r="AE28" i="42"/>
  <c r="AM28" i="42"/>
  <c r="AD28" i="42"/>
  <c r="AL28" i="42"/>
  <c r="AC28" i="42"/>
  <c r="AK28" i="42" s="1"/>
  <c r="AB28" i="42"/>
  <c r="AA28" i="42"/>
  <c r="AI28" i="42" s="1"/>
  <c r="Z28" i="42"/>
  <c r="AH28" i="42" s="1"/>
  <c r="Y28" i="42"/>
  <c r="AG28" i="42" s="1"/>
  <c r="AO27" i="42"/>
  <c r="AE27" i="42"/>
  <c r="AM27" i="42"/>
  <c r="AD27" i="42"/>
  <c r="AL27" i="42"/>
  <c r="AC27" i="42"/>
  <c r="AK27" i="42"/>
  <c r="AB27" i="42"/>
  <c r="AA27" i="42"/>
  <c r="AI27" i="42" s="1"/>
  <c r="Z27" i="42"/>
  <c r="AH27" i="42" s="1"/>
  <c r="Y27" i="42"/>
  <c r="AG27" i="42" s="1"/>
  <c r="AO12" i="42"/>
  <c r="AE12" i="42"/>
  <c r="AM12" i="42"/>
  <c r="AD12" i="42"/>
  <c r="AL12" i="42"/>
  <c r="AC12" i="42"/>
  <c r="AK12" i="42"/>
  <c r="AB12" i="42"/>
  <c r="AA12" i="42"/>
  <c r="AI12" i="42"/>
  <c r="Z12" i="42"/>
  <c r="AH12" i="42" s="1"/>
  <c r="Y12" i="42"/>
  <c r="AG12" i="42" s="1"/>
  <c r="AO11" i="42"/>
  <c r="AE11" i="42"/>
  <c r="AM11" i="42"/>
  <c r="AD11" i="42"/>
  <c r="AL11" i="42"/>
  <c r="AC11" i="42"/>
  <c r="AK11" i="42"/>
  <c r="AB11" i="42"/>
  <c r="AA11" i="42"/>
  <c r="AI11" i="42" s="1"/>
  <c r="Z11" i="42"/>
  <c r="AH11" i="42"/>
  <c r="Y11" i="42"/>
  <c r="AG11" i="42" s="1"/>
  <c r="AO26" i="42"/>
  <c r="AE26" i="42"/>
  <c r="AM26" i="42"/>
  <c r="AD26" i="42"/>
  <c r="AL26" i="42"/>
  <c r="AC26" i="42"/>
  <c r="AK26" i="42"/>
  <c r="AB26" i="42"/>
  <c r="AA26" i="42"/>
  <c r="AI26" i="42" s="1"/>
  <c r="Z26" i="42"/>
  <c r="AH26" i="42" s="1"/>
  <c r="Y26" i="42"/>
  <c r="AG26" i="42"/>
  <c r="AO25" i="42"/>
  <c r="AE25" i="42"/>
  <c r="AM25" i="42"/>
  <c r="AD25" i="42"/>
  <c r="AL25" i="42"/>
  <c r="AC25" i="42"/>
  <c r="AK25" i="42"/>
  <c r="AB25" i="42"/>
  <c r="AA25" i="42"/>
  <c r="AI25" i="42" s="1"/>
  <c r="Z25" i="42"/>
  <c r="AH25" i="42" s="1"/>
  <c r="Y25" i="42"/>
  <c r="AG25" i="42" s="1"/>
  <c r="AO9" i="42"/>
  <c r="AE9" i="42"/>
  <c r="AM9" i="42"/>
  <c r="AD9" i="42"/>
  <c r="AL9" i="42"/>
  <c r="AC9" i="42"/>
  <c r="AK9" i="42"/>
  <c r="AB9" i="42"/>
  <c r="AA9" i="42"/>
  <c r="AI9" i="42"/>
  <c r="Z9" i="42"/>
  <c r="AH9" i="42" s="1"/>
  <c r="Y9" i="42"/>
  <c r="AG9" i="42" s="1"/>
  <c r="AO10" i="42"/>
  <c r="AE10" i="42"/>
  <c r="AM10" i="42"/>
  <c r="AD10" i="42"/>
  <c r="AL10" i="42" s="1"/>
  <c r="AC10" i="42"/>
  <c r="AK10" i="42"/>
  <c r="AB10" i="42"/>
  <c r="AA10" i="42"/>
  <c r="AI10" i="42" s="1"/>
  <c r="Z10" i="42"/>
  <c r="AH10" i="42" s="1"/>
  <c r="Y10" i="42"/>
  <c r="AG10" i="42" s="1"/>
  <c r="AO8" i="42"/>
  <c r="AE8" i="42"/>
  <c r="AM8" i="42"/>
  <c r="AD8" i="42"/>
  <c r="AL8" i="42"/>
  <c r="AC8" i="42"/>
  <c r="AK8" i="42" s="1"/>
  <c r="AB8" i="42"/>
  <c r="AJ8" i="42"/>
  <c r="AA8" i="42"/>
  <c r="AI8" i="42"/>
  <c r="Z8" i="42"/>
  <c r="AH8" i="42"/>
  <c r="Y8" i="42"/>
  <c r="AG8" i="42" s="1"/>
  <c r="AO7" i="42"/>
  <c r="AE7" i="42"/>
  <c r="AM7" i="42" s="1"/>
  <c r="AD7" i="42"/>
  <c r="AL7" i="42" s="1"/>
  <c r="AC7" i="42"/>
  <c r="AK7" i="42"/>
  <c r="AB7" i="42"/>
  <c r="AJ7" i="42" s="1"/>
  <c r="AA7" i="42"/>
  <c r="AI7" i="42" s="1"/>
  <c r="Z7" i="42"/>
  <c r="AH7" i="42" s="1"/>
  <c r="Y7" i="42"/>
  <c r="AG7" i="42" s="1"/>
  <c r="AO21" i="42"/>
  <c r="AE21" i="42"/>
  <c r="AM21" i="42"/>
  <c r="AD21" i="42"/>
  <c r="AL21" i="42"/>
  <c r="AC21" i="42"/>
  <c r="AK21" i="42"/>
  <c r="AB21" i="42"/>
  <c r="AJ21" i="42"/>
  <c r="AA21" i="42"/>
  <c r="AI21" i="42"/>
  <c r="Z21" i="42"/>
  <c r="AH21" i="42"/>
  <c r="Y21" i="42"/>
  <c r="AG21" i="42"/>
  <c r="AO14" i="42"/>
  <c r="AE14" i="42"/>
  <c r="AM14" i="42" s="1"/>
  <c r="AD14" i="42"/>
  <c r="AL14" i="42" s="1"/>
  <c r="AC14" i="42"/>
  <c r="AK14" i="42" s="1"/>
  <c r="AB14" i="42"/>
  <c r="AJ14" i="42"/>
  <c r="AA14" i="42"/>
  <c r="AI14" i="42" s="1"/>
  <c r="Z14" i="42"/>
  <c r="AH14" i="42" s="1"/>
  <c r="Y14" i="42"/>
  <c r="AG14" i="42" s="1"/>
  <c r="AO23" i="42"/>
  <c r="AE23" i="42"/>
  <c r="AM23" i="42"/>
  <c r="AD23" i="42"/>
  <c r="AL23" i="42"/>
  <c r="AC23" i="42"/>
  <c r="AK23" i="42"/>
  <c r="AB23" i="42"/>
  <c r="AJ23" i="42"/>
  <c r="AA23" i="42"/>
  <c r="AI23" i="42"/>
  <c r="Z23" i="42"/>
  <c r="AH23" i="42"/>
  <c r="Y23" i="42"/>
  <c r="AG23" i="42"/>
  <c r="AO22" i="42"/>
  <c r="AE22" i="42"/>
  <c r="AM22" i="42"/>
  <c r="AD22" i="42"/>
  <c r="AL22" i="42" s="1"/>
  <c r="AC22" i="42"/>
  <c r="AK22" i="42" s="1"/>
  <c r="AB22" i="42"/>
  <c r="AJ22" i="42" s="1"/>
  <c r="AA22" i="42"/>
  <c r="AI22" i="42"/>
  <c r="Z22" i="42"/>
  <c r="AH22" i="42" s="1"/>
  <c r="Y22" i="42"/>
  <c r="AG22" i="42" s="1"/>
  <c r="AO20" i="42"/>
  <c r="AE20" i="42"/>
  <c r="AM20" i="42"/>
  <c r="AD20" i="42"/>
  <c r="AL20" i="42" s="1"/>
  <c r="AC20" i="42"/>
  <c r="AK20" i="42"/>
  <c r="AB20" i="42"/>
  <c r="AJ20" i="42"/>
  <c r="AA20" i="42"/>
  <c r="AI20" i="42"/>
  <c r="Z20" i="42"/>
  <c r="AH20" i="42" s="1"/>
  <c r="Y20" i="42"/>
  <c r="AG20" i="42"/>
  <c r="AO19" i="42"/>
  <c r="AE19" i="42"/>
  <c r="AM19" i="42" s="1"/>
  <c r="AD19" i="42"/>
  <c r="AL19" i="42"/>
  <c r="AC19" i="42"/>
  <c r="AK19" i="42" s="1"/>
  <c r="AB19" i="42"/>
  <c r="AJ19" i="42" s="1"/>
  <c r="AA19" i="42"/>
  <c r="AI19" i="42" s="1"/>
  <c r="Z19" i="42"/>
  <c r="AH19" i="42"/>
  <c r="Y19" i="42"/>
  <c r="AG19" i="42" s="1"/>
  <c r="AO18" i="42"/>
  <c r="AE18" i="42"/>
  <c r="AM18" i="42"/>
  <c r="AD18" i="42"/>
  <c r="AL18" i="42"/>
  <c r="AC18" i="42"/>
  <c r="AK18" i="42"/>
  <c r="AB18" i="42"/>
  <c r="AJ18" i="42"/>
  <c r="AA18" i="42"/>
  <c r="AI18" i="42"/>
  <c r="Z18" i="42"/>
  <c r="AH18" i="42"/>
  <c r="Y18" i="42"/>
  <c r="AG18" i="42"/>
  <c r="AO17" i="42"/>
  <c r="AE17" i="42"/>
  <c r="AM17" i="42" s="1"/>
  <c r="AD17" i="42"/>
  <c r="AL17" i="42" s="1"/>
  <c r="AC17" i="42"/>
  <c r="AK17" i="42" s="1"/>
  <c r="AB17" i="42"/>
  <c r="AJ17" i="42" s="1"/>
  <c r="AA17" i="42"/>
  <c r="AI17" i="42" s="1"/>
  <c r="Z17" i="42"/>
  <c r="AH17" i="42" s="1"/>
  <c r="Y17" i="42"/>
  <c r="AG17" i="42"/>
  <c r="AO16" i="42"/>
  <c r="AE16" i="42"/>
  <c r="AM16" i="42"/>
  <c r="AD16" i="42"/>
  <c r="AL16" i="42"/>
  <c r="AC16" i="42"/>
  <c r="AK16" i="42"/>
  <c r="AB16" i="42"/>
  <c r="AJ16" i="42"/>
  <c r="AA16" i="42"/>
  <c r="AI16" i="42"/>
  <c r="Z16" i="42"/>
  <c r="AH16" i="42"/>
  <c r="Y16" i="42"/>
  <c r="AG16" i="42"/>
  <c r="AO13" i="42"/>
  <c r="AE13" i="42"/>
  <c r="AM13" i="42" s="1"/>
  <c r="AD13" i="42"/>
  <c r="AL13" i="42" s="1"/>
  <c r="AC13" i="42"/>
  <c r="AK13" i="42" s="1"/>
  <c r="AB13" i="42"/>
  <c r="AJ13" i="42" s="1"/>
  <c r="AA13" i="42"/>
  <c r="AI13" i="42" s="1"/>
  <c r="Z13" i="42"/>
  <c r="AH13" i="42" s="1"/>
  <c r="Y13" i="42"/>
  <c r="AG13" i="42" s="1"/>
  <c r="AO24" i="42"/>
  <c r="AE24" i="42"/>
  <c r="AM24" i="42" s="1"/>
  <c r="AD24" i="42"/>
  <c r="AL24" i="42"/>
  <c r="AC24" i="42"/>
  <c r="AK24" i="42"/>
  <c r="AB24" i="42"/>
  <c r="AJ24" i="42"/>
  <c r="AA24" i="42"/>
  <c r="AI24" i="42" s="1"/>
  <c r="Z24" i="42"/>
  <c r="AH24" i="42"/>
  <c r="Y24" i="42"/>
  <c r="AG24" i="42"/>
  <c r="AO15" i="42"/>
  <c r="AE15" i="42"/>
  <c r="AM15" i="42"/>
  <c r="AD15" i="42"/>
  <c r="AL15" i="42" s="1"/>
  <c r="AC15" i="42"/>
  <c r="AK15" i="42" s="1"/>
  <c r="AB15" i="42"/>
  <c r="AJ15" i="42" s="1"/>
  <c r="AA15" i="42"/>
  <c r="AI15" i="42"/>
  <c r="Z15" i="42"/>
  <c r="AH15" i="42" s="1"/>
  <c r="Y15" i="42"/>
  <c r="AG15" i="42" s="1"/>
  <c r="AO6" i="42"/>
  <c r="AO4" i="42" s="1"/>
  <c r="AE6" i="42"/>
  <c r="AM6" i="42"/>
  <c r="AD6" i="42"/>
  <c r="AL6" i="42"/>
  <c r="AC6" i="42"/>
  <c r="AK6" i="42"/>
  <c r="AB6" i="42"/>
  <c r="AJ6" i="42"/>
  <c r="AA6" i="42"/>
  <c r="AI6" i="42"/>
  <c r="Z6" i="42"/>
  <c r="AH6" i="42"/>
  <c r="Y6" i="42"/>
  <c r="AG6" i="42"/>
  <c r="L4" i="42"/>
  <c r="L3" i="42" s="1"/>
  <c r="K3" i="42"/>
  <c r="J4" i="6"/>
  <c r="J3" i="6"/>
  <c r="I222" i="6"/>
  <c r="I4" i="6"/>
  <c r="F3" i="6"/>
  <c r="X33" i="6"/>
  <c r="W235" i="6"/>
  <c r="AE235" i="6"/>
  <c r="X235" i="6"/>
  <c r="AF235" i="6"/>
  <c r="Y235" i="6"/>
  <c r="Z235" i="6"/>
  <c r="AH235" i="6" s="1"/>
  <c r="AA235" i="6"/>
  <c r="AI235" i="6" s="1"/>
  <c r="AB235" i="6"/>
  <c r="AJ235" i="6"/>
  <c r="AC235" i="6"/>
  <c r="AK235" i="6" s="1"/>
  <c r="W79" i="6"/>
  <c r="X79" i="6"/>
  <c r="AF79" i="6"/>
  <c r="Y79" i="6"/>
  <c r="AG79" i="6"/>
  <c r="Z79" i="6"/>
  <c r="AH79" i="6"/>
  <c r="AA79" i="6"/>
  <c r="AI79" i="6"/>
  <c r="AB79" i="6"/>
  <c r="AJ79" i="6"/>
  <c r="AC79" i="6"/>
  <c r="AK79" i="6"/>
  <c r="W80" i="6"/>
  <c r="X80" i="6"/>
  <c r="AF80" i="6" s="1"/>
  <c r="Y80" i="6"/>
  <c r="AG80" i="6" s="1"/>
  <c r="Z80" i="6"/>
  <c r="AH80" i="6" s="1"/>
  <c r="AA80" i="6"/>
  <c r="AI80" i="6" s="1"/>
  <c r="AB80" i="6"/>
  <c r="AJ80" i="6" s="1"/>
  <c r="AC80" i="6"/>
  <c r="AK80" i="6" s="1"/>
  <c r="W81" i="6"/>
  <c r="X81" i="6"/>
  <c r="AF81" i="6"/>
  <c r="Y81" i="6"/>
  <c r="AG81" i="6"/>
  <c r="Z81" i="6"/>
  <c r="AH81" i="6"/>
  <c r="AA81" i="6"/>
  <c r="AI81" i="6"/>
  <c r="AB81" i="6"/>
  <c r="AJ81" i="6"/>
  <c r="AC81" i="6"/>
  <c r="AK81" i="6"/>
  <c r="W82" i="6"/>
  <c r="X82" i="6"/>
  <c r="AF82" i="6" s="1"/>
  <c r="Y82" i="6"/>
  <c r="AG82" i="6" s="1"/>
  <c r="Z82" i="6"/>
  <c r="AH82" i="6"/>
  <c r="AA82" i="6"/>
  <c r="AI82" i="6" s="1"/>
  <c r="AB82" i="6"/>
  <c r="AJ82" i="6" s="1"/>
  <c r="AC82" i="6"/>
  <c r="AK82" i="6" s="1"/>
  <c r="W83" i="6"/>
  <c r="X83" i="6"/>
  <c r="AF83" i="6"/>
  <c r="Y83" i="6"/>
  <c r="AG83" i="6"/>
  <c r="Z83" i="6"/>
  <c r="AH83" i="6"/>
  <c r="AA83" i="6"/>
  <c r="AI83" i="6"/>
  <c r="AB83" i="6"/>
  <c r="AJ83" i="6"/>
  <c r="AC83" i="6"/>
  <c r="AK83" i="6"/>
  <c r="W84" i="6"/>
  <c r="X84" i="6"/>
  <c r="AF84" i="6" s="1"/>
  <c r="Y84" i="6"/>
  <c r="AG84" i="6" s="1"/>
  <c r="Z84" i="6"/>
  <c r="AH84" i="6" s="1"/>
  <c r="AA84" i="6"/>
  <c r="AI84" i="6" s="1"/>
  <c r="AB84" i="6"/>
  <c r="AJ84" i="6" s="1"/>
  <c r="AC84" i="6"/>
  <c r="AK84" i="6"/>
  <c r="W85" i="6"/>
  <c r="X85" i="6"/>
  <c r="AF85" i="6"/>
  <c r="Y85" i="6"/>
  <c r="AG85" i="6"/>
  <c r="Z85" i="6"/>
  <c r="AH85" i="6"/>
  <c r="AA85" i="6"/>
  <c r="AI85" i="6" s="1"/>
  <c r="AB85" i="6"/>
  <c r="AJ85" i="6"/>
  <c r="AC85" i="6"/>
  <c r="AK85" i="6"/>
  <c r="AB168" i="6"/>
  <c r="W256" i="6"/>
  <c r="AE256" i="6" s="1"/>
  <c r="X256" i="6"/>
  <c r="AF256" i="6" s="1"/>
  <c r="Y256" i="6"/>
  <c r="AG256" i="6" s="1"/>
  <c r="Z256" i="6"/>
  <c r="AH256" i="6" s="1"/>
  <c r="AA256" i="6"/>
  <c r="AI256" i="6"/>
  <c r="AB256" i="6"/>
  <c r="AJ256" i="6" s="1"/>
  <c r="AC256" i="6"/>
  <c r="AK256" i="6" s="1"/>
  <c r="A4" i="6"/>
  <c r="W166" i="6"/>
  <c r="AE166" i="6"/>
  <c r="X166" i="6"/>
  <c r="AF166" i="6"/>
  <c r="Y166" i="6"/>
  <c r="AG166" i="6"/>
  <c r="Z166" i="6"/>
  <c r="AH166" i="6"/>
  <c r="AA166" i="6"/>
  <c r="AI166" i="6"/>
  <c r="AB166" i="6"/>
  <c r="AJ166" i="6"/>
  <c r="AC166" i="6"/>
  <c r="AK166" i="6"/>
  <c r="W167" i="6"/>
  <c r="AE167" i="6"/>
  <c r="X167" i="6"/>
  <c r="AF167" i="6"/>
  <c r="Y167" i="6"/>
  <c r="AG167" i="6"/>
  <c r="Z167" i="6"/>
  <c r="AH167" i="6"/>
  <c r="AA167" i="6"/>
  <c r="AI167" i="6"/>
  <c r="AB167" i="6"/>
  <c r="AJ167" i="6"/>
  <c r="AC167" i="6"/>
  <c r="AK167" i="6"/>
  <c r="W113" i="6"/>
  <c r="AC151" i="6"/>
  <c r="X339" i="6"/>
  <c r="X340" i="6"/>
  <c r="X338" i="6"/>
  <c r="X333" i="6"/>
  <c r="W203" i="6"/>
  <c r="AE203" i="6"/>
  <c r="X203" i="6"/>
  <c r="Y203" i="6"/>
  <c r="AG203" i="6" s="1"/>
  <c r="Z203" i="6"/>
  <c r="AH203" i="6" s="1"/>
  <c r="AA203" i="6"/>
  <c r="AI203" i="6" s="1"/>
  <c r="AB203" i="6"/>
  <c r="AJ203" i="6" s="1"/>
  <c r="AC203" i="6"/>
  <c r="AK203" i="6" s="1"/>
  <c r="W205" i="6"/>
  <c r="AE205" i="6" s="1"/>
  <c r="X205" i="6"/>
  <c r="AF205" i="6"/>
  <c r="Y205" i="6"/>
  <c r="AG205" i="6" s="1"/>
  <c r="Z205" i="6"/>
  <c r="AH205" i="6" s="1"/>
  <c r="AA205" i="6"/>
  <c r="AI205" i="6" s="1"/>
  <c r="AB205" i="6"/>
  <c r="AJ205" i="6" s="1"/>
  <c r="AC205" i="6"/>
  <c r="AK205" i="6" s="1"/>
  <c r="AC165" i="6"/>
  <c r="W107" i="6"/>
  <c r="X337" i="6"/>
  <c r="X195" i="6"/>
  <c r="X194" i="6"/>
  <c r="AB151" i="6"/>
  <c r="X198" i="6"/>
  <c r="X196" i="6"/>
  <c r="X326" i="6"/>
  <c r="W33" i="6"/>
  <c r="AE33" i="6"/>
  <c r="Y33" i="6"/>
  <c r="Z33" i="6"/>
  <c r="AH33" i="6"/>
  <c r="AA33" i="6"/>
  <c r="AI33" i="6" s="1"/>
  <c r="AB33" i="6"/>
  <c r="AJ33" i="6" s="1"/>
  <c r="AC33" i="6"/>
  <c r="AK33" i="6" s="1"/>
  <c r="W34" i="6"/>
  <c r="AE34" i="6"/>
  <c r="X34" i="6"/>
  <c r="Y34" i="6"/>
  <c r="Z34" i="6"/>
  <c r="AH34" i="6" s="1"/>
  <c r="AA34" i="6"/>
  <c r="AI34" i="6" s="1"/>
  <c r="AB34" i="6"/>
  <c r="AJ34" i="6"/>
  <c r="AC34" i="6"/>
  <c r="AK34" i="6" s="1"/>
  <c r="W35" i="6"/>
  <c r="AE35" i="6" s="1"/>
  <c r="X35" i="6"/>
  <c r="AF35" i="6" s="1"/>
  <c r="Y35" i="6"/>
  <c r="Z35" i="6"/>
  <c r="AH35" i="6" s="1"/>
  <c r="AA35" i="6"/>
  <c r="AI35" i="6"/>
  <c r="AB35" i="6"/>
  <c r="AJ35" i="6"/>
  <c r="AC35" i="6"/>
  <c r="AK35" i="6"/>
  <c r="W36" i="6"/>
  <c r="AE36" i="6" s="1"/>
  <c r="X36" i="6"/>
  <c r="Y36" i="6"/>
  <c r="Z36" i="6"/>
  <c r="AH36" i="6"/>
  <c r="AA36" i="6"/>
  <c r="AI36" i="6"/>
  <c r="AB36" i="6"/>
  <c r="AJ36" i="6" s="1"/>
  <c r="AC36" i="6"/>
  <c r="AK36" i="6"/>
  <c r="W37" i="6"/>
  <c r="AE37" i="6"/>
  <c r="X37" i="6"/>
  <c r="Y37" i="6"/>
  <c r="Z37" i="6"/>
  <c r="AH37" i="6" s="1"/>
  <c r="AA37" i="6"/>
  <c r="AI37" i="6"/>
  <c r="AB37" i="6"/>
  <c r="AJ37" i="6"/>
  <c r="AC37" i="6"/>
  <c r="AK37" i="6"/>
  <c r="W38" i="6"/>
  <c r="AE38" i="6" s="1"/>
  <c r="X38" i="6"/>
  <c r="Y38" i="6"/>
  <c r="Z38" i="6"/>
  <c r="AH38" i="6"/>
  <c r="AA38" i="6"/>
  <c r="AI38" i="6"/>
  <c r="AB38" i="6"/>
  <c r="AJ38" i="6" s="1"/>
  <c r="AC38" i="6"/>
  <c r="AK38" i="6"/>
  <c r="W39" i="6"/>
  <c r="AE39" i="6"/>
  <c r="X39" i="6"/>
  <c r="Y39" i="6"/>
  <c r="Z39" i="6"/>
  <c r="AH39" i="6" s="1"/>
  <c r="AA39" i="6"/>
  <c r="AI39" i="6"/>
  <c r="AB39" i="6"/>
  <c r="AJ39" i="6"/>
  <c r="AC39" i="6"/>
  <c r="AK39" i="6"/>
  <c r="W40" i="6"/>
  <c r="AE40" i="6" s="1"/>
  <c r="X40" i="6"/>
  <c r="AF40" i="6"/>
  <c r="Y40" i="6"/>
  <c r="Z40" i="6"/>
  <c r="AH40" i="6" s="1"/>
  <c r="AA40" i="6"/>
  <c r="AI40" i="6" s="1"/>
  <c r="AB40" i="6"/>
  <c r="AJ40" i="6" s="1"/>
  <c r="AC40" i="6"/>
  <c r="AK40" i="6" s="1"/>
  <c r="W41" i="6"/>
  <c r="AE41" i="6" s="1"/>
  <c r="X41" i="6"/>
  <c r="Y41" i="6"/>
  <c r="Z41" i="6"/>
  <c r="AH41" i="6" s="1"/>
  <c r="AA41" i="6"/>
  <c r="AI41" i="6" s="1"/>
  <c r="AB41" i="6"/>
  <c r="AJ41" i="6" s="1"/>
  <c r="AC41" i="6"/>
  <c r="AK41" i="6" s="1"/>
  <c r="W42" i="6"/>
  <c r="AE42" i="6" s="1"/>
  <c r="X42" i="6"/>
  <c r="Y42" i="6"/>
  <c r="Z42" i="6"/>
  <c r="AH42" i="6" s="1"/>
  <c r="AA42" i="6"/>
  <c r="AI42" i="6" s="1"/>
  <c r="AB42" i="6"/>
  <c r="AJ42" i="6" s="1"/>
  <c r="AC42" i="6"/>
  <c r="AK42" i="6" s="1"/>
  <c r="W43" i="6"/>
  <c r="AE43" i="6" s="1"/>
  <c r="X43" i="6"/>
  <c r="Y43" i="6"/>
  <c r="Z43" i="6"/>
  <c r="AH43" i="6" s="1"/>
  <c r="AA43" i="6"/>
  <c r="AI43" i="6" s="1"/>
  <c r="AB43" i="6"/>
  <c r="AJ43" i="6" s="1"/>
  <c r="AC43" i="6"/>
  <c r="AK43" i="6" s="1"/>
  <c r="W44" i="6"/>
  <c r="AE44" i="6" s="1"/>
  <c r="X44" i="6"/>
  <c r="AF44" i="6" s="1"/>
  <c r="Y44" i="6"/>
  <c r="Z44" i="6"/>
  <c r="AH44" i="6"/>
  <c r="AA44" i="6"/>
  <c r="AI44" i="6"/>
  <c r="AB44" i="6"/>
  <c r="AJ44" i="6"/>
  <c r="AC44" i="6"/>
  <c r="AK44" i="6"/>
  <c r="W45" i="6"/>
  <c r="AE45" i="6"/>
  <c r="X45" i="6"/>
  <c r="Y45" i="6"/>
  <c r="Z45" i="6"/>
  <c r="AH45" i="6"/>
  <c r="AA45" i="6"/>
  <c r="AI45" i="6"/>
  <c r="AB45" i="6"/>
  <c r="AJ45" i="6"/>
  <c r="AC45" i="6"/>
  <c r="AK45" i="6"/>
  <c r="W46" i="6"/>
  <c r="AE46" i="6"/>
  <c r="X46" i="6"/>
  <c r="Y46" i="6"/>
  <c r="Z46" i="6"/>
  <c r="AH46" i="6"/>
  <c r="AA46" i="6"/>
  <c r="AI46" i="6"/>
  <c r="AB46" i="6"/>
  <c r="AJ46" i="6"/>
  <c r="AC46" i="6"/>
  <c r="AK46" i="6"/>
  <c r="W47" i="6"/>
  <c r="AE47" i="6"/>
  <c r="X47" i="6"/>
  <c r="Y47" i="6"/>
  <c r="Z47" i="6"/>
  <c r="AH47" i="6"/>
  <c r="AA47" i="6"/>
  <c r="AI47" i="6"/>
  <c r="AB47" i="6"/>
  <c r="AJ47" i="6"/>
  <c r="AC47" i="6"/>
  <c r="AK47" i="6"/>
  <c r="W48" i="6"/>
  <c r="AE48" i="6"/>
  <c r="X48" i="6"/>
  <c r="Y48" i="6"/>
  <c r="Z48" i="6"/>
  <c r="AH48" i="6"/>
  <c r="AA48" i="6"/>
  <c r="AI48" i="6"/>
  <c r="AB48" i="6"/>
  <c r="AJ48" i="6"/>
  <c r="AC48" i="6"/>
  <c r="AK48" i="6"/>
  <c r="W49" i="6"/>
  <c r="AE49" i="6"/>
  <c r="X49" i="6"/>
  <c r="AF49" i="6"/>
  <c r="Y49" i="6"/>
  <c r="Z49" i="6"/>
  <c r="AH49" i="6" s="1"/>
  <c r="AA49" i="6"/>
  <c r="AI49" i="6" s="1"/>
  <c r="AB49" i="6"/>
  <c r="AJ49" i="6"/>
  <c r="AC49" i="6"/>
  <c r="AK49" i="6" s="1"/>
  <c r="W50" i="6"/>
  <c r="AE50" i="6" s="1"/>
  <c r="X50" i="6"/>
  <c r="AF50" i="6" s="1"/>
  <c r="Y50" i="6"/>
  <c r="Z50" i="6"/>
  <c r="AH50" i="6"/>
  <c r="AA50" i="6"/>
  <c r="AI50" i="6"/>
  <c r="AB50" i="6"/>
  <c r="AJ50" i="6"/>
  <c r="AC50" i="6"/>
  <c r="AK50" i="6"/>
  <c r="W51" i="6"/>
  <c r="AE51" i="6"/>
  <c r="X51" i="6"/>
  <c r="AF51" i="6"/>
  <c r="Y51" i="6"/>
  <c r="Z51" i="6"/>
  <c r="AH51" i="6" s="1"/>
  <c r="AA51" i="6"/>
  <c r="AI51" i="6" s="1"/>
  <c r="AB51" i="6"/>
  <c r="AJ51" i="6" s="1"/>
  <c r="AC51" i="6"/>
  <c r="AK51" i="6" s="1"/>
  <c r="W52" i="6"/>
  <c r="AE52" i="6" s="1"/>
  <c r="X52" i="6"/>
  <c r="AF52" i="6"/>
  <c r="Y52" i="6"/>
  <c r="Z52" i="6"/>
  <c r="AH52" i="6"/>
  <c r="AA52" i="6"/>
  <c r="AI52" i="6"/>
  <c r="AB52" i="6"/>
  <c r="AJ52" i="6"/>
  <c r="AC52" i="6"/>
  <c r="AK52" i="6" s="1"/>
  <c r="W53" i="6"/>
  <c r="AE53" i="6"/>
  <c r="X53" i="6"/>
  <c r="AF53" i="6"/>
  <c r="Y53" i="6"/>
  <c r="Z53" i="6"/>
  <c r="AH53" i="6" s="1"/>
  <c r="AA53" i="6"/>
  <c r="AI53" i="6" s="1"/>
  <c r="AB53" i="6"/>
  <c r="AJ53" i="6" s="1"/>
  <c r="AC53" i="6"/>
  <c r="AK53" i="6" s="1"/>
  <c r="W54" i="6"/>
  <c r="AE54" i="6"/>
  <c r="X54" i="6"/>
  <c r="AF54" i="6" s="1"/>
  <c r="Y54" i="6"/>
  <c r="Z54" i="6"/>
  <c r="AH54" i="6"/>
  <c r="AA54" i="6"/>
  <c r="AI54" i="6"/>
  <c r="AB54" i="6"/>
  <c r="AJ54" i="6"/>
  <c r="AC54" i="6"/>
  <c r="AK54" i="6"/>
  <c r="W55" i="6"/>
  <c r="AE55" i="6"/>
  <c r="X55" i="6"/>
  <c r="AF55" i="6"/>
  <c r="Y55" i="6"/>
  <c r="Z55" i="6"/>
  <c r="AH55" i="6" s="1"/>
  <c r="AA55" i="6"/>
  <c r="AI55" i="6" s="1"/>
  <c r="AB55" i="6"/>
  <c r="AJ55" i="6" s="1"/>
  <c r="AC55" i="6"/>
  <c r="AK55" i="6" s="1"/>
  <c r="W56" i="6"/>
  <c r="AE56" i="6" s="1"/>
  <c r="X56" i="6"/>
  <c r="AF56" i="6" s="1"/>
  <c r="Y56" i="6"/>
  <c r="Z56" i="6"/>
  <c r="AH56" i="6"/>
  <c r="AA56" i="6"/>
  <c r="AI56" i="6"/>
  <c r="AB56" i="6"/>
  <c r="AJ56" i="6"/>
  <c r="AC56" i="6"/>
  <c r="AK56" i="6"/>
  <c r="W57" i="6"/>
  <c r="AE57" i="6"/>
  <c r="X57" i="6"/>
  <c r="AF57" i="6"/>
  <c r="Y57" i="6"/>
  <c r="Z57" i="6"/>
  <c r="AH57" i="6" s="1"/>
  <c r="AA57" i="6"/>
  <c r="AI57" i="6" s="1"/>
  <c r="AB57" i="6"/>
  <c r="AJ57" i="6" s="1"/>
  <c r="AC57" i="6"/>
  <c r="AK57" i="6" s="1"/>
  <c r="W58" i="6"/>
  <c r="AE58" i="6" s="1"/>
  <c r="X58" i="6"/>
  <c r="AF58" i="6" s="1"/>
  <c r="Y58" i="6"/>
  <c r="Z58" i="6"/>
  <c r="AH58" i="6" s="1"/>
  <c r="AA58" i="6"/>
  <c r="AI58" i="6"/>
  <c r="AB58" i="6"/>
  <c r="AJ58" i="6"/>
  <c r="AC58" i="6"/>
  <c r="AK58" i="6"/>
  <c r="W59" i="6"/>
  <c r="AE59" i="6" s="1"/>
  <c r="X59" i="6"/>
  <c r="AF59" i="6"/>
  <c r="Y59" i="6"/>
  <c r="Z59" i="6"/>
  <c r="AH59" i="6" s="1"/>
  <c r="AA59" i="6"/>
  <c r="AI59" i="6" s="1"/>
  <c r="AB59" i="6"/>
  <c r="AJ59" i="6" s="1"/>
  <c r="AC59" i="6"/>
  <c r="AK59" i="6" s="1"/>
  <c r="W60" i="6"/>
  <c r="AE60" i="6"/>
  <c r="X60" i="6"/>
  <c r="AF60" i="6"/>
  <c r="Y60" i="6"/>
  <c r="Z60" i="6"/>
  <c r="AH60" i="6"/>
  <c r="AA60" i="6"/>
  <c r="AI60" i="6"/>
  <c r="AB60" i="6"/>
  <c r="AJ60" i="6"/>
  <c r="AC60" i="6"/>
  <c r="AK60" i="6"/>
  <c r="W61" i="6"/>
  <c r="AE61" i="6"/>
  <c r="X61" i="6"/>
  <c r="AF61" i="6"/>
  <c r="Y61" i="6"/>
  <c r="AG61" i="6"/>
  <c r="Z61" i="6"/>
  <c r="AH61" i="6"/>
  <c r="AA61" i="6"/>
  <c r="AI61" i="6"/>
  <c r="AB61" i="6"/>
  <c r="AJ61" i="6"/>
  <c r="AC61" i="6"/>
  <c r="AK61" i="6"/>
  <c r="W328" i="6"/>
  <c r="AE328" i="6"/>
  <c r="X328" i="6"/>
  <c r="AF328" i="6"/>
  <c r="Y328" i="6"/>
  <c r="AG328" i="6"/>
  <c r="Z328" i="6"/>
  <c r="AH328" i="6"/>
  <c r="AA328" i="6"/>
  <c r="AI328" i="6"/>
  <c r="AB328" i="6"/>
  <c r="AJ328" i="6"/>
  <c r="AC328" i="6"/>
  <c r="AK328" i="6"/>
  <c r="W62" i="6"/>
  <c r="X62" i="6"/>
  <c r="AF62" i="6"/>
  <c r="Y62" i="6"/>
  <c r="AG62" i="6" s="1"/>
  <c r="Z62" i="6"/>
  <c r="AH62" i="6" s="1"/>
  <c r="AA62" i="6"/>
  <c r="AI62" i="6"/>
  <c r="AB62" i="6"/>
  <c r="AJ62" i="6"/>
  <c r="AC62" i="6"/>
  <c r="AK62" i="6" s="1"/>
  <c r="W63" i="6"/>
  <c r="X63" i="6"/>
  <c r="AF63" i="6"/>
  <c r="Y63" i="6"/>
  <c r="AG63" i="6"/>
  <c r="Z63" i="6"/>
  <c r="AH63" i="6" s="1"/>
  <c r="AA63" i="6"/>
  <c r="AI63" i="6"/>
  <c r="AB63" i="6"/>
  <c r="AJ63" i="6"/>
  <c r="AC63" i="6"/>
  <c r="AK63" i="6"/>
  <c r="W64" i="6"/>
  <c r="X64" i="6"/>
  <c r="AF64" i="6" s="1"/>
  <c r="Y64" i="6"/>
  <c r="AG64" i="6" s="1"/>
  <c r="Z64" i="6"/>
  <c r="AH64" i="6"/>
  <c r="AA64" i="6"/>
  <c r="AI64" i="6"/>
  <c r="AB64" i="6"/>
  <c r="AJ64" i="6" s="1"/>
  <c r="AC64" i="6"/>
  <c r="AK64" i="6" s="1"/>
  <c r="W65" i="6"/>
  <c r="X65" i="6"/>
  <c r="AF65" i="6"/>
  <c r="Y65" i="6"/>
  <c r="AG65" i="6" s="1"/>
  <c r="Z65" i="6"/>
  <c r="AH65" i="6"/>
  <c r="AA65" i="6"/>
  <c r="AI65" i="6"/>
  <c r="AB65" i="6"/>
  <c r="AJ65" i="6"/>
  <c r="AC65" i="6"/>
  <c r="AK65" i="6" s="1"/>
  <c r="W66" i="6"/>
  <c r="X66" i="6"/>
  <c r="AF66" i="6" s="1"/>
  <c r="Y66" i="6"/>
  <c r="AG66" i="6"/>
  <c r="Z66" i="6"/>
  <c r="AH66" i="6"/>
  <c r="AA66" i="6"/>
  <c r="AI66" i="6" s="1"/>
  <c r="AB66" i="6"/>
  <c r="AJ66" i="6" s="1"/>
  <c r="AC66" i="6"/>
  <c r="AK66" i="6"/>
  <c r="W67" i="6"/>
  <c r="X67" i="6"/>
  <c r="AF67" i="6"/>
  <c r="Y67" i="6"/>
  <c r="AG67" i="6"/>
  <c r="Z67" i="6"/>
  <c r="AH67" i="6"/>
  <c r="AA67" i="6"/>
  <c r="AI67" i="6"/>
  <c r="AB67" i="6"/>
  <c r="AJ67" i="6"/>
  <c r="AC67" i="6"/>
  <c r="AK67" i="6"/>
  <c r="W68" i="6"/>
  <c r="X68" i="6"/>
  <c r="AF68" i="6"/>
  <c r="Y68" i="6"/>
  <c r="AG68" i="6"/>
  <c r="Z68" i="6"/>
  <c r="AH68" i="6" s="1"/>
  <c r="AA68" i="6"/>
  <c r="AI68" i="6" s="1"/>
  <c r="AB68" i="6"/>
  <c r="AJ68" i="6"/>
  <c r="AC68" i="6"/>
  <c r="AK68" i="6"/>
  <c r="W69" i="6"/>
  <c r="X69" i="6"/>
  <c r="AF69" i="6"/>
  <c r="Y69" i="6"/>
  <c r="AG69" i="6"/>
  <c r="Z69" i="6"/>
  <c r="AH69" i="6"/>
  <c r="AA69" i="6"/>
  <c r="AI69" i="6"/>
  <c r="AB69" i="6"/>
  <c r="AJ69" i="6"/>
  <c r="AC69" i="6"/>
  <c r="AK69" i="6"/>
  <c r="W70" i="6"/>
  <c r="X70" i="6"/>
  <c r="AF70" i="6"/>
  <c r="Y70" i="6"/>
  <c r="AG70" i="6" s="1"/>
  <c r="Z70" i="6"/>
  <c r="AH70" i="6" s="1"/>
  <c r="AA70" i="6"/>
  <c r="AI70" i="6" s="1"/>
  <c r="AB70" i="6"/>
  <c r="AJ70" i="6"/>
  <c r="AC70" i="6"/>
  <c r="AK70" i="6" s="1"/>
  <c r="W71" i="6"/>
  <c r="X71" i="6"/>
  <c r="AF71" i="6"/>
  <c r="Y71" i="6"/>
  <c r="AG71" i="6"/>
  <c r="Z71" i="6"/>
  <c r="AH71" i="6"/>
  <c r="AA71" i="6"/>
  <c r="AI71" i="6"/>
  <c r="AB71" i="6"/>
  <c r="AJ71" i="6"/>
  <c r="AC71" i="6"/>
  <c r="AK71" i="6"/>
  <c r="W72" i="6"/>
  <c r="X72" i="6"/>
  <c r="AF72" i="6" s="1"/>
  <c r="Y72" i="6"/>
  <c r="AG72" i="6" s="1"/>
  <c r="Z72" i="6"/>
  <c r="AH72" i="6" s="1"/>
  <c r="AA72" i="6"/>
  <c r="AI72" i="6"/>
  <c r="AB72" i="6"/>
  <c r="AJ72" i="6" s="1"/>
  <c r="AC72" i="6"/>
  <c r="AK72" i="6" s="1"/>
  <c r="W73" i="6"/>
  <c r="X73" i="6"/>
  <c r="AF73" i="6"/>
  <c r="Y73" i="6"/>
  <c r="AG73" i="6" s="1"/>
  <c r="Z73" i="6"/>
  <c r="AH73" i="6"/>
  <c r="AA73" i="6"/>
  <c r="AI73" i="6"/>
  <c r="AB73" i="6"/>
  <c r="AJ73" i="6"/>
  <c r="AC73" i="6"/>
  <c r="AK73" i="6" s="1"/>
  <c r="W74" i="6"/>
  <c r="X74" i="6"/>
  <c r="AF74" i="6" s="1"/>
  <c r="Y74" i="6"/>
  <c r="AG74" i="6" s="1"/>
  <c r="Z74" i="6"/>
  <c r="AH74" i="6"/>
  <c r="AA74" i="6"/>
  <c r="AI74" i="6" s="1"/>
  <c r="AB74" i="6"/>
  <c r="AJ74" i="6" s="1"/>
  <c r="AC74" i="6"/>
  <c r="AK74" i="6" s="1"/>
  <c r="W75" i="6"/>
  <c r="X75" i="6"/>
  <c r="AF75" i="6"/>
  <c r="Y75" i="6"/>
  <c r="AG75" i="6"/>
  <c r="Z75" i="6"/>
  <c r="AH75" i="6"/>
  <c r="AA75" i="6"/>
  <c r="AI75" i="6"/>
  <c r="AB75" i="6"/>
  <c r="AJ75" i="6"/>
  <c r="AC75" i="6"/>
  <c r="AK75" i="6"/>
  <c r="W77" i="6"/>
  <c r="X77" i="6"/>
  <c r="AF77" i="6" s="1"/>
  <c r="Y77" i="6"/>
  <c r="AG77" i="6"/>
  <c r="Z77" i="6"/>
  <c r="AH77" i="6" s="1"/>
  <c r="AA77" i="6"/>
  <c r="AI77" i="6" s="1"/>
  <c r="AB77" i="6"/>
  <c r="AJ77" i="6" s="1"/>
  <c r="AC77" i="6"/>
  <c r="AK77" i="6"/>
  <c r="W78" i="6"/>
  <c r="X78" i="6"/>
  <c r="AF78" i="6"/>
  <c r="Y78" i="6"/>
  <c r="AG78" i="6"/>
  <c r="Z78" i="6"/>
  <c r="AH78" i="6"/>
  <c r="AA78" i="6"/>
  <c r="AI78" i="6"/>
  <c r="AB78" i="6"/>
  <c r="AJ78" i="6"/>
  <c r="AC78" i="6"/>
  <c r="AK78" i="6"/>
  <c r="W86" i="6"/>
  <c r="X86" i="6"/>
  <c r="AF86" i="6"/>
  <c r="Y86" i="6"/>
  <c r="AG86" i="6" s="1"/>
  <c r="Z86" i="6"/>
  <c r="AH86" i="6" s="1"/>
  <c r="AA86" i="6"/>
  <c r="AI86" i="6" s="1"/>
  <c r="AB86" i="6"/>
  <c r="AJ86" i="6"/>
  <c r="AC86" i="6"/>
  <c r="AK86" i="6" s="1"/>
  <c r="W87" i="6"/>
  <c r="X87" i="6"/>
  <c r="AF87" i="6"/>
  <c r="Y87" i="6"/>
  <c r="AG87" i="6"/>
  <c r="Z87" i="6"/>
  <c r="AH87" i="6"/>
  <c r="AA87" i="6"/>
  <c r="AI87" i="6"/>
  <c r="AB87" i="6"/>
  <c r="AJ87" i="6"/>
  <c r="AC87" i="6"/>
  <c r="AK87" i="6"/>
  <c r="W88" i="6"/>
  <c r="X88" i="6"/>
  <c r="AF88" i="6" s="1"/>
  <c r="Y88" i="6"/>
  <c r="AG88" i="6" s="1"/>
  <c r="Z88" i="6"/>
  <c r="AH88" i="6" s="1"/>
  <c r="AA88" i="6"/>
  <c r="AI88" i="6"/>
  <c r="AB88" i="6"/>
  <c r="AJ88" i="6" s="1"/>
  <c r="AC88" i="6"/>
  <c r="AK88" i="6" s="1"/>
  <c r="W89" i="6"/>
  <c r="X89" i="6"/>
  <c r="AF89" i="6"/>
  <c r="Y89" i="6"/>
  <c r="AG89" i="6" s="1"/>
  <c r="Z89" i="6"/>
  <c r="AH89" i="6"/>
  <c r="AA89" i="6"/>
  <c r="AI89" i="6"/>
  <c r="AB89" i="6"/>
  <c r="AJ89" i="6"/>
  <c r="AC89" i="6"/>
  <c r="AK89" i="6" s="1"/>
  <c r="W90" i="6"/>
  <c r="X90" i="6"/>
  <c r="AF90" i="6" s="1"/>
  <c r="Y90" i="6"/>
  <c r="AG90" i="6" s="1"/>
  <c r="Z90" i="6"/>
  <c r="AH90" i="6"/>
  <c r="AA90" i="6"/>
  <c r="AI90" i="6" s="1"/>
  <c r="AB90" i="6"/>
  <c r="AJ90" i="6" s="1"/>
  <c r="AC90" i="6"/>
  <c r="AK90" i="6" s="1"/>
  <c r="W91" i="6"/>
  <c r="X91" i="6"/>
  <c r="AF91" i="6"/>
  <c r="Y91" i="6"/>
  <c r="AG91" i="6"/>
  <c r="Z91" i="6"/>
  <c r="AH91" i="6"/>
  <c r="AA91" i="6"/>
  <c r="AI91" i="6"/>
  <c r="AB91" i="6"/>
  <c r="AJ91" i="6"/>
  <c r="AC91" i="6"/>
  <c r="AK91" i="6"/>
  <c r="W92" i="6"/>
  <c r="X92" i="6"/>
  <c r="AF92" i="6" s="1"/>
  <c r="Y92" i="6"/>
  <c r="AG92" i="6"/>
  <c r="Z92" i="6"/>
  <c r="AH92" i="6" s="1"/>
  <c r="AA92" i="6"/>
  <c r="AI92" i="6" s="1"/>
  <c r="AB92" i="6"/>
  <c r="AJ92" i="6" s="1"/>
  <c r="AC92" i="6"/>
  <c r="AK92" i="6"/>
  <c r="W93" i="6"/>
  <c r="X93" i="6"/>
  <c r="AF93" i="6"/>
  <c r="Y93" i="6"/>
  <c r="AG93" i="6"/>
  <c r="Z93" i="6"/>
  <c r="AH93" i="6"/>
  <c r="AA93" i="6"/>
  <c r="AI93" i="6"/>
  <c r="AB93" i="6"/>
  <c r="AJ93" i="6"/>
  <c r="AC93" i="6"/>
  <c r="AK93" i="6"/>
  <c r="W94" i="6"/>
  <c r="X94" i="6"/>
  <c r="AF94" i="6"/>
  <c r="Y94" i="6"/>
  <c r="AG94" i="6" s="1"/>
  <c r="Z94" i="6"/>
  <c r="AH94" i="6" s="1"/>
  <c r="AA94" i="6"/>
  <c r="AI94" i="6" s="1"/>
  <c r="AB94" i="6"/>
  <c r="AJ94" i="6"/>
  <c r="AC94" i="6"/>
  <c r="AK94" i="6" s="1"/>
  <c r="W95" i="6"/>
  <c r="X95" i="6"/>
  <c r="AF95" i="6"/>
  <c r="Y95" i="6"/>
  <c r="AG95" i="6"/>
  <c r="Z95" i="6"/>
  <c r="AH95" i="6"/>
  <c r="AA95" i="6"/>
  <c r="AI95" i="6"/>
  <c r="AB95" i="6"/>
  <c r="AJ95" i="6"/>
  <c r="AC95" i="6"/>
  <c r="AK95" i="6"/>
  <c r="W96" i="6"/>
  <c r="X96" i="6"/>
  <c r="AF96" i="6" s="1"/>
  <c r="Y96" i="6"/>
  <c r="AG96" i="6" s="1"/>
  <c r="Z96" i="6"/>
  <c r="AH96" i="6" s="1"/>
  <c r="AA96" i="6"/>
  <c r="AI96" i="6"/>
  <c r="AB96" i="6"/>
  <c r="AJ96" i="6" s="1"/>
  <c r="AC96" i="6"/>
  <c r="AK96" i="6" s="1"/>
  <c r="W97" i="6"/>
  <c r="X97" i="6"/>
  <c r="AF97" i="6"/>
  <c r="Y97" i="6"/>
  <c r="AG97" i="6"/>
  <c r="Z97" i="6"/>
  <c r="AH97" i="6"/>
  <c r="AA97" i="6"/>
  <c r="AI97" i="6"/>
  <c r="AB97" i="6"/>
  <c r="AJ97" i="6"/>
  <c r="AC97" i="6"/>
  <c r="AK97" i="6"/>
  <c r="W98" i="6"/>
  <c r="X98" i="6"/>
  <c r="AF98" i="6" s="1"/>
  <c r="Y98" i="6"/>
  <c r="AG98" i="6" s="1"/>
  <c r="Z98" i="6"/>
  <c r="AH98" i="6"/>
  <c r="AA98" i="6"/>
  <c r="AI98" i="6" s="1"/>
  <c r="AB98" i="6"/>
  <c r="AJ98" i="6" s="1"/>
  <c r="AC98" i="6"/>
  <c r="AK98" i="6" s="1"/>
  <c r="W99" i="6"/>
  <c r="X99" i="6"/>
  <c r="AF99" i="6"/>
  <c r="Y99" i="6"/>
  <c r="AG99" i="6"/>
  <c r="Z99" i="6"/>
  <c r="AH99" i="6"/>
  <c r="AA99" i="6"/>
  <c r="AI99" i="6"/>
  <c r="AB99" i="6"/>
  <c r="AJ99" i="6"/>
  <c r="AC99" i="6"/>
  <c r="AK99" i="6"/>
  <c r="W76" i="6"/>
  <c r="X76" i="6"/>
  <c r="AF76" i="6" s="1"/>
  <c r="Y76" i="6"/>
  <c r="AG76" i="6"/>
  <c r="Z76" i="6"/>
  <c r="AH76" i="6" s="1"/>
  <c r="AA76" i="6"/>
  <c r="AI76" i="6" s="1"/>
  <c r="AB76" i="6"/>
  <c r="AJ76" i="6" s="1"/>
  <c r="AC76" i="6"/>
  <c r="AK76" i="6"/>
  <c r="W100" i="6"/>
  <c r="X100" i="6"/>
  <c r="AF100" i="6"/>
  <c r="Y100" i="6"/>
  <c r="AG100" i="6"/>
  <c r="Z100" i="6"/>
  <c r="AH100" i="6"/>
  <c r="AA100" i="6"/>
  <c r="AB100" i="6"/>
  <c r="AC100" i="6"/>
  <c r="AK100" i="6"/>
  <c r="W101" i="6"/>
  <c r="X101" i="6"/>
  <c r="AF101" i="6" s="1"/>
  <c r="Y101" i="6"/>
  <c r="AG101" i="6"/>
  <c r="Z101" i="6"/>
  <c r="AH101" i="6" s="1"/>
  <c r="AA101" i="6"/>
  <c r="AB101" i="6"/>
  <c r="AC101" i="6"/>
  <c r="AK101" i="6" s="1"/>
  <c r="W102" i="6"/>
  <c r="X102" i="6"/>
  <c r="AF102" i="6" s="1"/>
  <c r="Y102" i="6"/>
  <c r="AG102" i="6"/>
  <c r="Z102" i="6"/>
  <c r="AH102" i="6"/>
  <c r="AA102" i="6"/>
  <c r="AB102" i="6"/>
  <c r="AC102" i="6"/>
  <c r="AK102" i="6" s="1"/>
  <c r="W103" i="6"/>
  <c r="X103" i="6"/>
  <c r="AF103" i="6" s="1"/>
  <c r="Y103" i="6"/>
  <c r="AG103" i="6" s="1"/>
  <c r="Z103" i="6"/>
  <c r="AH103" i="6"/>
  <c r="AA103" i="6"/>
  <c r="AB103" i="6"/>
  <c r="AC103" i="6"/>
  <c r="AK103" i="6" s="1"/>
  <c r="W104" i="6"/>
  <c r="X104" i="6"/>
  <c r="AF104" i="6"/>
  <c r="Y104" i="6"/>
  <c r="AG104" i="6"/>
  <c r="Z104" i="6"/>
  <c r="AH104" i="6"/>
  <c r="AA104" i="6"/>
  <c r="AB104" i="6"/>
  <c r="AC104" i="6"/>
  <c r="AK104" i="6"/>
  <c r="W105" i="6"/>
  <c r="X105" i="6"/>
  <c r="AF105" i="6" s="1"/>
  <c r="Y105" i="6"/>
  <c r="AG105" i="6" s="1"/>
  <c r="Z105" i="6"/>
  <c r="AH105" i="6" s="1"/>
  <c r="AA105" i="6"/>
  <c r="AB105" i="6"/>
  <c r="AC105" i="6"/>
  <c r="AK105" i="6" s="1"/>
  <c r="W106" i="6"/>
  <c r="X106" i="6"/>
  <c r="AF106" i="6"/>
  <c r="Y106" i="6"/>
  <c r="AG106" i="6"/>
  <c r="Z106" i="6"/>
  <c r="AH106" i="6"/>
  <c r="AA106" i="6"/>
  <c r="AB106" i="6"/>
  <c r="AC106" i="6"/>
  <c r="AK106" i="6"/>
  <c r="X107" i="6"/>
  <c r="AF107" i="6"/>
  <c r="Y107" i="6"/>
  <c r="AG107" i="6"/>
  <c r="Z107" i="6"/>
  <c r="AH107" i="6"/>
  <c r="AA107" i="6"/>
  <c r="AB107" i="6"/>
  <c r="AC107" i="6"/>
  <c r="AK107" i="6"/>
  <c r="W108" i="6"/>
  <c r="X108" i="6"/>
  <c r="AF108" i="6" s="1"/>
  <c r="Y108" i="6"/>
  <c r="AG108" i="6" s="1"/>
  <c r="Z108" i="6"/>
  <c r="AH108" i="6" s="1"/>
  <c r="AA108" i="6"/>
  <c r="AB108" i="6"/>
  <c r="AC108" i="6"/>
  <c r="AK108" i="6" s="1"/>
  <c r="W109" i="6"/>
  <c r="X109" i="6"/>
  <c r="AF109" i="6"/>
  <c r="Y109" i="6"/>
  <c r="AG109" i="6"/>
  <c r="Z109" i="6"/>
  <c r="AH109" i="6"/>
  <c r="AA109" i="6"/>
  <c r="AB109" i="6"/>
  <c r="AC109" i="6"/>
  <c r="AK109" i="6"/>
  <c r="W110" i="6"/>
  <c r="X110" i="6"/>
  <c r="AF110" i="6"/>
  <c r="Y110" i="6"/>
  <c r="AG110" i="6" s="1"/>
  <c r="Z110" i="6"/>
  <c r="AH110" i="6" s="1"/>
  <c r="AA110" i="6"/>
  <c r="AB110" i="6"/>
  <c r="AC110" i="6"/>
  <c r="AK110" i="6"/>
  <c r="W111" i="6"/>
  <c r="X111" i="6"/>
  <c r="AF111" i="6"/>
  <c r="Y111" i="6"/>
  <c r="AG111" i="6"/>
  <c r="Z111" i="6"/>
  <c r="AH111" i="6"/>
  <c r="AA111" i="6"/>
  <c r="AB111" i="6"/>
  <c r="AC111" i="6"/>
  <c r="AK111" i="6"/>
  <c r="W112" i="6"/>
  <c r="X112" i="6"/>
  <c r="AF112" i="6" s="1"/>
  <c r="Y112" i="6"/>
  <c r="AG112" i="6"/>
  <c r="Z112" i="6"/>
  <c r="AH112" i="6" s="1"/>
  <c r="AA112" i="6"/>
  <c r="AB112" i="6"/>
  <c r="AC112" i="6"/>
  <c r="AK112" i="6" s="1"/>
  <c r="X113" i="6"/>
  <c r="AF113" i="6"/>
  <c r="Y113" i="6"/>
  <c r="AG113" i="6" s="1"/>
  <c r="Z113" i="6"/>
  <c r="AH113" i="6" s="1"/>
  <c r="AA113" i="6"/>
  <c r="AI113" i="6" s="1"/>
  <c r="AB113" i="6"/>
  <c r="AJ113" i="6"/>
  <c r="AC113" i="6"/>
  <c r="AK113" i="6" s="1"/>
  <c r="W114" i="6"/>
  <c r="X114" i="6"/>
  <c r="AF114" i="6"/>
  <c r="Y114" i="6"/>
  <c r="AG114" i="6"/>
  <c r="Z114" i="6"/>
  <c r="AH114" i="6"/>
  <c r="AA114" i="6"/>
  <c r="AB114" i="6"/>
  <c r="AC114" i="6"/>
  <c r="AK114" i="6"/>
  <c r="W115" i="6"/>
  <c r="X115" i="6"/>
  <c r="AF115" i="6"/>
  <c r="Y115" i="6"/>
  <c r="AG115" i="6" s="1"/>
  <c r="Z115" i="6"/>
  <c r="AH115" i="6" s="1"/>
  <c r="AA115" i="6"/>
  <c r="AB115" i="6"/>
  <c r="AC115" i="6"/>
  <c r="AK115" i="6"/>
  <c r="W116" i="6"/>
  <c r="X116" i="6"/>
  <c r="AF116" i="6"/>
  <c r="Y116" i="6"/>
  <c r="AG116" i="6"/>
  <c r="Z116" i="6"/>
  <c r="AH116" i="6"/>
  <c r="AA116" i="6"/>
  <c r="AB116" i="6"/>
  <c r="AC116" i="6"/>
  <c r="AK116" i="6"/>
  <c r="W117" i="6"/>
  <c r="X117" i="6"/>
  <c r="AF117" i="6" s="1"/>
  <c r="Y117" i="6"/>
  <c r="AG117" i="6"/>
  <c r="Z117" i="6"/>
  <c r="AH117" i="6" s="1"/>
  <c r="AA117" i="6"/>
  <c r="AB117" i="6"/>
  <c r="AC117" i="6"/>
  <c r="AK117" i="6" s="1"/>
  <c r="W118" i="6"/>
  <c r="X118" i="6"/>
  <c r="AF118" i="6"/>
  <c r="Y118" i="6"/>
  <c r="AG118" i="6"/>
  <c r="Z118" i="6"/>
  <c r="AH118" i="6"/>
  <c r="AA118" i="6"/>
  <c r="AB118" i="6"/>
  <c r="AC118" i="6"/>
  <c r="AK118" i="6"/>
  <c r="W119" i="6"/>
  <c r="X119" i="6"/>
  <c r="AF119" i="6" s="1"/>
  <c r="Y119" i="6"/>
  <c r="AG119" i="6" s="1"/>
  <c r="Z119" i="6"/>
  <c r="AH119" i="6"/>
  <c r="AA119" i="6"/>
  <c r="AB119" i="6"/>
  <c r="AC119" i="6"/>
  <c r="AK119" i="6" s="1"/>
  <c r="W120" i="6"/>
  <c r="X120" i="6"/>
  <c r="AF120" i="6"/>
  <c r="Y120" i="6"/>
  <c r="AG120" i="6"/>
  <c r="Z120" i="6"/>
  <c r="AH120" i="6"/>
  <c r="AA120" i="6"/>
  <c r="AI120" i="6"/>
  <c r="AB120" i="6"/>
  <c r="AJ120" i="6"/>
  <c r="AC120" i="6"/>
  <c r="AK120" i="6"/>
  <c r="W121" i="6"/>
  <c r="X121" i="6"/>
  <c r="AF121" i="6" s="1"/>
  <c r="Y121" i="6"/>
  <c r="AG121" i="6" s="1"/>
  <c r="Z121" i="6"/>
  <c r="AH121" i="6"/>
  <c r="AA121" i="6"/>
  <c r="AI121" i="6" s="1"/>
  <c r="AB121" i="6"/>
  <c r="AJ121" i="6" s="1"/>
  <c r="AC121" i="6"/>
  <c r="AK121" i="6" s="1"/>
  <c r="W122" i="6"/>
  <c r="X122" i="6"/>
  <c r="AF122" i="6"/>
  <c r="Y122" i="6"/>
  <c r="AG122" i="6"/>
  <c r="Z122" i="6"/>
  <c r="AH122" i="6"/>
  <c r="AA122" i="6"/>
  <c r="AI122" i="6"/>
  <c r="AB122" i="6"/>
  <c r="AJ122" i="6"/>
  <c r="AC122" i="6"/>
  <c r="AK122" i="6"/>
  <c r="W123" i="6"/>
  <c r="X123" i="6"/>
  <c r="AF123" i="6" s="1"/>
  <c r="Y123" i="6"/>
  <c r="AG123" i="6"/>
  <c r="Z123" i="6"/>
  <c r="AH123" i="6" s="1"/>
  <c r="AA123" i="6"/>
  <c r="AI123" i="6" s="1"/>
  <c r="AB123" i="6"/>
  <c r="AJ123" i="6" s="1"/>
  <c r="AC123" i="6"/>
  <c r="AK123" i="6"/>
  <c r="W124" i="6"/>
  <c r="X124" i="6"/>
  <c r="AF124" i="6"/>
  <c r="Y124" i="6"/>
  <c r="AG124" i="6"/>
  <c r="Z124" i="6"/>
  <c r="AH124" i="6"/>
  <c r="AA124" i="6"/>
  <c r="AI124" i="6"/>
  <c r="AB124" i="6"/>
  <c r="AJ124" i="6"/>
  <c r="AC124" i="6"/>
  <c r="AK124" i="6"/>
  <c r="W125" i="6"/>
  <c r="X125" i="6"/>
  <c r="AF125" i="6"/>
  <c r="Y125" i="6"/>
  <c r="AG125" i="6" s="1"/>
  <c r="Z125" i="6"/>
  <c r="AH125" i="6" s="1"/>
  <c r="AA125" i="6"/>
  <c r="AI125" i="6" s="1"/>
  <c r="AB125" i="6"/>
  <c r="AJ125" i="6"/>
  <c r="AC125" i="6"/>
  <c r="AK125" i="6" s="1"/>
  <c r="W126" i="6"/>
  <c r="X126" i="6"/>
  <c r="AF126" i="6"/>
  <c r="Y126" i="6"/>
  <c r="AG126" i="6"/>
  <c r="Z126" i="6"/>
  <c r="AH126" i="6"/>
  <c r="AA126" i="6"/>
  <c r="AI126" i="6"/>
  <c r="AB126" i="6"/>
  <c r="AJ126" i="6"/>
  <c r="AC126" i="6"/>
  <c r="AK126" i="6"/>
  <c r="W127" i="6"/>
  <c r="X127" i="6"/>
  <c r="AF127" i="6" s="1"/>
  <c r="Y127" i="6"/>
  <c r="AG127" i="6" s="1"/>
  <c r="Z127" i="6"/>
  <c r="AH127" i="6" s="1"/>
  <c r="AA127" i="6"/>
  <c r="AI127" i="6"/>
  <c r="AB127" i="6"/>
  <c r="AJ127" i="6" s="1"/>
  <c r="AC127" i="6"/>
  <c r="AK127" i="6" s="1"/>
  <c r="W128" i="6"/>
  <c r="X128" i="6"/>
  <c r="AF128" i="6"/>
  <c r="Y128" i="6"/>
  <c r="AG128" i="6" s="1"/>
  <c r="Z128" i="6"/>
  <c r="AH128" i="6"/>
  <c r="AA128" i="6"/>
  <c r="AB128" i="6"/>
  <c r="AC128" i="6"/>
  <c r="AK128" i="6"/>
  <c r="W129" i="6"/>
  <c r="X129" i="6"/>
  <c r="AF129" i="6" s="1"/>
  <c r="Y129" i="6"/>
  <c r="AG129" i="6" s="1"/>
  <c r="Z129" i="6"/>
  <c r="AH129" i="6" s="1"/>
  <c r="AA129" i="6"/>
  <c r="AB129" i="6"/>
  <c r="AC129" i="6"/>
  <c r="AK129" i="6" s="1"/>
  <c r="W130" i="6"/>
  <c r="X130" i="6"/>
  <c r="AF130" i="6"/>
  <c r="Y130" i="6"/>
  <c r="AG130" i="6"/>
  <c r="Z130" i="6"/>
  <c r="AH130" i="6" s="1"/>
  <c r="AA130" i="6"/>
  <c r="AB130" i="6"/>
  <c r="AC130" i="6"/>
  <c r="AK130" i="6"/>
  <c r="W131" i="6"/>
  <c r="X131" i="6"/>
  <c r="AF131" i="6"/>
  <c r="Y131" i="6"/>
  <c r="AG131" i="6" s="1"/>
  <c r="Z131" i="6"/>
  <c r="AH131" i="6" s="1"/>
  <c r="AA131" i="6"/>
  <c r="AB131" i="6"/>
  <c r="AC131" i="6"/>
  <c r="AK131" i="6"/>
  <c r="W132" i="6"/>
  <c r="X132" i="6"/>
  <c r="AF132" i="6"/>
  <c r="Y132" i="6"/>
  <c r="AG132" i="6"/>
  <c r="Z132" i="6"/>
  <c r="AH132" i="6"/>
  <c r="AA132" i="6"/>
  <c r="AI132" i="6"/>
  <c r="AB132" i="6"/>
  <c r="AJ132" i="6"/>
  <c r="AC132" i="6"/>
  <c r="AK132" i="6"/>
  <c r="W133" i="6"/>
  <c r="X133" i="6"/>
  <c r="AF133" i="6"/>
  <c r="Y133" i="6"/>
  <c r="AG133" i="6" s="1"/>
  <c r="Z133" i="6"/>
  <c r="AH133" i="6" s="1"/>
  <c r="AA133" i="6"/>
  <c r="AI133" i="6" s="1"/>
  <c r="AB133" i="6"/>
  <c r="AJ133" i="6"/>
  <c r="AC133" i="6"/>
  <c r="AK133" i="6" s="1"/>
  <c r="W134" i="6"/>
  <c r="X134" i="6"/>
  <c r="AF134" i="6"/>
  <c r="Y134" i="6"/>
  <c r="AG134" i="6"/>
  <c r="Z134" i="6"/>
  <c r="AH134" i="6" s="1"/>
  <c r="AA134" i="6"/>
  <c r="AB134" i="6"/>
  <c r="AC134" i="6"/>
  <c r="W135" i="6"/>
  <c r="X135" i="6"/>
  <c r="AF135" i="6"/>
  <c r="Y135" i="6"/>
  <c r="AG135" i="6" s="1"/>
  <c r="Z135" i="6"/>
  <c r="AH135" i="6"/>
  <c r="AA135" i="6"/>
  <c r="AB135" i="6"/>
  <c r="AC135" i="6"/>
  <c r="W136" i="6"/>
  <c r="X136" i="6"/>
  <c r="AF136" i="6" s="1"/>
  <c r="Y136" i="6"/>
  <c r="AG136" i="6"/>
  <c r="Z136" i="6"/>
  <c r="AH136" i="6"/>
  <c r="AA136" i="6"/>
  <c r="AB136" i="6"/>
  <c r="AC136" i="6"/>
  <c r="W137" i="6"/>
  <c r="AE137" i="6" s="1"/>
  <c r="X137" i="6"/>
  <c r="AF137" i="6" s="1"/>
  <c r="Y137" i="6"/>
  <c r="AG137" i="6" s="1"/>
  <c r="Z137" i="6"/>
  <c r="AH137" i="6"/>
  <c r="AA137" i="6"/>
  <c r="AI137" i="6" s="1"/>
  <c r="AB137" i="6"/>
  <c r="AJ137" i="6" s="1"/>
  <c r="AC137" i="6"/>
  <c r="AK137" i="6" s="1"/>
  <c r="W138" i="6"/>
  <c r="X138" i="6"/>
  <c r="AF138" i="6" s="1"/>
  <c r="Y138" i="6"/>
  <c r="AG138" i="6"/>
  <c r="Z138" i="6"/>
  <c r="AH138" i="6"/>
  <c r="AA138" i="6"/>
  <c r="AB138" i="6"/>
  <c r="AC138" i="6"/>
  <c r="W139" i="6"/>
  <c r="X139" i="6"/>
  <c r="AF139" i="6"/>
  <c r="Y139" i="6"/>
  <c r="AG139" i="6"/>
  <c r="Z139" i="6"/>
  <c r="AH139" i="6"/>
  <c r="AA139" i="6"/>
  <c r="AB139" i="6"/>
  <c r="AC139" i="6"/>
  <c r="W140" i="6"/>
  <c r="X140" i="6"/>
  <c r="AF140" i="6"/>
  <c r="Y140" i="6"/>
  <c r="AG140" i="6"/>
  <c r="Z140" i="6"/>
  <c r="AH140" i="6" s="1"/>
  <c r="AA140" i="6"/>
  <c r="AB140" i="6"/>
  <c r="AC140" i="6"/>
  <c r="W141" i="6"/>
  <c r="X141" i="6"/>
  <c r="AF141" i="6"/>
  <c r="Y141" i="6"/>
  <c r="AG141" i="6" s="1"/>
  <c r="Z141" i="6"/>
  <c r="AH141" i="6"/>
  <c r="AA141" i="6"/>
  <c r="AB141" i="6"/>
  <c r="AC141" i="6"/>
  <c r="W142" i="6"/>
  <c r="X142" i="6"/>
  <c r="AF142" i="6" s="1"/>
  <c r="Y142" i="6"/>
  <c r="AG142" i="6"/>
  <c r="Z142" i="6"/>
  <c r="AH142" i="6"/>
  <c r="AA142" i="6"/>
  <c r="AB142" i="6"/>
  <c r="AC142" i="6"/>
  <c r="W143" i="6"/>
  <c r="X143" i="6"/>
  <c r="AF143" i="6"/>
  <c r="Y143" i="6"/>
  <c r="AG143" i="6"/>
  <c r="Z143" i="6"/>
  <c r="AH143" i="6"/>
  <c r="AA143" i="6"/>
  <c r="AB143" i="6"/>
  <c r="AC143" i="6"/>
  <c r="W144" i="6"/>
  <c r="X144" i="6"/>
  <c r="AF144" i="6"/>
  <c r="Y144" i="6"/>
  <c r="AG144" i="6"/>
  <c r="Z144" i="6"/>
  <c r="AH144" i="6" s="1"/>
  <c r="AA144" i="6"/>
  <c r="AB144" i="6"/>
  <c r="AC144" i="6"/>
  <c r="W145" i="6"/>
  <c r="X145" i="6"/>
  <c r="AF145" i="6"/>
  <c r="Y145" i="6"/>
  <c r="AG145" i="6" s="1"/>
  <c r="Z145" i="6"/>
  <c r="AH145" i="6"/>
  <c r="AA145" i="6"/>
  <c r="AB145" i="6"/>
  <c r="AC145" i="6"/>
  <c r="W146" i="6"/>
  <c r="X146" i="6"/>
  <c r="AF146" i="6" s="1"/>
  <c r="Y146" i="6"/>
  <c r="AG146" i="6"/>
  <c r="Z146" i="6"/>
  <c r="AH146" i="6"/>
  <c r="AA146" i="6"/>
  <c r="AB146" i="6"/>
  <c r="AC146" i="6"/>
  <c r="W147" i="6"/>
  <c r="X147" i="6"/>
  <c r="AF147" i="6"/>
  <c r="Y147" i="6"/>
  <c r="AG147" i="6"/>
  <c r="Z147" i="6"/>
  <c r="AH147" i="6"/>
  <c r="AA147" i="6"/>
  <c r="AB147" i="6"/>
  <c r="AC147" i="6"/>
  <c r="W148" i="6"/>
  <c r="X148" i="6"/>
  <c r="Y148" i="6"/>
  <c r="AG148" i="6" s="1"/>
  <c r="Z148" i="6"/>
  <c r="AH148" i="6"/>
  <c r="AA148" i="6"/>
  <c r="AB148" i="6"/>
  <c r="AC148" i="6"/>
  <c r="W149" i="6"/>
  <c r="X149" i="6"/>
  <c r="AF149" i="6" s="1"/>
  <c r="Y149" i="6"/>
  <c r="AG149" i="6"/>
  <c r="Z149" i="6"/>
  <c r="AH149" i="6" s="1"/>
  <c r="AA149" i="6"/>
  <c r="AI149" i="6" s="1"/>
  <c r="AB149" i="6"/>
  <c r="AJ149" i="6" s="1"/>
  <c r="AC149" i="6"/>
  <c r="AK149" i="6"/>
  <c r="W150" i="6"/>
  <c r="X150" i="6"/>
  <c r="AF150" i="6"/>
  <c r="Y150" i="6"/>
  <c r="AG150" i="6"/>
  <c r="Z150" i="6"/>
  <c r="AH150" i="6"/>
  <c r="AA150" i="6"/>
  <c r="AI150" i="6"/>
  <c r="AB150" i="6"/>
  <c r="AJ150" i="6"/>
  <c r="AC150" i="6"/>
  <c r="AK150" i="6"/>
  <c r="W151" i="6"/>
  <c r="X151" i="6"/>
  <c r="AF151" i="6"/>
  <c r="Y151" i="6"/>
  <c r="AG151" i="6" s="1"/>
  <c r="Z151" i="6"/>
  <c r="AH151" i="6" s="1"/>
  <c r="AA151" i="6"/>
  <c r="W152" i="6"/>
  <c r="X152" i="6"/>
  <c r="AF152" i="6"/>
  <c r="Y152" i="6"/>
  <c r="AG152" i="6" s="1"/>
  <c r="Z152" i="6"/>
  <c r="AH152" i="6" s="1"/>
  <c r="AA152" i="6"/>
  <c r="AB152" i="6"/>
  <c r="AC152" i="6"/>
  <c r="W153" i="6"/>
  <c r="X153" i="6"/>
  <c r="AF153" i="6" s="1"/>
  <c r="Y153" i="6"/>
  <c r="AG153" i="6" s="1"/>
  <c r="Z153" i="6"/>
  <c r="AH153" i="6" s="1"/>
  <c r="AA153" i="6"/>
  <c r="AB153" i="6"/>
  <c r="AC153" i="6"/>
  <c r="W154" i="6"/>
  <c r="X154" i="6"/>
  <c r="AF154" i="6" s="1"/>
  <c r="Y154" i="6"/>
  <c r="AG154" i="6" s="1"/>
  <c r="Z154" i="6"/>
  <c r="AH154" i="6"/>
  <c r="AA154" i="6"/>
  <c r="AB154" i="6"/>
  <c r="AC154" i="6"/>
  <c r="W155" i="6"/>
  <c r="X155" i="6"/>
  <c r="Y155" i="6"/>
  <c r="AG155" i="6"/>
  <c r="Z155" i="6"/>
  <c r="AH155" i="6"/>
  <c r="AA155" i="6"/>
  <c r="AB155" i="6"/>
  <c r="AC155" i="6"/>
  <c r="W156" i="6"/>
  <c r="X156" i="6"/>
  <c r="AF156" i="6"/>
  <c r="Y156" i="6"/>
  <c r="AG156" i="6"/>
  <c r="Z156" i="6"/>
  <c r="AH156" i="6"/>
  <c r="AA156" i="6"/>
  <c r="AB156" i="6"/>
  <c r="AC156" i="6"/>
  <c r="W157" i="6"/>
  <c r="AE157" i="6"/>
  <c r="X157" i="6"/>
  <c r="AF157" i="6" s="1"/>
  <c r="Y157" i="6"/>
  <c r="AG157" i="6" s="1"/>
  <c r="Z157" i="6"/>
  <c r="AH157" i="6" s="1"/>
  <c r="AA157" i="6"/>
  <c r="AI157" i="6"/>
  <c r="AB157" i="6"/>
  <c r="AJ157" i="6" s="1"/>
  <c r="AC157" i="6"/>
  <c r="AK157" i="6" s="1"/>
  <c r="W158" i="6"/>
  <c r="X158" i="6"/>
  <c r="AF158" i="6"/>
  <c r="Y158" i="6"/>
  <c r="AG158" i="6"/>
  <c r="Z158" i="6"/>
  <c r="AH158" i="6"/>
  <c r="AA158" i="6"/>
  <c r="AB158" i="6"/>
  <c r="AC158" i="6"/>
  <c r="W159" i="6"/>
  <c r="X159" i="6"/>
  <c r="Y159" i="6"/>
  <c r="AG159" i="6" s="1"/>
  <c r="Z159" i="6"/>
  <c r="AH159" i="6" s="1"/>
  <c r="AA159" i="6"/>
  <c r="AB159" i="6"/>
  <c r="AC159" i="6"/>
  <c r="W160" i="6"/>
  <c r="X160" i="6"/>
  <c r="AF160" i="6" s="1"/>
  <c r="Y160" i="6"/>
  <c r="AG160" i="6" s="1"/>
  <c r="Z160" i="6"/>
  <c r="AH160" i="6" s="1"/>
  <c r="AA160" i="6"/>
  <c r="AB160" i="6"/>
  <c r="AC160" i="6"/>
  <c r="W161" i="6"/>
  <c r="X161" i="6"/>
  <c r="AF161" i="6" s="1"/>
  <c r="Y161" i="6"/>
  <c r="AG161" i="6" s="1"/>
  <c r="Z161" i="6"/>
  <c r="AH161" i="6"/>
  <c r="AA161" i="6"/>
  <c r="AB161" i="6"/>
  <c r="AC161" i="6"/>
  <c r="W162" i="6"/>
  <c r="X162" i="6"/>
  <c r="AF162" i="6" s="1"/>
  <c r="Y162" i="6"/>
  <c r="AG162" i="6"/>
  <c r="Z162" i="6"/>
  <c r="AH162" i="6" s="1"/>
  <c r="AA162" i="6"/>
  <c r="AB162" i="6"/>
  <c r="AC162" i="6"/>
  <c r="W163" i="6"/>
  <c r="X163" i="6"/>
  <c r="AF163" i="6"/>
  <c r="Y163" i="6"/>
  <c r="AG163" i="6" s="1"/>
  <c r="Z163" i="6"/>
  <c r="AH163" i="6" s="1"/>
  <c r="AA163" i="6"/>
  <c r="AB163" i="6"/>
  <c r="AC163" i="6"/>
  <c r="W164" i="6"/>
  <c r="X164" i="6"/>
  <c r="AF164" i="6" s="1"/>
  <c r="Y164" i="6"/>
  <c r="AG164" i="6" s="1"/>
  <c r="Z164" i="6"/>
  <c r="AH164" i="6" s="1"/>
  <c r="AA164" i="6"/>
  <c r="AB164" i="6"/>
  <c r="AC164" i="6"/>
  <c r="W165" i="6"/>
  <c r="X165" i="6"/>
  <c r="Y165" i="6"/>
  <c r="AG165" i="6"/>
  <c r="Z165" i="6"/>
  <c r="AH165" i="6"/>
  <c r="AA165" i="6"/>
  <c r="AB165" i="6"/>
  <c r="W168" i="6"/>
  <c r="X168" i="6"/>
  <c r="AF168" i="6" s="1"/>
  <c r="Y168" i="6"/>
  <c r="AG168" i="6" s="1"/>
  <c r="Z168" i="6"/>
  <c r="AH168" i="6"/>
  <c r="AA168" i="6"/>
  <c r="AC168" i="6"/>
  <c r="W169" i="6"/>
  <c r="X169" i="6"/>
  <c r="AF169" i="6"/>
  <c r="Y169" i="6"/>
  <c r="AG169" i="6"/>
  <c r="Z169" i="6"/>
  <c r="AH169" i="6"/>
  <c r="AA169" i="6"/>
  <c r="AB169" i="6"/>
  <c r="AC169" i="6"/>
  <c r="W170" i="6"/>
  <c r="X170" i="6"/>
  <c r="AF170" i="6"/>
  <c r="Y170" i="6"/>
  <c r="AG170" i="6"/>
  <c r="Z170" i="6"/>
  <c r="AH170" i="6"/>
  <c r="AA170" i="6"/>
  <c r="AB170" i="6"/>
  <c r="AC170" i="6"/>
  <c r="W171" i="6"/>
  <c r="AE171" i="6"/>
  <c r="X171" i="6"/>
  <c r="AF171" i="6" s="1"/>
  <c r="Y171" i="6"/>
  <c r="AG171" i="6" s="1"/>
  <c r="Z171" i="6"/>
  <c r="AH171" i="6" s="1"/>
  <c r="AA171" i="6"/>
  <c r="AI171" i="6"/>
  <c r="AB171" i="6"/>
  <c r="AJ171" i="6" s="1"/>
  <c r="AC171" i="6"/>
  <c r="AK171" i="6" s="1"/>
  <c r="W172" i="6"/>
  <c r="X172" i="6"/>
  <c r="AF172" i="6"/>
  <c r="Y172" i="6"/>
  <c r="AG172" i="6" s="1"/>
  <c r="Z172" i="6"/>
  <c r="AH172" i="6"/>
  <c r="AA172" i="6"/>
  <c r="AB172" i="6"/>
  <c r="AC172" i="6"/>
  <c r="W173" i="6"/>
  <c r="AE173" i="6"/>
  <c r="X173" i="6"/>
  <c r="AF173" i="6" s="1"/>
  <c r="Y173" i="6"/>
  <c r="AG173" i="6" s="1"/>
  <c r="Z173" i="6"/>
  <c r="AH173" i="6" s="1"/>
  <c r="AA173" i="6"/>
  <c r="AI173" i="6"/>
  <c r="AB173" i="6"/>
  <c r="AJ173" i="6" s="1"/>
  <c r="AC173" i="6"/>
  <c r="AK173" i="6" s="1"/>
  <c r="W174" i="6"/>
  <c r="X174" i="6"/>
  <c r="AF174" i="6"/>
  <c r="Y174" i="6"/>
  <c r="AG174" i="6"/>
  <c r="Z174" i="6"/>
  <c r="AH174" i="6"/>
  <c r="AA174" i="6"/>
  <c r="AB174" i="6"/>
  <c r="AC174" i="6"/>
  <c r="W175" i="6"/>
  <c r="X175" i="6"/>
  <c r="AF175" i="6"/>
  <c r="Y175" i="6"/>
  <c r="AG175" i="6"/>
  <c r="Z175" i="6"/>
  <c r="AH175" i="6"/>
  <c r="AA175" i="6"/>
  <c r="AB175" i="6"/>
  <c r="AC175" i="6"/>
  <c r="W176" i="6"/>
  <c r="X176" i="6"/>
  <c r="AF176" i="6"/>
  <c r="Y176" i="6"/>
  <c r="AG176" i="6"/>
  <c r="Z176" i="6"/>
  <c r="AH176" i="6"/>
  <c r="AA176" i="6"/>
  <c r="AB176" i="6"/>
  <c r="AC176" i="6"/>
  <c r="W177" i="6"/>
  <c r="X177" i="6"/>
  <c r="AF177" i="6"/>
  <c r="Y177" i="6"/>
  <c r="AG177" i="6"/>
  <c r="Z177" i="6"/>
  <c r="AH177" i="6"/>
  <c r="AA177" i="6"/>
  <c r="AB177" i="6"/>
  <c r="AC177" i="6"/>
  <c r="W178" i="6"/>
  <c r="X178" i="6"/>
  <c r="AF178" i="6"/>
  <c r="Y178" i="6"/>
  <c r="AG178" i="6"/>
  <c r="Z178" i="6"/>
  <c r="AH178" i="6"/>
  <c r="AA178" i="6"/>
  <c r="AB178" i="6"/>
  <c r="AC178" i="6"/>
  <c r="W179" i="6"/>
  <c r="X179" i="6"/>
  <c r="AF179" i="6"/>
  <c r="Y179" i="6"/>
  <c r="AG179" i="6"/>
  <c r="Z179" i="6"/>
  <c r="AH179" i="6"/>
  <c r="AA179" i="6"/>
  <c r="AB179" i="6"/>
  <c r="AC179" i="6"/>
  <c r="W180" i="6"/>
  <c r="X180" i="6"/>
  <c r="AF180" i="6"/>
  <c r="Y180" i="6"/>
  <c r="AG180" i="6"/>
  <c r="Z180" i="6"/>
  <c r="AH180" i="6"/>
  <c r="AA180" i="6"/>
  <c r="AB180" i="6"/>
  <c r="AC180" i="6"/>
  <c r="W181" i="6"/>
  <c r="X181" i="6"/>
  <c r="AF181" i="6"/>
  <c r="Y181" i="6"/>
  <c r="AG181" i="6"/>
  <c r="Z181" i="6"/>
  <c r="AH181" i="6"/>
  <c r="AA181" i="6"/>
  <c r="AB181" i="6"/>
  <c r="AC181" i="6"/>
  <c r="W182" i="6"/>
  <c r="X182" i="6"/>
  <c r="AF182" i="6"/>
  <c r="Y182" i="6"/>
  <c r="AG182" i="6"/>
  <c r="Z182" i="6"/>
  <c r="AH182" i="6"/>
  <c r="AA182" i="6"/>
  <c r="AB182" i="6"/>
  <c r="AC182" i="6"/>
  <c r="W183" i="6"/>
  <c r="X183" i="6"/>
  <c r="AF183" i="6"/>
  <c r="Y183" i="6"/>
  <c r="AG183" i="6"/>
  <c r="Z183" i="6"/>
  <c r="AH183" i="6"/>
  <c r="AA183" i="6"/>
  <c r="AB183" i="6"/>
  <c r="AC183" i="6"/>
  <c r="W184" i="6"/>
  <c r="AE184" i="6" s="1"/>
  <c r="X184" i="6"/>
  <c r="AF184" i="6"/>
  <c r="Y184" i="6"/>
  <c r="AG184" i="6"/>
  <c r="Z184" i="6"/>
  <c r="AH184" i="6"/>
  <c r="AA184" i="6"/>
  <c r="AI184" i="6" s="1"/>
  <c r="AB184" i="6"/>
  <c r="AJ184" i="6" s="1"/>
  <c r="AC184" i="6"/>
  <c r="W185" i="6"/>
  <c r="X185" i="6"/>
  <c r="AF185" i="6"/>
  <c r="Y185" i="6"/>
  <c r="AG185" i="6"/>
  <c r="Z185" i="6"/>
  <c r="AH185" i="6"/>
  <c r="AA185" i="6"/>
  <c r="AB185" i="6"/>
  <c r="AC185" i="6"/>
  <c r="W186" i="6"/>
  <c r="X186" i="6"/>
  <c r="AF186" i="6"/>
  <c r="Y186" i="6"/>
  <c r="AG186" i="6"/>
  <c r="Z186" i="6"/>
  <c r="AH186" i="6"/>
  <c r="AA186" i="6"/>
  <c r="AB186" i="6"/>
  <c r="AC186" i="6"/>
  <c r="W187" i="6"/>
  <c r="X187" i="6"/>
  <c r="AF187" i="6"/>
  <c r="Y187" i="6"/>
  <c r="AG187" i="6"/>
  <c r="Z187" i="6"/>
  <c r="AH187" i="6"/>
  <c r="AA187" i="6"/>
  <c r="AB187" i="6"/>
  <c r="AC187" i="6"/>
  <c r="W188" i="6"/>
  <c r="X188" i="6"/>
  <c r="AF188" i="6"/>
  <c r="Y188" i="6"/>
  <c r="AG188" i="6"/>
  <c r="Z188" i="6"/>
  <c r="AH188" i="6"/>
  <c r="AA188" i="6"/>
  <c r="AB188" i="6"/>
  <c r="AC188" i="6"/>
  <c r="W190" i="6"/>
  <c r="X190" i="6"/>
  <c r="AF190" i="6"/>
  <c r="Y190" i="6"/>
  <c r="AG190" i="6"/>
  <c r="Z190" i="6"/>
  <c r="AH190" i="6"/>
  <c r="AA190" i="6"/>
  <c r="AB190" i="6"/>
  <c r="AC190" i="6"/>
  <c r="W191" i="6"/>
  <c r="X191" i="6"/>
  <c r="AF191" i="6"/>
  <c r="Y191" i="6"/>
  <c r="AG191" i="6"/>
  <c r="Z191" i="6"/>
  <c r="AH191" i="6"/>
  <c r="AA191" i="6"/>
  <c r="AB191" i="6"/>
  <c r="AC191" i="6"/>
  <c r="W192" i="6"/>
  <c r="X192" i="6"/>
  <c r="AF192" i="6"/>
  <c r="Y192" i="6"/>
  <c r="AG192" i="6"/>
  <c r="Z192" i="6"/>
  <c r="AH192" i="6"/>
  <c r="AA192" i="6"/>
  <c r="AB192" i="6"/>
  <c r="AC192" i="6"/>
  <c r="W193" i="6"/>
  <c r="X193" i="6"/>
  <c r="AF193" i="6"/>
  <c r="Y193" i="6"/>
  <c r="AG193" i="6"/>
  <c r="Z193" i="6"/>
  <c r="AH193" i="6"/>
  <c r="AA193" i="6"/>
  <c r="AB193" i="6"/>
  <c r="AC193" i="6"/>
  <c r="W194" i="6"/>
  <c r="AE194" i="6" s="1"/>
  <c r="Y194" i="6"/>
  <c r="AG194" i="6" s="1"/>
  <c r="Z194" i="6"/>
  <c r="AH194" i="6"/>
  <c r="AA194" i="6"/>
  <c r="AI194" i="6" s="1"/>
  <c r="AB194" i="6"/>
  <c r="AJ194" i="6" s="1"/>
  <c r="AC194" i="6"/>
  <c r="AK194" i="6" s="1"/>
  <c r="W195" i="6"/>
  <c r="AE195" i="6"/>
  <c r="Y195" i="6"/>
  <c r="AG195" i="6" s="1"/>
  <c r="Z195" i="6"/>
  <c r="AH195" i="6" s="1"/>
  <c r="AA195" i="6"/>
  <c r="AI195" i="6" s="1"/>
  <c r="AB195" i="6"/>
  <c r="AJ195" i="6"/>
  <c r="AC195" i="6"/>
  <c r="AK195" i="6" s="1"/>
  <c r="W196" i="6"/>
  <c r="AE196" i="6" s="1"/>
  <c r="Y196" i="6"/>
  <c r="AG196" i="6" s="1"/>
  <c r="Z196" i="6"/>
  <c r="AH196" i="6"/>
  <c r="AA196" i="6"/>
  <c r="AI196" i="6" s="1"/>
  <c r="AB196" i="6"/>
  <c r="AJ196" i="6" s="1"/>
  <c r="AC196" i="6"/>
  <c r="AK196" i="6" s="1"/>
  <c r="W197" i="6"/>
  <c r="AE197" i="6"/>
  <c r="X197" i="6"/>
  <c r="AF197" i="6" s="1"/>
  <c r="Y197" i="6"/>
  <c r="AG197" i="6" s="1"/>
  <c r="Z197" i="6"/>
  <c r="AH197" i="6" s="1"/>
  <c r="AA197" i="6"/>
  <c r="AI197" i="6"/>
  <c r="AB197" i="6"/>
  <c r="AJ197" i="6" s="1"/>
  <c r="AC197" i="6"/>
  <c r="AK197" i="6" s="1"/>
  <c r="W198" i="6"/>
  <c r="AE198" i="6" s="1"/>
  <c r="Y198" i="6"/>
  <c r="AG198" i="6"/>
  <c r="Z198" i="6"/>
  <c r="AH198" i="6" s="1"/>
  <c r="AA198" i="6"/>
  <c r="AI198" i="6" s="1"/>
  <c r="AB198" i="6"/>
  <c r="AJ198" i="6" s="1"/>
  <c r="AC198" i="6"/>
  <c r="AK198" i="6"/>
  <c r="W199" i="6"/>
  <c r="AE199" i="6" s="1"/>
  <c r="X199" i="6"/>
  <c r="AF199" i="6" s="1"/>
  <c r="Y199" i="6"/>
  <c r="AG199" i="6" s="1"/>
  <c r="Z199" i="6"/>
  <c r="AH199" i="6"/>
  <c r="AA199" i="6"/>
  <c r="AI199" i="6" s="1"/>
  <c r="AB199" i="6"/>
  <c r="AJ199" i="6" s="1"/>
  <c r="AC199" i="6"/>
  <c r="AK199" i="6" s="1"/>
  <c r="W200" i="6"/>
  <c r="AE200" i="6"/>
  <c r="X200" i="6"/>
  <c r="AF200" i="6" s="1"/>
  <c r="Y200" i="6"/>
  <c r="AG200" i="6" s="1"/>
  <c r="Z200" i="6"/>
  <c r="AH200" i="6" s="1"/>
  <c r="AA200" i="6"/>
  <c r="AI200" i="6"/>
  <c r="AB200" i="6"/>
  <c r="AJ200" i="6" s="1"/>
  <c r="AC200" i="6"/>
  <c r="AK200" i="6" s="1"/>
  <c r="W201" i="6"/>
  <c r="AE201" i="6" s="1"/>
  <c r="X201" i="6"/>
  <c r="Y201" i="6"/>
  <c r="Z201" i="6"/>
  <c r="AH201" i="6" s="1"/>
  <c r="AA201" i="6"/>
  <c r="AI201" i="6" s="1"/>
  <c r="AB201" i="6"/>
  <c r="AJ201" i="6" s="1"/>
  <c r="AC201" i="6"/>
  <c r="AK201" i="6"/>
  <c r="W202" i="6"/>
  <c r="AE202" i="6" s="1"/>
  <c r="X202" i="6"/>
  <c r="Y202" i="6"/>
  <c r="Z202" i="6"/>
  <c r="AH202" i="6" s="1"/>
  <c r="AA202" i="6"/>
  <c r="AI202" i="6"/>
  <c r="AB202" i="6"/>
  <c r="AJ202" i="6" s="1"/>
  <c r="AC202" i="6"/>
  <c r="AK202" i="6" s="1"/>
  <c r="W204" i="6"/>
  <c r="AE204" i="6" s="1"/>
  <c r="X204" i="6"/>
  <c r="Y204" i="6"/>
  <c r="Z204" i="6"/>
  <c r="AH204" i="6" s="1"/>
  <c r="AA204" i="6"/>
  <c r="AI204" i="6" s="1"/>
  <c r="AB204" i="6"/>
  <c r="AJ204" i="6" s="1"/>
  <c r="AC204" i="6"/>
  <c r="AK204" i="6"/>
  <c r="W206" i="6"/>
  <c r="AE206" i="6" s="1"/>
  <c r="X206" i="6"/>
  <c r="Y206" i="6"/>
  <c r="AG206" i="6"/>
  <c r="Z206" i="6"/>
  <c r="AH206" i="6"/>
  <c r="AA206" i="6"/>
  <c r="AI206" i="6" s="1"/>
  <c r="AB206" i="6"/>
  <c r="AJ206" i="6"/>
  <c r="AC206" i="6"/>
  <c r="AK206" i="6"/>
  <c r="W207" i="6"/>
  <c r="AE207" i="6"/>
  <c r="X207" i="6"/>
  <c r="Y207" i="6"/>
  <c r="AG207" i="6" s="1"/>
  <c r="Z207" i="6"/>
  <c r="AH207" i="6" s="1"/>
  <c r="AA207" i="6"/>
  <c r="AI207" i="6" s="1"/>
  <c r="AB207" i="6"/>
  <c r="AJ207" i="6"/>
  <c r="AC207" i="6"/>
  <c r="AK207" i="6" s="1"/>
  <c r="W208" i="6"/>
  <c r="AE208" i="6" s="1"/>
  <c r="X208" i="6"/>
  <c r="Y208" i="6"/>
  <c r="Z208" i="6"/>
  <c r="AH208" i="6"/>
  <c r="AA208" i="6"/>
  <c r="AI208" i="6" s="1"/>
  <c r="AB208" i="6"/>
  <c r="AJ208" i="6" s="1"/>
  <c r="AC208" i="6"/>
  <c r="AK208" i="6" s="1"/>
  <c r="W209" i="6"/>
  <c r="AE209" i="6"/>
  <c r="X209" i="6"/>
  <c r="Y209" i="6"/>
  <c r="Z209" i="6"/>
  <c r="AH209" i="6" s="1"/>
  <c r="AA209" i="6"/>
  <c r="AI209" i="6" s="1"/>
  <c r="AB209" i="6"/>
  <c r="AJ209" i="6"/>
  <c r="AC209" i="6"/>
  <c r="AK209" i="6" s="1"/>
  <c r="W210" i="6"/>
  <c r="AE210" i="6" s="1"/>
  <c r="X210" i="6"/>
  <c r="Y210" i="6"/>
  <c r="Z210" i="6"/>
  <c r="AH210" i="6"/>
  <c r="AA210" i="6"/>
  <c r="AI210" i="6" s="1"/>
  <c r="AB210" i="6"/>
  <c r="AJ210" i="6" s="1"/>
  <c r="AC210" i="6"/>
  <c r="AK210" i="6" s="1"/>
  <c r="W211" i="6"/>
  <c r="AE211" i="6"/>
  <c r="X211" i="6"/>
  <c r="Y211" i="6"/>
  <c r="Z211" i="6"/>
  <c r="AH211" i="6" s="1"/>
  <c r="AA211" i="6"/>
  <c r="AI211" i="6" s="1"/>
  <c r="AB211" i="6"/>
  <c r="AJ211" i="6"/>
  <c r="AC211" i="6"/>
  <c r="AK211" i="6" s="1"/>
  <c r="W212" i="6"/>
  <c r="AE212" i="6" s="1"/>
  <c r="X212" i="6"/>
  <c r="Y212" i="6"/>
  <c r="AG212" i="6"/>
  <c r="Z212" i="6"/>
  <c r="AH212" i="6"/>
  <c r="AA212" i="6"/>
  <c r="AI212" i="6"/>
  <c r="AB212" i="6"/>
  <c r="AJ212" i="6"/>
  <c r="AC212" i="6"/>
  <c r="AK212" i="6"/>
  <c r="W214" i="6"/>
  <c r="AE214" i="6"/>
  <c r="X214" i="6"/>
  <c r="Y214" i="6"/>
  <c r="AG214" i="6" s="1"/>
  <c r="Z214" i="6"/>
  <c r="AH214" i="6" s="1"/>
  <c r="AA214" i="6"/>
  <c r="AI214" i="6"/>
  <c r="AB214" i="6"/>
  <c r="AJ214" i="6" s="1"/>
  <c r="AC214" i="6"/>
  <c r="AK214" i="6" s="1"/>
  <c r="W213" i="6"/>
  <c r="AE213" i="6" s="1"/>
  <c r="X213" i="6"/>
  <c r="Y213" i="6"/>
  <c r="Z213" i="6"/>
  <c r="AH213" i="6" s="1"/>
  <c r="AA213" i="6"/>
  <c r="AI213" i="6" s="1"/>
  <c r="AB213" i="6"/>
  <c r="AJ213" i="6" s="1"/>
  <c r="AC213" i="6"/>
  <c r="AK213" i="6"/>
  <c r="W215" i="6"/>
  <c r="AE215" i="6" s="1"/>
  <c r="X215" i="6"/>
  <c r="AF215" i="6" s="1"/>
  <c r="Y215" i="6"/>
  <c r="Z215" i="6"/>
  <c r="AH215" i="6"/>
  <c r="AA215" i="6"/>
  <c r="AI215" i="6"/>
  <c r="AB215" i="6"/>
  <c r="AJ215" i="6"/>
  <c r="AC215" i="6"/>
  <c r="AK215" i="6"/>
  <c r="W216" i="6"/>
  <c r="AE216" i="6"/>
  <c r="X216" i="6"/>
  <c r="AF216" i="6"/>
  <c r="Y216" i="6"/>
  <c r="AG216" i="6"/>
  <c r="Z216" i="6"/>
  <c r="AH216" i="6"/>
  <c r="AA216" i="6"/>
  <c r="AI216" i="6"/>
  <c r="AB216" i="6"/>
  <c r="AJ216" i="6"/>
  <c r="AC216" i="6"/>
  <c r="AK216" i="6"/>
  <c r="W217" i="6"/>
  <c r="AE217" i="6"/>
  <c r="X217" i="6"/>
  <c r="AF217" i="6"/>
  <c r="Y217" i="6"/>
  <c r="AG217" i="6"/>
  <c r="Z217" i="6"/>
  <c r="AH217" i="6"/>
  <c r="AA217" i="6"/>
  <c r="AI217" i="6"/>
  <c r="AB217" i="6"/>
  <c r="AJ217" i="6"/>
  <c r="AC217" i="6"/>
  <c r="AK217" i="6"/>
  <c r="W218" i="6"/>
  <c r="AE218" i="6"/>
  <c r="X218" i="6"/>
  <c r="AF218" i="6"/>
  <c r="Y218" i="6"/>
  <c r="AG218" i="6"/>
  <c r="Z218" i="6"/>
  <c r="AH218" i="6"/>
  <c r="AA218" i="6"/>
  <c r="AI218" i="6"/>
  <c r="AB218" i="6"/>
  <c r="AJ218" i="6"/>
  <c r="AC218" i="6"/>
  <c r="AK218" i="6"/>
  <c r="W219" i="6"/>
  <c r="AE219" i="6"/>
  <c r="X219" i="6"/>
  <c r="AF219" i="6"/>
  <c r="Y219" i="6"/>
  <c r="Z219" i="6"/>
  <c r="AH219" i="6" s="1"/>
  <c r="AA219" i="6"/>
  <c r="AI219" i="6"/>
  <c r="AB219" i="6"/>
  <c r="AJ219" i="6" s="1"/>
  <c r="AC219" i="6"/>
  <c r="AK219" i="6" s="1"/>
  <c r="W220" i="6"/>
  <c r="AE220" i="6" s="1"/>
  <c r="X220" i="6"/>
  <c r="AF220" i="6"/>
  <c r="Y220" i="6"/>
  <c r="AG220" i="6" s="1"/>
  <c r="Z220" i="6"/>
  <c r="AH220" i="6" s="1"/>
  <c r="AA220" i="6"/>
  <c r="AI220" i="6" s="1"/>
  <c r="AB220" i="6"/>
  <c r="AJ220" i="6"/>
  <c r="AC220" i="6"/>
  <c r="AK220" i="6" s="1"/>
  <c r="W221" i="6"/>
  <c r="AE221" i="6" s="1"/>
  <c r="X221" i="6"/>
  <c r="AF221" i="6" s="1"/>
  <c r="Y221" i="6"/>
  <c r="Z221" i="6"/>
  <c r="AH221" i="6"/>
  <c r="AA221" i="6"/>
  <c r="AI221" i="6"/>
  <c r="AB221" i="6"/>
  <c r="AJ221" i="6"/>
  <c r="AC221" i="6"/>
  <c r="AK221" i="6"/>
  <c r="W222" i="6"/>
  <c r="AE222" i="6"/>
  <c r="X222" i="6"/>
  <c r="AF222" i="6"/>
  <c r="Y222" i="6"/>
  <c r="AG222" i="6"/>
  <c r="Z222" i="6"/>
  <c r="AA222" i="6"/>
  <c r="AI222" i="6"/>
  <c r="AB222" i="6"/>
  <c r="AJ222" i="6" s="1"/>
  <c r="AC222" i="6"/>
  <c r="AK222" i="6" s="1"/>
  <c r="W223" i="6"/>
  <c r="AE223" i="6" s="1"/>
  <c r="X223" i="6"/>
  <c r="AF223" i="6"/>
  <c r="Y223" i="6"/>
  <c r="AG223" i="6" s="1"/>
  <c r="Z223" i="6"/>
  <c r="AH223" i="6" s="1"/>
  <c r="AA223" i="6"/>
  <c r="AI223" i="6" s="1"/>
  <c r="AB223" i="6"/>
  <c r="AJ223" i="6"/>
  <c r="AC223" i="6"/>
  <c r="AK223" i="6" s="1"/>
  <c r="W224" i="6"/>
  <c r="AE224" i="6" s="1"/>
  <c r="X224" i="6"/>
  <c r="AF224" i="6" s="1"/>
  <c r="Y224" i="6"/>
  <c r="AG224" i="6"/>
  <c r="Z224" i="6"/>
  <c r="AH224" i="6" s="1"/>
  <c r="AA224" i="6"/>
  <c r="AI224" i="6" s="1"/>
  <c r="AB224" i="6"/>
  <c r="AJ224" i="6" s="1"/>
  <c r="AC224" i="6"/>
  <c r="AK224" i="6"/>
  <c r="W225" i="6"/>
  <c r="AE225" i="6" s="1"/>
  <c r="X225" i="6"/>
  <c r="AF225" i="6" s="1"/>
  <c r="Y225" i="6"/>
  <c r="Z225" i="6"/>
  <c r="AH225" i="6"/>
  <c r="AA225" i="6"/>
  <c r="AI225" i="6"/>
  <c r="AB225" i="6"/>
  <c r="AJ225" i="6"/>
  <c r="AC225" i="6"/>
  <c r="AK225" i="6"/>
  <c r="W226" i="6"/>
  <c r="AE226" i="6"/>
  <c r="X226" i="6"/>
  <c r="AF226" i="6"/>
  <c r="Y226" i="6"/>
  <c r="Z226" i="6"/>
  <c r="AH226" i="6" s="1"/>
  <c r="AA226" i="6"/>
  <c r="AI226" i="6" s="1"/>
  <c r="AB226" i="6"/>
  <c r="AJ226" i="6"/>
  <c r="AC226" i="6"/>
  <c r="AK226" i="6" s="1"/>
  <c r="W227" i="6"/>
  <c r="AE227" i="6" s="1"/>
  <c r="X227" i="6"/>
  <c r="AF227" i="6" s="1"/>
  <c r="Y227" i="6"/>
  <c r="Z227" i="6"/>
  <c r="AH227" i="6"/>
  <c r="AA227" i="6"/>
  <c r="AI227" i="6"/>
  <c r="AB227" i="6"/>
  <c r="AJ227" i="6"/>
  <c r="AC227" i="6"/>
  <c r="AK227" i="6"/>
  <c r="W228" i="6"/>
  <c r="AE228" i="6"/>
  <c r="X228" i="6"/>
  <c r="AF228" i="6"/>
  <c r="Y228" i="6"/>
  <c r="AG228" i="6"/>
  <c r="Z228" i="6"/>
  <c r="AH228" i="6"/>
  <c r="AA228" i="6"/>
  <c r="AI228" i="6"/>
  <c r="AB228" i="6"/>
  <c r="AJ228" i="6"/>
  <c r="AC228" i="6"/>
  <c r="AK228" i="6"/>
  <c r="W229" i="6"/>
  <c r="AE229" i="6"/>
  <c r="X229" i="6"/>
  <c r="AF229" i="6"/>
  <c r="Y229" i="6"/>
  <c r="AG229" i="6"/>
  <c r="Z229" i="6"/>
  <c r="AH229" i="6"/>
  <c r="AA229" i="6"/>
  <c r="AI229" i="6"/>
  <c r="AB229" i="6"/>
  <c r="AJ229" i="6"/>
  <c r="AC229" i="6"/>
  <c r="AK229" i="6"/>
  <c r="W230" i="6"/>
  <c r="AE230" i="6"/>
  <c r="X230" i="6"/>
  <c r="AF230" i="6"/>
  <c r="Y230" i="6"/>
  <c r="AG230" i="6"/>
  <c r="Z230" i="6"/>
  <c r="AH230" i="6"/>
  <c r="AA230" i="6"/>
  <c r="AI230" i="6"/>
  <c r="AB230" i="6"/>
  <c r="AJ230" i="6"/>
  <c r="AC230" i="6"/>
  <c r="AK230" i="6"/>
  <c r="W231" i="6"/>
  <c r="AE231" i="6"/>
  <c r="X231" i="6"/>
  <c r="AF231" i="6"/>
  <c r="Y231" i="6"/>
  <c r="Z231" i="6"/>
  <c r="AH231" i="6"/>
  <c r="AA231" i="6"/>
  <c r="AI231" i="6" s="1"/>
  <c r="AB231" i="6"/>
  <c r="AJ231" i="6" s="1"/>
  <c r="AC231" i="6"/>
  <c r="AK231" i="6" s="1"/>
  <c r="W232" i="6"/>
  <c r="AE232" i="6"/>
  <c r="X232" i="6"/>
  <c r="AF232" i="6" s="1"/>
  <c r="Y232" i="6"/>
  <c r="Z232" i="6"/>
  <c r="AH232" i="6"/>
  <c r="AA232" i="6"/>
  <c r="AI232" i="6"/>
  <c r="AB232" i="6"/>
  <c r="AJ232" i="6" s="1"/>
  <c r="AC232" i="6"/>
  <c r="AK232" i="6"/>
  <c r="W233" i="6"/>
  <c r="AE233" i="6"/>
  <c r="X233" i="6"/>
  <c r="AF233" i="6"/>
  <c r="Y233" i="6"/>
  <c r="Z233" i="6"/>
  <c r="AH233" i="6" s="1"/>
  <c r="AA233" i="6"/>
  <c r="AI233" i="6" s="1"/>
  <c r="AB233" i="6"/>
  <c r="AJ233" i="6" s="1"/>
  <c r="AC233" i="6"/>
  <c r="AK233" i="6"/>
  <c r="W234" i="6"/>
  <c r="AE234" i="6" s="1"/>
  <c r="X234" i="6"/>
  <c r="AF234" i="6" s="1"/>
  <c r="Y234" i="6"/>
  <c r="Z234" i="6"/>
  <c r="AH234" i="6"/>
  <c r="AA234" i="6"/>
  <c r="AI234" i="6"/>
  <c r="AB234" i="6"/>
  <c r="AJ234" i="6"/>
  <c r="AC234" i="6"/>
  <c r="AK234" i="6"/>
  <c r="W236" i="6"/>
  <c r="AE236" i="6"/>
  <c r="X236" i="6"/>
  <c r="AF236" i="6"/>
  <c r="Y236" i="6"/>
  <c r="Z236" i="6"/>
  <c r="AH236" i="6" s="1"/>
  <c r="AA236" i="6"/>
  <c r="AI236" i="6" s="1"/>
  <c r="AB236" i="6"/>
  <c r="AJ236" i="6"/>
  <c r="AC236" i="6"/>
  <c r="AK236" i="6" s="1"/>
  <c r="W237" i="6"/>
  <c r="AE237" i="6" s="1"/>
  <c r="X237" i="6"/>
  <c r="AF237" i="6" s="1"/>
  <c r="Y237" i="6"/>
  <c r="AG237" i="6"/>
  <c r="Z237" i="6"/>
  <c r="AH237" i="6" s="1"/>
  <c r="AA237" i="6"/>
  <c r="AI237" i="6" s="1"/>
  <c r="AB237" i="6"/>
  <c r="AJ237" i="6" s="1"/>
  <c r="AC237" i="6"/>
  <c r="AK237" i="6"/>
  <c r="W238" i="6"/>
  <c r="AE238" i="6" s="1"/>
  <c r="X238" i="6"/>
  <c r="AF238" i="6" s="1"/>
  <c r="Y238" i="6"/>
  <c r="Z238" i="6"/>
  <c r="AH238" i="6"/>
  <c r="AA238" i="6"/>
  <c r="AI238" i="6"/>
  <c r="AB238" i="6"/>
  <c r="AJ238" i="6"/>
  <c r="AC238" i="6"/>
  <c r="AK238" i="6"/>
  <c r="W239" i="6"/>
  <c r="AE239" i="6"/>
  <c r="X239" i="6"/>
  <c r="AF239" i="6"/>
  <c r="Y239" i="6"/>
  <c r="AG239" i="6"/>
  <c r="Z239" i="6"/>
  <c r="AH239" i="6"/>
  <c r="AA239" i="6"/>
  <c r="AI239" i="6"/>
  <c r="AB239" i="6"/>
  <c r="AJ239" i="6"/>
  <c r="AC239" i="6"/>
  <c r="AK239" i="6"/>
  <c r="W240" i="6"/>
  <c r="AE240" i="6"/>
  <c r="X240" i="6"/>
  <c r="AF240" i="6"/>
  <c r="Y240" i="6"/>
  <c r="AG240" i="6"/>
  <c r="Z240" i="6"/>
  <c r="AH240" i="6"/>
  <c r="AA240" i="6"/>
  <c r="AI240" i="6"/>
  <c r="AB240" i="6"/>
  <c r="AJ240" i="6"/>
  <c r="AC240" i="6"/>
  <c r="AK240" i="6"/>
  <c r="W241" i="6"/>
  <c r="AE241" i="6"/>
  <c r="X241" i="6"/>
  <c r="AF241" i="6"/>
  <c r="Y241" i="6"/>
  <c r="AG241" i="6"/>
  <c r="Z241" i="6"/>
  <c r="AH241" i="6"/>
  <c r="AA241" i="6"/>
  <c r="AI241" i="6"/>
  <c r="AB241" i="6"/>
  <c r="AJ241" i="6"/>
  <c r="AC241" i="6"/>
  <c r="AK241" i="6"/>
  <c r="W242" i="6"/>
  <c r="AE242" i="6"/>
  <c r="X242" i="6"/>
  <c r="AF242" i="6"/>
  <c r="Y242" i="6"/>
  <c r="AG242" i="6"/>
  <c r="Z242" i="6"/>
  <c r="AH242" i="6"/>
  <c r="AA242" i="6"/>
  <c r="AI242" i="6"/>
  <c r="AB242" i="6"/>
  <c r="AJ242" i="6"/>
  <c r="AC242" i="6"/>
  <c r="AK242" i="6"/>
  <c r="W243" i="6"/>
  <c r="AE243" i="6"/>
  <c r="X243" i="6"/>
  <c r="AF243" i="6"/>
  <c r="Y243" i="6"/>
  <c r="AG243" i="6"/>
  <c r="Z243" i="6"/>
  <c r="AH243" i="6"/>
  <c r="AA243" i="6"/>
  <c r="AI243" i="6"/>
  <c r="AB243" i="6"/>
  <c r="AJ243" i="6"/>
  <c r="AC243" i="6"/>
  <c r="AK243" i="6"/>
  <c r="W250" i="6"/>
  <c r="AE250" i="6"/>
  <c r="X250" i="6"/>
  <c r="AF250" i="6"/>
  <c r="Y250" i="6"/>
  <c r="AG250" i="6"/>
  <c r="Z250" i="6"/>
  <c r="AH250" i="6"/>
  <c r="AA250" i="6"/>
  <c r="AI250" i="6"/>
  <c r="AB250" i="6"/>
  <c r="AJ250" i="6"/>
  <c r="AC250" i="6"/>
  <c r="AK250" i="6"/>
  <c r="W251" i="6"/>
  <c r="AE251" i="6"/>
  <c r="X251" i="6"/>
  <c r="AF251" i="6"/>
  <c r="Y251" i="6"/>
  <c r="AG251" i="6"/>
  <c r="Z251" i="6"/>
  <c r="AH251" i="6"/>
  <c r="AA251" i="6"/>
  <c r="AI251" i="6"/>
  <c r="AB251" i="6"/>
  <c r="AJ251" i="6"/>
  <c r="AC251" i="6"/>
  <c r="AK251" i="6"/>
  <c r="W244" i="6"/>
  <c r="AE244" i="6"/>
  <c r="X244" i="6"/>
  <c r="AF244" i="6"/>
  <c r="Y244" i="6"/>
  <c r="Z244" i="6"/>
  <c r="AH244" i="6" s="1"/>
  <c r="AA244" i="6"/>
  <c r="AI244" i="6"/>
  <c r="AB244" i="6"/>
  <c r="AJ244" i="6" s="1"/>
  <c r="AC244" i="6"/>
  <c r="AK244" i="6" s="1"/>
  <c r="W245" i="6"/>
  <c r="AE245" i="6" s="1"/>
  <c r="X245" i="6"/>
  <c r="AF245" i="6"/>
  <c r="Y245" i="6"/>
  <c r="Z245" i="6"/>
  <c r="AH245" i="6"/>
  <c r="AA245" i="6"/>
  <c r="AI245" i="6"/>
  <c r="AB245" i="6"/>
  <c r="AJ245" i="6"/>
  <c r="AC245" i="6"/>
  <c r="AK245" i="6"/>
  <c r="W246" i="6"/>
  <c r="AE246" i="6"/>
  <c r="X246" i="6"/>
  <c r="AF246" i="6"/>
  <c r="Y246" i="6"/>
  <c r="Z246" i="6"/>
  <c r="AH246" i="6"/>
  <c r="AA246" i="6"/>
  <c r="AI246" i="6" s="1"/>
  <c r="AB246" i="6"/>
  <c r="AJ246" i="6" s="1"/>
  <c r="AC246" i="6"/>
  <c r="AK246" i="6" s="1"/>
  <c r="W247" i="6"/>
  <c r="AE247" i="6"/>
  <c r="X247" i="6"/>
  <c r="AF247" i="6" s="1"/>
  <c r="Y247" i="6"/>
  <c r="Z247" i="6"/>
  <c r="AH247" i="6"/>
  <c r="AA247" i="6"/>
  <c r="AI247" i="6"/>
  <c r="AB247" i="6"/>
  <c r="AJ247" i="6"/>
  <c r="AC247" i="6"/>
  <c r="AK247" i="6"/>
  <c r="W248" i="6"/>
  <c r="AE248" i="6"/>
  <c r="X248" i="6"/>
  <c r="AF248" i="6"/>
  <c r="Y248" i="6"/>
  <c r="Z248" i="6"/>
  <c r="AH248" i="6" s="1"/>
  <c r="AA248" i="6"/>
  <c r="AI248" i="6" s="1"/>
  <c r="AB248" i="6"/>
  <c r="AJ248" i="6" s="1"/>
  <c r="AC248" i="6"/>
  <c r="AK248" i="6"/>
  <c r="W249" i="6"/>
  <c r="AE249" i="6" s="1"/>
  <c r="X249" i="6"/>
  <c r="AF249" i="6" s="1"/>
  <c r="Y249" i="6"/>
  <c r="Z249" i="6"/>
  <c r="AH249" i="6"/>
  <c r="AA249" i="6"/>
  <c r="AI249" i="6"/>
  <c r="AB249" i="6"/>
  <c r="AJ249" i="6"/>
  <c r="AC249" i="6"/>
  <c r="AK249" i="6"/>
  <c r="W252" i="6"/>
  <c r="AE252" i="6"/>
  <c r="X252" i="6"/>
  <c r="AF252" i="6"/>
  <c r="Y252" i="6"/>
  <c r="AG252" i="6"/>
  <c r="Z252" i="6"/>
  <c r="AH252" i="6"/>
  <c r="AA252" i="6"/>
  <c r="AI252" i="6"/>
  <c r="AB252" i="6"/>
  <c r="AJ252" i="6"/>
  <c r="AC252" i="6"/>
  <c r="AK252" i="6"/>
  <c r="W253" i="6"/>
  <c r="AE253" i="6"/>
  <c r="X253" i="6"/>
  <c r="AF253" i="6"/>
  <c r="Y253" i="6"/>
  <c r="AG253" i="6"/>
  <c r="Z253" i="6"/>
  <c r="AH253" i="6"/>
  <c r="AA253" i="6"/>
  <c r="AI253" i="6"/>
  <c r="AB253" i="6"/>
  <c r="AJ253" i="6"/>
  <c r="AC253" i="6"/>
  <c r="AK253" i="6"/>
  <c r="W254" i="6"/>
  <c r="AE254" i="6"/>
  <c r="X254" i="6"/>
  <c r="AF254" i="6"/>
  <c r="Y254" i="6"/>
  <c r="AG254" i="6"/>
  <c r="Z254" i="6"/>
  <c r="AH254" i="6"/>
  <c r="AA254" i="6"/>
  <c r="AI254" i="6"/>
  <c r="AB254" i="6"/>
  <c r="AJ254" i="6"/>
  <c r="AC254" i="6"/>
  <c r="AK254" i="6"/>
  <c r="W255" i="6"/>
  <c r="AE255" i="6"/>
  <c r="X255" i="6"/>
  <c r="AF255" i="6"/>
  <c r="Y255" i="6"/>
  <c r="AG255" i="6"/>
  <c r="Z255" i="6"/>
  <c r="AH255" i="6"/>
  <c r="AA255" i="6"/>
  <c r="AI255" i="6"/>
  <c r="AB255" i="6"/>
  <c r="AJ255" i="6"/>
  <c r="AC255" i="6"/>
  <c r="AK255" i="6"/>
  <c r="W257" i="6"/>
  <c r="AE257" i="6"/>
  <c r="X257" i="6"/>
  <c r="AF257" i="6"/>
  <c r="Y257" i="6"/>
  <c r="AG257" i="6"/>
  <c r="Z257" i="6"/>
  <c r="AH257" i="6"/>
  <c r="AA257" i="6"/>
  <c r="AI257" i="6"/>
  <c r="AB257" i="6"/>
  <c r="AJ257" i="6"/>
  <c r="AC257" i="6"/>
  <c r="AK257" i="6"/>
  <c r="W258" i="6"/>
  <c r="AE258" i="6"/>
  <c r="X258" i="6"/>
  <c r="AF258" i="6"/>
  <c r="Y258" i="6"/>
  <c r="AG258" i="6"/>
  <c r="Z258" i="6"/>
  <c r="AH258" i="6"/>
  <c r="AA258" i="6"/>
  <c r="AI258" i="6"/>
  <c r="AB258" i="6"/>
  <c r="AJ258" i="6"/>
  <c r="AC258" i="6"/>
  <c r="AK258" i="6"/>
  <c r="W259" i="6"/>
  <c r="AE259" i="6"/>
  <c r="X259" i="6"/>
  <c r="AF259" i="6"/>
  <c r="Y259" i="6"/>
  <c r="AG259" i="6"/>
  <c r="Z259" i="6"/>
  <c r="AH259" i="6"/>
  <c r="AA259" i="6"/>
  <c r="AI259" i="6"/>
  <c r="AB259" i="6"/>
  <c r="AJ259" i="6"/>
  <c r="AC259" i="6"/>
  <c r="AK259" i="6"/>
  <c r="W260" i="6"/>
  <c r="AE260" i="6"/>
  <c r="X260" i="6"/>
  <c r="AF260" i="6"/>
  <c r="Y260" i="6"/>
  <c r="Z260" i="6"/>
  <c r="AH260" i="6" s="1"/>
  <c r="AA260" i="6"/>
  <c r="AI260" i="6"/>
  <c r="AB260" i="6"/>
  <c r="AJ260" i="6" s="1"/>
  <c r="AC260" i="6"/>
  <c r="AK260" i="6" s="1"/>
  <c r="W261" i="6"/>
  <c r="AE261" i="6" s="1"/>
  <c r="X261" i="6"/>
  <c r="AF261" i="6"/>
  <c r="Y261" i="6"/>
  <c r="Z261" i="6"/>
  <c r="AH261" i="6"/>
  <c r="AA261" i="6"/>
  <c r="AI261" i="6"/>
  <c r="AB261" i="6"/>
  <c r="AJ261" i="6"/>
  <c r="AC261" i="6"/>
  <c r="AK261" i="6" s="1"/>
  <c r="W262" i="6"/>
  <c r="AE262" i="6"/>
  <c r="X262" i="6"/>
  <c r="AF262" i="6"/>
  <c r="Y262" i="6"/>
  <c r="AG262" i="6"/>
  <c r="Z262" i="6"/>
  <c r="AH262" i="6" s="1"/>
  <c r="AA262" i="6"/>
  <c r="AI262" i="6"/>
  <c r="AB262" i="6"/>
  <c r="AJ262" i="6"/>
  <c r="AC262" i="6"/>
  <c r="AK262" i="6"/>
  <c r="W263" i="6"/>
  <c r="AE263" i="6" s="1"/>
  <c r="X263" i="6"/>
  <c r="AF263" i="6"/>
  <c r="Y263" i="6"/>
  <c r="AG263" i="6"/>
  <c r="Z263" i="6"/>
  <c r="AH263" i="6"/>
  <c r="AA263" i="6"/>
  <c r="AI263" i="6" s="1"/>
  <c r="AB263" i="6"/>
  <c r="AJ263" i="6"/>
  <c r="AC263" i="6"/>
  <c r="AK263" i="6"/>
  <c r="W264" i="6"/>
  <c r="AE264" i="6"/>
  <c r="X264" i="6"/>
  <c r="AF264" i="6" s="1"/>
  <c r="Y264" i="6"/>
  <c r="AG264" i="6"/>
  <c r="Z264" i="6"/>
  <c r="AH264" i="6"/>
  <c r="AA264" i="6"/>
  <c r="AI264" i="6"/>
  <c r="AB264" i="6"/>
  <c r="AJ264" i="6" s="1"/>
  <c r="AC264" i="6"/>
  <c r="AK264" i="6"/>
  <c r="W265" i="6"/>
  <c r="AE265" i="6"/>
  <c r="X265" i="6"/>
  <c r="AF265" i="6"/>
  <c r="Y265" i="6"/>
  <c r="AG265" i="6" s="1"/>
  <c r="Z265" i="6"/>
  <c r="AA265" i="6"/>
  <c r="AI265" i="6" s="1"/>
  <c r="AB265" i="6"/>
  <c r="AJ265" i="6" s="1"/>
  <c r="AC265" i="6"/>
  <c r="AK265" i="6"/>
  <c r="W266" i="6"/>
  <c r="AE266" i="6" s="1"/>
  <c r="X266" i="6"/>
  <c r="AF266" i="6" s="1"/>
  <c r="Y266" i="6"/>
  <c r="AG266" i="6" s="1"/>
  <c r="Z266" i="6"/>
  <c r="AH266" i="6"/>
  <c r="AA266" i="6"/>
  <c r="AI266" i="6" s="1"/>
  <c r="AB266" i="6"/>
  <c r="AJ266" i="6" s="1"/>
  <c r="AC266" i="6"/>
  <c r="AK266" i="6" s="1"/>
  <c r="W267" i="6"/>
  <c r="AE267" i="6"/>
  <c r="X267" i="6"/>
  <c r="AF267" i="6" s="1"/>
  <c r="Y267" i="6"/>
  <c r="AG267" i="6" s="1"/>
  <c r="Z267" i="6"/>
  <c r="AH267" i="6" s="1"/>
  <c r="AA267" i="6"/>
  <c r="AI267" i="6"/>
  <c r="AB267" i="6"/>
  <c r="AJ267" i="6" s="1"/>
  <c r="AC267" i="6"/>
  <c r="AK267" i="6" s="1"/>
  <c r="W268" i="6"/>
  <c r="AE268" i="6" s="1"/>
  <c r="X268" i="6"/>
  <c r="AF268" i="6"/>
  <c r="Y268" i="6"/>
  <c r="AG268" i="6" s="1"/>
  <c r="Z268" i="6"/>
  <c r="AH268" i="6" s="1"/>
  <c r="AA268" i="6"/>
  <c r="AI268" i="6" s="1"/>
  <c r="AB268" i="6"/>
  <c r="AJ268" i="6"/>
  <c r="AC268" i="6"/>
  <c r="AK268" i="6" s="1"/>
  <c r="W269" i="6"/>
  <c r="AE269" i="6" s="1"/>
  <c r="X269" i="6"/>
  <c r="AF269" i="6" s="1"/>
  <c r="Y269" i="6"/>
  <c r="Z269" i="6"/>
  <c r="AH269" i="6"/>
  <c r="AA269" i="6"/>
  <c r="AI269" i="6"/>
  <c r="AB269" i="6"/>
  <c r="AJ269" i="6"/>
  <c r="AC269" i="6"/>
  <c r="AK269" i="6"/>
  <c r="W270" i="6"/>
  <c r="AE270" i="6"/>
  <c r="X270" i="6"/>
  <c r="AF270" i="6"/>
  <c r="Y270" i="6"/>
  <c r="AG270" i="6"/>
  <c r="Z270" i="6"/>
  <c r="AH270" i="6"/>
  <c r="AA270" i="6"/>
  <c r="AI270" i="6"/>
  <c r="AB270" i="6"/>
  <c r="AJ270" i="6"/>
  <c r="AC270" i="6"/>
  <c r="AK270" i="6"/>
  <c r="W271" i="6"/>
  <c r="AE271" i="6"/>
  <c r="X271" i="6"/>
  <c r="AF271" i="6"/>
  <c r="Y271" i="6"/>
  <c r="AG271" i="6"/>
  <c r="Z271" i="6"/>
  <c r="AH271" i="6"/>
  <c r="AA271" i="6"/>
  <c r="AI271" i="6"/>
  <c r="AB271" i="6"/>
  <c r="AJ271" i="6"/>
  <c r="AC271" i="6"/>
  <c r="AK271" i="6"/>
  <c r="W272" i="6"/>
  <c r="AE272" i="6"/>
  <c r="X272" i="6"/>
  <c r="AF272" i="6"/>
  <c r="Y272" i="6"/>
  <c r="AG272" i="6"/>
  <c r="Z272" i="6"/>
  <c r="AH272" i="6"/>
  <c r="AA272" i="6"/>
  <c r="AI272" i="6"/>
  <c r="AB272" i="6"/>
  <c r="AJ272" i="6"/>
  <c r="AC272" i="6"/>
  <c r="AK272" i="6"/>
  <c r="W273" i="6"/>
  <c r="AE273" i="6"/>
  <c r="X273" i="6"/>
  <c r="AF273" i="6"/>
  <c r="Y273" i="6"/>
  <c r="AG273" i="6"/>
  <c r="Z273" i="6"/>
  <c r="AH273" i="6"/>
  <c r="AA273" i="6"/>
  <c r="AI273" i="6"/>
  <c r="AB273" i="6"/>
  <c r="AJ273" i="6"/>
  <c r="AC273" i="6"/>
  <c r="AK273" i="6"/>
  <c r="W274" i="6"/>
  <c r="AE274" i="6"/>
  <c r="X274" i="6"/>
  <c r="AF274" i="6"/>
  <c r="Y274" i="6"/>
  <c r="AG274" i="6"/>
  <c r="Z274" i="6"/>
  <c r="AH274" i="6"/>
  <c r="AA274" i="6"/>
  <c r="AI274" i="6"/>
  <c r="AB274" i="6"/>
  <c r="AJ274" i="6"/>
  <c r="AC274" i="6"/>
  <c r="AK274" i="6"/>
  <c r="W275" i="6"/>
  <c r="AE275" i="6"/>
  <c r="X275" i="6"/>
  <c r="AF275" i="6"/>
  <c r="Y275" i="6"/>
  <c r="AG275" i="6"/>
  <c r="Z275" i="6"/>
  <c r="AH275" i="6"/>
  <c r="AA275" i="6"/>
  <c r="AI275" i="6"/>
  <c r="AB275" i="6"/>
  <c r="AJ275" i="6"/>
  <c r="AC275" i="6"/>
  <c r="AK275" i="6"/>
  <c r="W276" i="6"/>
  <c r="AE276" i="6"/>
  <c r="X276" i="6"/>
  <c r="AF276" i="6"/>
  <c r="Y276" i="6"/>
  <c r="AG276" i="6"/>
  <c r="Z276" i="6"/>
  <c r="AH276" i="6"/>
  <c r="AA276" i="6"/>
  <c r="AI276" i="6"/>
  <c r="AB276" i="6"/>
  <c r="AJ276" i="6"/>
  <c r="AC276" i="6"/>
  <c r="AK276" i="6"/>
  <c r="W277" i="6"/>
  <c r="AE277" i="6"/>
  <c r="X277" i="6"/>
  <c r="AF277" i="6"/>
  <c r="Y277" i="6"/>
  <c r="AG277" i="6"/>
  <c r="Z277" i="6"/>
  <c r="AH277" i="6"/>
  <c r="AA277" i="6"/>
  <c r="AI277" i="6"/>
  <c r="AB277" i="6"/>
  <c r="AJ277" i="6"/>
  <c r="AC277" i="6"/>
  <c r="AK277" i="6"/>
  <c r="W278" i="6"/>
  <c r="AE278" i="6"/>
  <c r="X278" i="6"/>
  <c r="AF278" i="6"/>
  <c r="Y278" i="6"/>
  <c r="AG278" i="6"/>
  <c r="Z278" i="6"/>
  <c r="AH278" i="6"/>
  <c r="AA278" i="6"/>
  <c r="AI278" i="6"/>
  <c r="AB278" i="6"/>
  <c r="AJ278" i="6"/>
  <c r="AC278" i="6"/>
  <c r="AK278" i="6"/>
  <c r="W279" i="6"/>
  <c r="AE279" i="6"/>
  <c r="X279" i="6"/>
  <c r="AF279" i="6"/>
  <c r="Y279" i="6"/>
  <c r="AG279" i="6"/>
  <c r="Z279" i="6"/>
  <c r="AH279" i="6"/>
  <c r="AA279" i="6"/>
  <c r="AI279" i="6"/>
  <c r="AB279" i="6"/>
  <c r="AJ279" i="6"/>
  <c r="AC279" i="6"/>
  <c r="AK279" i="6"/>
  <c r="W280" i="6"/>
  <c r="AE280" i="6"/>
  <c r="X280" i="6"/>
  <c r="AF280" i="6"/>
  <c r="Y280" i="6"/>
  <c r="AG280" i="6"/>
  <c r="Z280" i="6"/>
  <c r="AH280" i="6"/>
  <c r="AA280" i="6"/>
  <c r="AI280" i="6"/>
  <c r="AB280" i="6"/>
  <c r="AJ280" i="6"/>
  <c r="AC280" i="6"/>
  <c r="AK280" i="6"/>
  <c r="W281" i="6"/>
  <c r="AE281" i="6"/>
  <c r="X281" i="6"/>
  <c r="AF281" i="6"/>
  <c r="Y281" i="6"/>
  <c r="AG281" i="6"/>
  <c r="Z281" i="6"/>
  <c r="AH281" i="6"/>
  <c r="AA281" i="6"/>
  <c r="AI281" i="6"/>
  <c r="AB281" i="6"/>
  <c r="AJ281" i="6"/>
  <c r="AC281" i="6"/>
  <c r="AK281" i="6"/>
  <c r="W282" i="6"/>
  <c r="AE282" i="6"/>
  <c r="X282" i="6"/>
  <c r="AF282" i="6"/>
  <c r="Y282" i="6"/>
  <c r="AG282" i="6"/>
  <c r="Z282" i="6"/>
  <c r="AH282" i="6"/>
  <c r="AA282" i="6"/>
  <c r="AI282" i="6"/>
  <c r="AB282" i="6"/>
  <c r="AJ282" i="6"/>
  <c r="AC282" i="6"/>
  <c r="AK282" i="6"/>
  <c r="W283" i="6"/>
  <c r="AE283" i="6"/>
  <c r="X283" i="6"/>
  <c r="AF283" i="6"/>
  <c r="Y283" i="6"/>
  <c r="AG283" i="6"/>
  <c r="Z283" i="6"/>
  <c r="AH283" i="6"/>
  <c r="AA283" i="6"/>
  <c r="AI283" i="6"/>
  <c r="AB283" i="6"/>
  <c r="AJ283" i="6"/>
  <c r="AC283" i="6"/>
  <c r="AK283" i="6"/>
  <c r="W284" i="6"/>
  <c r="AE284" i="6"/>
  <c r="X284" i="6"/>
  <c r="AF284" i="6"/>
  <c r="Y284" i="6"/>
  <c r="AG284" i="6"/>
  <c r="Z284" i="6"/>
  <c r="AH284" i="6"/>
  <c r="AA284" i="6"/>
  <c r="AI284" i="6"/>
  <c r="AB284" i="6"/>
  <c r="AJ284" i="6"/>
  <c r="AC284" i="6"/>
  <c r="AK284" i="6"/>
  <c r="W285" i="6"/>
  <c r="AE285" i="6"/>
  <c r="X285" i="6"/>
  <c r="AF285" i="6"/>
  <c r="Y285" i="6"/>
  <c r="AG285" i="6"/>
  <c r="Z285" i="6"/>
  <c r="AH285" i="6"/>
  <c r="AA285" i="6"/>
  <c r="AI285" i="6"/>
  <c r="AB285" i="6"/>
  <c r="AJ285" i="6"/>
  <c r="AC285" i="6"/>
  <c r="AK285" i="6"/>
  <c r="W286" i="6"/>
  <c r="AE286" i="6"/>
  <c r="X286" i="6"/>
  <c r="AF286" i="6"/>
  <c r="Y286" i="6"/>
  <c r="AG286" i="6"/>
  <c r="Z286" i="6"/>
  <c r="AH286" i="6"/>
  <c r="AA286" i="6"/>
  <c r="AI286" i="6"/>
  <c r="AB286" i="6"/>
  <c r="AJ286" i="6"/>
  <c r="AC286" i="6"/>
  <c r="AK286" i="6"/>
  <c r="W287" i="6"/>
  <c r="AE287" i="6"/>
  <c r="X287" i="6"/>
  <c r="AF287" i="6"/>
  <c r="Y287" i="6"/>
  <c r="AG287" i="6"/>
  <c r="Z287" i="6"/>
  <c r="AH287" i="6"/>
  <c r="AA287" i="6"/>
  <c r="AI287" i="6"/>
  <c r="AB287" i="6"/>
  <c r="AJ287" i="6"/>
  <c r="AC287" i="6"/>
  <c r="AK287" i="6"/>
  <c r="W288" i="6"/>
  <c r="AE288" i="6"/>
  <c r="X288" i="6"/>
  <c r="AF288" i="6"/>
  <c r="Y288" i="6"/>
  <c r="AG288" i="6"/>
  <c r="Z288" i="6"/>
  <c r="AH288" i="6"/>
  <c r="AA288" i="6"/>
  <c r="AI288" i="6"/>
  <c r="AB288" i="6"/>
  <c r="AJ288" i="6"/>
  <c r="AC288" i="6"/>
  <c r="AK288" i="6"/>
  <c r="W289" i="6"/>
  <c r="AE289" i="6"/>
  <c r="X289" i="6"/>
  <c r="AF289" i="6"/>
  <c r="Y289" i="6"/>
  <c r="AG289" i="6"/>
  <c r="Z289" i="6"/>
  <c r="AH289" i="6"/>
  <c r="AA289" i="6"/>
  <c r="AI289" i="6"/>
  <c r="AB289" i="6"/>
  <c r="AJ289" i="6"/>
  <c r="AC289" i="6"/>
  <c r="AK289" i="6"/>
  <c r="W290" i="6"/>
  <c r="AE290" i="6"/>
  <c r="X290" i="6"/>
  <c r="AF290" i="6"/>
  <c r="Y290" i="6"/>
  <c r="AG290" i="6"/>
  <c r="Z290" i="6"/>
  <c r="AH290" i="6"/>
  <c r="AA290" i="6"/>
  <c r="AI290" i="6"/>
  <c r="AB290" i="6"/>
  <c r="AJ290" i="6"/>
  <c r="AC290" i="6"/>
  <c r="AK290" i="6"/>
  <c r="W291" i="6"/>
  <c r="AE291" i="6"/>
  <c r="X291" i="6"/>
  <c r="AF291" i="6"/>
  <c r="Y291" i="6"/>
  <c r="AG291" i="6"/>
  <c r="Z291" i="6"/>
  <c r="AH291" i="6"/>
  <c r="AA291" i="6"/>
  <c r="AI291" i="6"/>
  <c r="AB291" i="6"/>
  <c r="AJ291" i="6"/>
  <c r="AC291" i="6"/>
  <c r="AK291" i="6"/>
  <c r="W292" i="6"/>
  <c r="AE292" i="6"/>
  <c r="X292" i="6"/>
  <c r="AF292" i="6"/>
  <c r="Y292" i="6"/>
  <c r="AG292" i="6"/>
  <c r="Z292" i="6"/>
  <c r="AH292" i="6"/>
  <c r="AA292" i="6"/>
  <c r="AI292" i="6"/>
  <c r="AB292" i="6"/>
  <c r="AJ292" i="6"/>
  <c r="AC292" i="6"/>
  <c r="AK292" i="6"/>
  <c r="W293" i="6"/>
  <c r="AE293" i="6"/>
  <c r="X293" i="6"/>
  <c r="AF293" i="6"/>
  <c r="Y293" i="6"/>
  <c r="AG293" i="6"/>
  <c r="Z293" i="6"/>
  <c r="AH293" i="6"/>
  <c r="AA293" i="6"/>
  <c r="AI293" i="6"/>
  <c r="AB293" i="6"/>
  <c r="AJ293" i="6"/>
  <c r="AC293" i="6"/>
  <c r="AK293" i="6"/>
  <c r="W294" i="6"/>
  <c r="AE294" i="6"/>
  <c r="X294" i="6"/>
  <c r="AF294" i="6"/>
  <c r="Y294" i="6"/>
  <c r="AG294" i="6"/>
  <c r="Z294" i="6"/>
  <c r="AH294" i="6"/>
  <c r="AA294" i="6"/>
  <c r="AI294" i="6"/>
  <c r="AB294" i="6"/>
  <c r="AJ294" i="6"/>
  <c r="AC294" i="6"/>
  <c r="AK294" i="6"/>
  <c r="W295" i="6"/>
  <c r="AE295" i="6"/>
  <c r="X295" i="6"/>
  <c r="AF295" i="6"/>
  <c r="Y295" i="6"/>
  <c r="AG295" i="6"/>
  <c r="Z295" i="6"/>
  <c r="AH295" i="6"/>
  <c r="AA295" i="6"/>
  <c r="AI295" i="6"/>
  <c r="AB295" i="6"/>
  <c r="AJ295" i="6"/>
  <c r="AC295" i="6"/>
  <c r="AK295" i="6"/>
  <c r="W296" i="6"/>
  <c r="AE296" i="6"/>
  <c r="X296" i="6"/>
  <c r="AF296" i="6"/>
  <c r="Y296" i="6"/>
  <c r="AG296" i="6"/>
  <c r="Z296" i="6"/>
  <c r="AH296" i="6"/>
  <c r="AA296" i="6"/>
  <c r="AI296" i="6"/>
  <c r="AB296" i="6"/>
  <c r="AJ296" i="6"/>
  <c r="AC296" i="6"/>
  <c r="AK296" i="6"/>
  <c r="W297" i="6"/>
  <c r="AE297" i="6"/>
  <c r="X297" i="6"/>
  <c r="AF297" i="6"/>
  <c r="Y297" i="6"/>
  <c r="AG297" i="6"/>
  <c r="Z297" i="6"/>
  <c r="AH297" i="6"/>
  <c r="AA297" i="6"/>
  <c r="AI297" i="6"/>
  <c r="AB297" i="6"/>
  <c r="AJ297" i="6"/>
  <c r="AC297" i="6"/>
  <c r="AK297" i="6"/>
  <c r="W298" i="6"/>
  <c r="AE298" i="6"/>
  <c r="X298" i="6"/>
  <c r="AF298" i="6"/>
  <c r="Y298" i="6"/>
  <c r="AG298" i="6"/>
  <c r="Z298" i="6"/>
  <c r="AH298" i="6"/>
  <c r="AA298" i="6"/>
  <c r="AI298" i="6"/>
  <c r="AB298" i="6"/>
  <c r="AJ298" i="6"/>
  <c r="AC298" i="6"/>
  <c r="AK298" i="6"/>
  <c r="W299" i="6"/>
  <c r="AE299" i="6"/>
  <c r="X299" i="6"/>
  <c r="AF299" i="6"/>
  <c r="Y299" i="6"/>
  <c r="AG299" i="6"/>
  <c r="Z299" i="6"/>
  <c r="AH299" i="6"/>
  <c r="AA299" i="6"/>
  <c r="AI299" i="6"/>
  <c r="AB299" i="6"/>
  <c r="AJ299" i="6"/>
  <c r="AC299" i="6"/>
  <c r="AK299" i="6"/>
  <c r="W300" i="6"/>
  <c r="AE300" i="6"/>
  <c r="X300" i="6"/>
  <c r="AF300" i="6"/>
  <c r="Y300" i="6"/>
  <c r="AG300" i="6"/>
  <c r="Z300" i="6"/>
  <c r="AH300" i="6"/>
  <c r="AA300" i="6"/>
  <c r="AI300" i="6"/>
  <c r="AB300" i="6"/>
  <c r="AJ300" i="6"/>
  <c r="AC300" i="6"/>
  <c r="AK300" i="6"/>
  <c r="W301" i="6"/>
  <c r="AE301" i="6"/>
  <c r="X301" i="6"/>
  <c r="AF301" i="6"/>
  <c r="Y301" i="6"/>
  <c r="AG301" i="6"/>
  <c r="Z301" i="6"/>
  <c r="AH301" i="6"/>
  <c r="AA301" i="6"/>
  <c r="AI301" i="6"/>
  <c r="AB301" i="6"/>
  <c r="AJ301" i="6"/>
  <c r="AC301" i="6"/>
  <c r="AK301" i="6"/>
  <c r="W302" i="6"/>
  <c r="AE302" i="6"/>
  <c r="X302" i="6"/>
  <c r="AF302" i="6"/>
  <c r="Y302" i="6"/>
  <c r="AG302" i="6"/>
  <c r="Z302" i="6"/>
  <c r="AH302" i="6"/>
  <c r="AA302" i="6"/>
  <c r="AI302" i="6"/>
  <c r="AB302" i="6"/>
  <c r="AJ302" i="6"/>
  <c r="AC302" i="6"/>
  <c r="AK302" i="6"/>
  <c r="W303" i="6"/>
  <c r="AE303" i="6"/>
  <c r="X303" i="6"/>
  <c r="AF303" i="6"/>
  <c r="Y303" i="6"/>
  <c r="AG303" i="6"/>
  <c r="Z303" i="6"/>
  <c r="AH303" i="6"/>
  <c r="AA303" i="6"/>
  <c r="AI303" i="6"/>
  <c r="AB303" i="6"/>
  <c r="AJ303" i="6"/>
  <c r="AC303" i="6"/>
  <c r="AK303" i="6"/>
  <c r="W304" i="6"/>
  <c r="AE304" i="6"/>
  <c r="X304" i="6"/>
  <c r="AF304" i="6"/>
  <c r="Y304" i="6"/>
  <c r="AG304" i="6"/>
  <c r="Z304" i="6"/>
  <c r="AH304" i="6"/>
  <c r="AA304" i="6"/>
  <c r="AI304" i="6"/>
  <c r="AB304" i="6"/>
  <c r="AJ304" i="6"/>
  <c r="AC304" i="6"/>
  <c r="AK304" i="6"/>
  <c r="W305" i="6"/>
  <c r="AE305" i="6"/>
  <c r="X305" i="6"/>
  <c r="AF305" i="6"/>
  <c r="Y305" i="6"/>
  <c r="AG305" i="6"/>
  <c r="Z305" i="6"/>
  <c r="AH305" i="6"/>
  <c r="AA305" i="6"/>
  <c r="AI305" i="6"/>
  <c r="AB305" i="6"/>
  <c r="AJ305" i="6"/>
  <c r="AC305" i="6"/>
  <c r="AK305" i="6"/>
  <c r="W306" i="6"/>
  <c r="AE306" i="6"/>
  <c r="X306" i="6"/>
  <c r="AF306" i="6"/>
  <c r="Y306" i="6"/>
  <c r="AG306" i="6"/>
  <c r="Z306" i="6"/>
  <c r="AH306" i="6"/>
  <c r="AA306" i="6"/>
  <c r="AI306" i="6"/>
  <c r="AB306" i="6"/>
  <c r="AJ306" i="6"/>
  <c r="AC306" i="6"/>
  <c r="AK306" i="6"/>
  <c r="W307" i="6"/>
  <c r="AE307" i="6"/>
  <c r="X307" i="6"/>
  <c r="AF307" i="6"/>
  <c r="Y307" i="6"/>
  <c r="AG307" i="6"/>
  <c r="Z307" i="6"/>
  <c r="AH307" i="6"/>
  <c r="AA307" i="6"/>
  <c r="AI307" i="6"/>
  <c r="AB307" i="6"/>
  <c r="AJ307" i="6"/>
  <c r="AC307" i="6"/>
  <c r="AK307" i="6"/>
  <c r="W308" i="6"/>
  <c r="AE308" i="6"/>
  <c r="X308" i="6"/>
  <c r="AF308" i="6"/>
  <c r="Y308" i="6"/>
  <c r="AG308" i="6"/>
  <c r="Z308" i="6"/>
  <c r="AH308" i="6"/>
  <c r="AA308" i="6"/>
  <c r="AI308" i="6"/>
  <c r="AB308" i="6"/>
  <c r="AJ308" i="6"/>
  <c r="AC308" i="6"/>
  <c r="AK308" i="6"/>
  <c r="W309" i="6"/>
  <c r="AE309" i="6"/>
  <c r="X309" i="6"/>
  <c r="AF309" i="6"/>
  <c r="Y309" i="6"/>
  <c r="AG309" i="6"/>
  <c r="Z309" i="6"/>
  <c r="AH309" i="6"/>
  <c r="AA309" i="6"/>
  <c r="AI309" i="6"/>
  <c r="AB309" i="6"/>
  <c r="AJ309" i="6"/>
  <c r="AC309" i="6"/>
  <c r="AK309" i="6"/>
  <c r="W310" i="6"/>
  <c r="AE310" i="6"/>
  <c r="X310" i="6"/>
  <c r="AF310" i="6"/>
  <c r="Y310" i="6"/>
  <c r="AG310" i="6"/>
  <c r="Z310" i="6"/>
  <c r="AH310" i="6"/>
  <c r="AA310" i="6"/>
  <c r="AI310" i="6"/>
  <c r="AB310" i="6"/>
  <c r="AJ310" i="6"/>
  <c r="AC310" i="6"/>
  <c r="AK310" i="6"/>
  <c r="W311" i="6"/>
  <c r="AE311" i="6"/>
  <c r="X311" i="6"/>
  <c r="AF311" i="6"/>
  <c r="Y311" i="6"/>
  <c r="AG311" i="6"/>
  <c r="Z311" i="6"/>
  <c r="AH311" i="6"/>
  <c r="AA311" i="6"/>
  <c r="AI311" i="6"/>
  <c r="AB311" i="6"/>
  <c r="AJ311" i="6"/>
  <c r="AC311" i="6"/>
  <c r="AK311" i="6"/>
  <c r="W312" i="6"/>
  <c r="AE312" i="6"/>
  <c r="X312" i="6"/>
  <c r="AF312" i="6"/>
  <c r="Y312" i="6"/>
  <c r="AG312" i="6"/>
  <c r="Z312" i="6"/>
  <c r="AH312" i="6"/>
  <c r="AA312" i="6"/>
  <c r="AI312" i="6"/>
  <c r="AB312" i="6"/>
  <c r="AJ312" i="6"/>
  <c r="AC312" i="6"/>
  <c r="AK312" i="6"/>
  <c r="W313" i="6"/>
  <c r="AE313" i="6"/>
  <c r="X313" i="6"/>
  <c r="AF313" i="6"/>
  <c r="Y313" i="6"/>
  <c r="AG313" i="6"/>
  <c r="Z313" i="6"/>
  <c r="AH313" i="6"/>
  <c r="AA313" i="6"/>
  <c r="AI313" i="6"/>
  <c r="AB313" i="6"/>
  <c r="AJ313" i="6"/>
  <c r="AC313" i="6"/>
  <c r="AK313" i="6"/>
  <c r="W314" i="6"/>
  <c r="AE314" i="6"/>
  <c r="X314" i="6"/>
  <c r="AF314" i="6"/>
  <c r="Y314" i="6"/>
  <c r="AG314" i="6"/>
  <c r="Z314" i="6"/>
  <c r="AH314" i="6"/>
  <c r="AA314" i="6"/>
  <c r="AI314" i="6"/>
  <c r="AB314" i="6"/>
  <c r="AJ314" i="6"/>
  <c r="AC314" i="6"/>
  <c r="AK314" i="6"/>
  <c r="W315" i="6"/>
  <c r="AE315" i="6"/>
  <c r="X315" i="6"/>
  <c r="AF315" i="6"/>
  <c r="Y315" i="6"/>
  <c r="AG315" i="6"/>
  <c r="Z315" i="6"/>
  <c r="AH315" i="6"/>
  <c r="AA315" i="6"/>
  <c r="AI315" i="6"/>
  <c r="AB315" i="6"/>
  <c r="AJ315" i="6"/>
  <c r="AC315" i="6"/>
  <c r="AK315" i="6"/>
  <c r="W316" i="6"/>
  <c r="AE316" i="6"/>
  <c r="X316" i="6"/>
  <c r="AF316" i="6"/>
  <c r="Y316" i="6"/>
  <c r="AG316" i="6"/>
  <c r="Z316" i="6"/>
  <c r="AH316" i="6"/>
  <c r="AA316" i="6"/>
  <c r="AI316" i="6"/>
  <c r="AB316" i="6"/>
  <c r="AJ316" i="6"/>
  <c r="AC316" i="6"/>
  <c r="AK316" i="6"/>
  <c r="W317" i="6"/>
  <c r="AE317" i="6"/>
  <c r="X317" i="6"/>
  <c r="AF317" i="6"/>
  <c r="Y317" i="6"/>
  <c r="AG317" i="6"/>
  <c r="Z317" i="6"/>
  <c r="AH317" i="6"/>
  <c r="AA317" i="6"/>
  <c r="AI317" i="6"/>
  <c r="AB317" i="6"/>
  <c r="AJ317" i="6"/>
  <c r="AC317" i="6"/>
  <c r="AK317" i="6"/>
  <c r="W318" i="6"/>
  <c r="AE318" i="6"/>
  <c r="X318" i="6"/>
  <c r="AF318" i="6"/>
  <c r="Y318" i="6"/>
  <c r="AG318" i="6"/>
  <c r="Z318" i="6"/>
  <c r="AH318" i="6"/>
  <c r="AA318" i="6"/>
  <c r="AI318" i="6"/>
  <c r="AB318" i="6"/>
  <c r="AJ318" i="6"/>
  <c r="AC318" i="6"/>
  <c r="AK318" i="6"/>
  <c r="W319" i="6"/>
  <c r="AE319" i="6"/>
  <c r="X319" i="6"/>
  <c r="AF319" i="6"/>
  <c r="Y319" i="6"/>
  <c r="AG319" i="6"/>
  <c r="Z319" i="6"/>
  <c r="AH319" i="6"/>
  <c r="AA319" i="6"/>
  <c r="AI319" i="6"/>
  <c r="AB319" i="6"/>
  <c r="AJ319" i="6"/>
  <c r="AC319" i="6"/>
  <c r="AK319" i="6"/>
  <c r="W320" i="6"/>
  <c r="AE320" i="6"/>
  <c r="X320" i="6"/>
  <c r="AF320" i="6"/>
  <c r="Y320" i="6"/>
  <c r="AG320" i="6"/>
  <c r="Z320" i="6"/>
  <c r="AH320" i="6"/>
  <c r="AA320" i="6"/>
  <c r="AI320" i="6"/>
  <c r="AB320" i="6"/>
  <c r="AJ320" i="6"/>
  <c r="AC320" i="6"/>
  <c r="AK320" i="6"/>
  <c r="W321" i="6"/>
  <c r="AE321" i="6"/>
  <c r="X321" i="6"/>
  <c r="AF321" i="6"/>
  <c r="Y321" i="6"/>
  <c r="AG321" i="6"/>
  <c r="Z321" i="6"/>
  <c r="AH321" i="6"/>
  <c r="AA321" i="6"/>
  <c r="AI321" i="6"/>
  <c r="AB321" i="6"/>
  <c r="AJ321" i="6"/>
  <c r="AC321" i="6"/>
  <c r="AK321" i="6"/>
  <c r="W322" i="6"/>
  <c r="AE322" i="6"/>
  <c r="X322" i="6"/>
  <c r="AF322" i="6"/>
  <c r="Y322" i="6"/>
  <c r="AG322" i="6"/>
  <c r="Z322" i="6"/>
  <c r="AH322" i="6"/>
  <c r="AA322" i="6"/>
  <c r="AI322" i="6"/>
  <c r="AB322" i="6"/>
  <c r="AJ322" i="6"/>
  <c r="AC322" i="6"/>
  <c r="AK322" i="6"/>
  <c r="W323" i="6"/>
  <c r="AE323" i="6"/>
  <c r="X323" i="6"/>
  <c r="AF323" i="6"/>
  <c r="Y323" i="6"/>
  <c r="AG323" i="6"/>
  <c r="Z323" i="6"/>
  <c r="AH323" i="6"/>
  <c r="AA323" i="6"/>
  <c r="AI323" i="6"/>
  <c r="AB323" i="6"/>
  <c r="AJ323" i="6"/>
  <c r="AC323" i="6"/>
  <c r="AK323" i="6"/>
  <c r="W324" i="6"/>
  <c r="AE324" i="6"/>
  <c r="X324" i="6"/>
  <c r="AF324" i="6"/>
  <c r="Y324" i="6"/>
  <c r="AG324" i="6"/>
  <c r="Z324" i="6"/>
  <c r="AA324" i="6"/>
  <c r="AI324" i="6" s="1"/>
  <c r="AB324" i="6"/>
  <c r="AJ324" i="6" s="1"/>
  <c r="AC324" i="6"/>
  <c r="AK324" i="6"/>
  <c r="W325" i="6"/>
  <c r="AE325" i="6" s="1"/>
  <c r="X325" i="6"/>
  <c r="AF325" i="6" s="1"/>
  <c r="Y325" i="6"/>
  <c r="AG325" i="6" s="1"/>
  <c r="Z325" i="6"/>
  <c r="AH325" i="6" s="1"/>
  <c r="AA325" i="6"/>
  <c r="AI325" i="6" s="1"/>
  <c r="AB325" i="6"/>
  <c r="AJ325" i="6" s="1"/>
  <c r="AC325" i="6"/>
  <c r="AK325" i="6" s="1"/>
  <c r="W326" i="6"/>
  <c r="AE326" i="6"/>
  <c r="Y326" i="6"/>
  <c r="AG326" i="6" s="1"/>
  <c r="Z326" i="6"/>
  <c r="AH326" i="6" s="1"/>
  <c r="AA326" i="6"/>
  <c r="AI326" i="6" s="1"/>
  <c r="AB326" i="6"/>
  <c r="AJ326" i="6" s="1"/>
  <c r="AC326" i="6"/>
  <c r="AK326" i="6" s="1"/>
  <c r="W327" i="6"/>
  <c r="AE327" i="6" s="1"/>
  <c r="X327" i="6"/>
  <c r="AF327" i="6" s="1"/>
  <c r="Y327" i="6"/>
  <c r="AG327" i="6"/>
  <c r="Z327" i="6"/>
  <c r="AH327" i="6" s="1"/>
  <c r="AA327" i="6"/>
  <c r="AI327" i="6" s="1"/>
  <c r="AB327" i="6"/>
  <c r="AJ327" i="6" s="1"/>
  <c r="AC327" i="6"/>
  <c r="AK327" i="6" s="1"/>
  <c r="W7" i="6"/>
  <c r="AE7" i="6" s="1"/>
  <c r="X7" i="6"/>
  <c r="AF7" i="6" s="1"/>
  <c r="Y7" i="6"/>
  <c r="AG7" i="6" s="1"/>
  <c r="Z7" i="6"/>
  <c r="AH7" i="6" s="1"/>
  <c r="AA7" i="6"/>
  <c r="AI7" i="6" s="1"/>
  <c r="AB7" i="6"/>
  <c r="AJ7" i="6" s="1"/>
  <c r="AC7" i="6"/>
  <c r="AK7" i="6" s="1"/>
  <c r="W8" i="6"/>
  <c r="AE8" i="6"/>
  <c r="X8" i="6"/>
  <c r="AF8" i="6" s="1"/>
  <c r="Y8" i="6"/>
  <c r="AG8" i="6" s="1"/>
  <c r="Z8" i="6"/>
  <c r="AH8" i="6" s="1"/>
  <c r="AA8" i="6"/>
  <c r="AI8" i="6"/>
  <c r="AB8" i="6"/>
  <c r="AJ8" i="6" s="1"/>
  <c r="AC8" i="6"/>
  <c r="AK8" i="6" s="1"/>
  <c r="W9" i="6"/>
  <c r="AE9" i="6" s="1"/>
  <c r="X9" i="6"/>
  <c r="AF9" i="6" s="1"/>
  <c r="Y9" i="6"/>
  <c r="AG9" i="6" s="1"/>
  <c r="Z9" i="6"/>
  <c r="AH9" i="6" s="1"/>
  <c r="AA9" i="6"/>
  <c r="AI9" i="6" s="1"/>
  <c r="AB9" i="6"/>
  <c r="AJ9" i="6"/>
  <c r="AC9" i="6"/>
  <c r="AK9" i="6" s="1"/>
  <c r="W10" i="6"/>
  <c r="AE10" i="6" s="1"/>
  <c r="X10" i="6"/>
  <c r="AF10" i="6" s="1"/>
  <c r="Y10" i="6"/>
  <c r="AG10" i="6" s="1"/>
  <c r="Z10" i="6"/>
  <c r="AH10" i="6" s="1"/>
  <c r="AA10" i="6"/>
  <c r="AI10" i="6" s="1"/>
  <c r="AB10" i="6"/>
  <c r="AJ10" i="6" s="1"/>
  <c r="AC10" i="6"/>
  <c r="AK10" i="6"/>
  <c r="W11" i="6"/>
  <c r="AE11" i="6" s="1"/>
  <c r="X11" i="6"/>
  <c r="AF11" i="6" s="1"/>
  <c r="Y11" i="6"/>
  <c r="AG11" i="6" s="1"/>
  <c r="Z11" i="6"/>
  <c r="AH11" i="6" s="1"/>
  <c r="AA11" i="6"/>
  <c r="AI11" i="6" s="1"/>
  <c r="AB11" i="6"/>
  <c r="AJ11" i="6" s="1"/>
  <c r="AC11" i="6"/>
  <c r="AK11" i="6" s="1"/>
  <c r="W12" i="6"/>
  <c r="AE12" i="6" s="1"/>
  <c r="X12" i="6"/>
  <c r="AF12" i="6" s="1"/>
  <c r="Y12" i="6"/>
  <c r="AG12" i="6" s="1"/>
  <c r="Z12" i="6"/>
  <c r="AH12" i="6" s="1"/>
  <c r="AA12" i="6"/>
  <c r="AI12" i="6"/>
  <c r="AB12" i="6"/>
  <c r="AJ12" i="6" s="1"/>
  <c r="AC12" i="6"/>
  <c r="AK12" i="6" s="1"/>
  <c r="W13" i="6"/>
  <c r="AE13" i="6" s="1"/>
  <c r="X13" i="6"/>
  <c r="AF13" i="6"/>
  <c r="Y13" i="6"/>
  <c r="AG13" i="6" s="1"/>
  <c r="Z13" i="6"/>
  <c r="AH13" i="6" s="1"/>
  <c r="AA13" i="6"/>
  <c r="AI13" i="6" s="1"/>
  <c r="AB13" i="6"/>
  <c r="AJ13" i="6" s="1"/>
  <c r="AC13" i="6"/>
  <c r="AK13" i="6" s="1"/>
  <c r="W14" i="6"/>
  <c r="AE14" i="6" s="1"/>
  <c r="X14" i="6"/>
  <c r="AF14" i="6" s="1"/>
  <c r="Y14" i="6"/>
  <c r="AG14" i="6"/>
  <c r="Z14" i="6"/>
  <c r="AH14" i="6" s="1"/>
  <c r="AA14" i="6"/>
  <c r="AI14" i="6" s="1"/>
  <c r="AB14" i="6"/>
  <c r="AJ14" i="6" s="1"/>
  <c r="AC14" i="6"/>
  <c r="AK14" i="6" s="1"/>
  <c r="W15" i="6"/>
  <c r="AE15" i="6" s="1"/>
  <c r="X15" i="6"/>
  <c r="AF15" i="6" s="1"/>
  <c r="Y15" i="6"/>
  <c r="AG15" i="6" s="1"/>
  <c r="Z15" i="6"/>
  <c r="AH15" i="6"/>
  <c r="AA15" i="6"/>
  <c r="AI15" i="6" s="1"/>
  <c r="AB15" i="6"/>
  <c r="AJ15" i="6" s="1"/>
  <c r="AC15" i="6"/>
  <c r="AK15" i="6" s="1"/>
  <c r="W16" i="6"/>
  <c r="AE16" i="6" s="1"/>
  <c r="X16" i="6"/>
  <c r="AF16" i="6" s="1"/>
  <c r="Y16" i="6"/>
  <c r="AG16" i="6" s="1"/>
  <c r="Z16" i="6"/>
  <c r="AH16" i="6" s="1"/>
  <c r="AA16" i="6"/>
  <c r="AI16" i="6" s="1"/>
  <c r="AB16" i="6"/>
  <c r="AJ16" i="6" s="1"/>
  <c r="AC16" i="6"/>
  <c r="AK16" i="6" s="1"/>
  <c r="W17" i="6"/>
  <c r="AE17" i="6" s="1"/>
  <c r="X17" i="6"/>
  <c r="AF17" i="6"/>
  <c r="Y17" i="6"/>
  <c r="AG17" i="6" s="1"/>
  <c r="Z17" i="6"/>
  <c r="AH17" i="6" s="1"/>
  <c r="AA17" i="6"/>
  <c r="AI17" i="6" s="1"/>
  <c r="AB17" i="6"/>
  <c r="AJ17" i="6"/>
  <c r="AC17" i="6"/>
  <c r="AK17" i="6" s="1"/>
  <c r="W18" i="6"/>
  <c r="AE18" i="6" s="1"/>
  <c r="X18" i="6"/>
  <c r="AF18" i="6" s="1"/>
  <c r="Y18" i="6"/>
  <c r="AG18" i="6" s="1"/>
  <c r="Z18" i="6"/>
  <c r="AH18" i="6" s="1"/>
  <c r="AA18" i="6"/>
  <c r="AI18" i="6" s="1"/>
  <c r="AB18" i="6"/>
  <c r="AJ18" i="6" s="1"/>
  <c r="AC18" i="6"/>
  <c r="AK18" i="6"/>
  <c r="W19" i="6"/>
  <c r="AE19" i="6" s="1"/>
  <c r="X19" i="6"/>
  <c r="AF19" i="6" s="1"/>
  <c r="Y19" i="6"/>
  <c r="AG19" i="6" s="1"/>
  <c r="Z19" i="6"/>
  <c r="AH19" i="6"/>
  <c r="AA19" i="6"/>
  <c r="AI19" i="6"/>
  <c r="AB19" i="6"/>
  <c r="AJ19" i="6" s="1"/>
  <c r="AC19" i="6"/>
  <c r="AK19" i="6" s="1"/>
  <c r="W20" i="6"/>
  <c r="AE20" i="6" s="1"/>
  <c r="X20" i="6"/>
  <c r="AF20" i="6"/>
  <c r="Y20" i="6"/>
  <c r="AG20" i="6" s="1"/>
  <c r="Z20" i="6"/>
  <c r="AH20" i="6" s="1"/>
  <c r="AA20" i="6"/>
  <c r="AI20" i="6"/>
  <c r="AB20" i="6"/>
  <c r="AJ20" i="6"/>
  <c r="AC20" i="6"/>
  <c r="AK20" i="6"/>
  <c r="W21" i="6"/>
  <c r="AE21" i="6" s="1"/>
  <c r="X21" i="6"/>
  <c r="AF21" i="6" s="1"/>
  <c r="Y21" i="6"/>
  <c r="AG21" i="6" s="1"/>
  <c r="Z21" i="6"/>
  <c r="AA21" i="6"/>
  <c r="AI21" i="6"/>
  <c r="AB21" i="6"/>
  <c r="AJ21" i="6"/>
  <c r="AC21" i="6"/>
  <c r="AK21" i="6"/>
  <c r="W22" i="6"/>
  <c r="AE22" i="6"/>
  <c r="X22" i="6"/>
  <c r="AF22" i="6"/>
  <c r="Y22" i="6"/>
  <c r="AG22" i="6"/>
  <c r="Z22" i="6"/>
  <c r="AA22" i="6"/>
  <c r="AI22" i="6" s="1"/>
  <c r="AB22" i="6"/>
  <c r="AJ22" i="6"/>
  <c r="AC22" i="6"/>
  <c r="AK22" i="6" s="1"/>
  <c r="W23" i="6"/>
  <c r="AE23" i="6" s="1"/>
  <c r="X23" i="6"/>
  <c r="AF23" i="6"/>
  <c r="Y23" i="6"/>
  <c r="AG23" i="6"/>
  <c r="Z23" i="6"/>
  <c r="AA23" i="6"/>
  <c r="AI23" i="6"/>
  <c r="AB23" i="6"/>
  <c r="AJ23" i="6" s="1"/>
  <c r="AC23" i="6"/>
  <c r="AK23" i="6" s="1"/>
  <c r="W24" i="6"/>
  <c r="AE24" i="6"/>
  <c r="X24" i="6"/>
  <c r="AF24" i="6"/>
  <c r="Y24" i="6"/>
  <c r="AG24" i="6" s="1"/>
  <c r="Z24" i="6"/>
  <c r="AA24" i="6"/>
  <c r="AI24" i="6"/>
  <c r="AB24" i="6"/>
  <c r="AJ24" i="6" s="1"/>
  <c r="AC24" i="6"/>
  <c r="AK24" i="6" s="1"/>
  <c r="W25" i="6"/>
  <c r="AE25" i="6" s="1"/>
  <c r="X25" i="6"/>
  <c r="AF25" i="6" s="1"/>
  <c r="Y25" i="6"/>
  <c r="AG25" i="6" s="1"/>
  <c r="Z25" i="6"/>
  <c r="AA25" i="6"/>
  <c r="AI25" i="6" s="1"/>
  <c r="AB25" i="6"/>
  <c r="AJ25" i="6" s="1"/>
  <c r="AC25" i="6"/>
  <c r="AK25" i="6" s="1"/>
  <c r="W26" i="6"/>
  <c r="AE26" i="6"/>
  <c r="X26" i="6"/>
  <c r="AF26" i="6" s="1"/>
  <c r="Y26" i="6"/>
  <c r="AG26" i="6" s="1"/>
  <c r="Z26" i="6"/>
  <c r="AA26" i="6"/>
  <c r="AI26" i="6" s="1"/>
  <c r="AB26" i="6"/>
  <c r="AJ26" i="6"/>
  <c r="AC26" i="6"/>
  <c r="AK26" i="6" s="1"/>
  <c r="W27" i="6"/>
  <c r="AE27" i="6" s="1"/>
  <c r="X27" i="6"/>
  <c r="AF27" i="6" s="1"/>
  <c r="Y27" i="6"/>
  <c r="AG27" i="6"/>
  <c r="Z27" i="6"/>
  <c r="AA27" i="6"/>
  <c r="AI27" i="6" s="1"/>
  <c r="AB27" i="6"/>
  <c r="AJ27" i="6" s="1"/>
  <c r="AC27" i="6"/>
  <c r="AK27" i="6"/>
  <c r="W28" i="6"/>
  <c r="AE28" i="6"/>
  <c r="X28" i="6"/>
  <c r="AF28" i="6" s="1"/>
  <c r="Y28" i="6"/>
  <c r="AG28" i="6" s="1"/>
  <c r="Z28" i="6"/>
  <c r="AA28" i="6"/>
  <c r="AI28" i="6"/>
  <c r="AB28" i="6"/>
  <c r="AJ28" i="6"/>
  <c r="AC28" i="6"/>
  <c r="AK28" i="6" s="1"/>
  <c r="W29" i="6"/>
  <c r="AE29" i="6"/>
  <c r="X29" i="6"/>
  <c r="AF29" i="6"/>
  <c r="Y29" i="6"/>
  <c r="AG29" i="6"/>
  <c r="Z29" i="6"/>
  <c r="AA29" i="6"/>
  <c r="AI29" i="6" s="1"/>
  <c r="AB29" i="6"/>
  <c r="AJ29" i="6" s="1"/>
  <c r="AC29" i="6"/>
  <c r="AK29" i="6"/>
  <c r="W30" i="6"/>
  <c r="AE30" i="6" s="1"/>
  <c r="X30" i="6"/>
  <c r="AF30" i="6" s="1"/>
  <c r="Y30" i="6"/>
  <c r="AG30" i="6" s="1"/>
  <c r="Z30" i="6"/>
  <c r="AA30" i="6"/>
  <c r="AI30" i="6"/>
  <c r="AB30" i="6"/>
  <c r="AJ30" i="6" s="1"/>
  <c r="AC30" i="6"/>
  <c r="AK30" i="6"/>
  <c r="W31" i="6"/>
  <c r="AE31" i="6"/>
  <c r="X31" i="6"/>
  <c r="AF31" i="6"/>
  <c r="Y31" i="6"/>
  <c r="AG31" i="6" s="1"/>
  <c r="Z31" i="6"/>
  <c r="AH31" i="6"/>
  <c r="AA31" i="6"/>
  <c r="AI31" i="6"/>
  <c r="AB31" i="6"/>
  <c r="AJ31" i="6"/>
  <c r="AC31" i="6"/>
  <c r="AK31" i="6" s="1"/>
  <c r="W32" i="6"/>
  <c r="AE32" i="6"/>
  <c r="X32" i="6"/>
  <c r="AF32" i="6"/>
  <c r="Y32" i="6"/>
  <c r="AG32" i="6"/>
  <c r="Z32" i="6"/>
  <c r="AH32" i="6" s="1"/>
  <c r="AA32" i="6"/>
  <c r="AI32" i="6"/>
  <c r="AB32" i="6"/>
  <c r="AJ32" i="6"/>
  <c r="AC32" i="6"/>
  <c r="AK32" i="6"/>
  <c r="W335" i="6"/>
  <c r="X335" i="6"/>
  <c r="AF335" i="6" s="1"/>
  <c r="Y335" i="6"/>
  <c r="AG335" i="6" s="1"/>
  <c r="Z335" i="6"/>
  <c r="AH335" i="6"/>
  <c r="AA335" i="6"/>
  <c r="AI335" i="6" s="1"/>
  <c r="AB335" i="6"/>
  <c r="AJ335" i="6" s="1"/>
  <c r="AC335" i="6"/>
  <c r="AK335" i="6" s="1"/>
  <c r="W337" i="6"/>
  <c r="AE337" i="6"/>
  <c r="Y337" i="6"/>
  <c r="AG337" i="6" s="1"/>
  <c r="Z337" i="6"/>
  <c r="AH337" i="6" s="1"/>
  <c r="AA337" i="6"/>
  <c r="AI337" i="6" s="1"/>
  <c r="AB337" i="6"/>
  <c r="AJ337" i="6"/>
  <c r="AC337" i="6"/>
  <c r="AK337" i="6" s="1"/>
  <c r="W338" i="6"/>
  <c r="AE338" i="6" s="1"/>
  <c r="Y338" i="6"/>
  <c r="AG338" i="6" s="1"/>
  <c r="Z338" i="6"/>
  <c r="AH338" i="6"/>
  <c r="AA338" i="6"/>
  <c r="AI338" i="6" s="1"/>
  <c r="AB338" i="6"/>
  <c r="AJ338" i="6" s="1"/>
  <c r="AC338" i="6"/>
  <c r="AK338" i="6" s="1"/>
  <c r="W339" i="6"/>
  <c r="AE339" i="6"/>
  <c r="Y339" i="6"/>
  <c r="AG339" i="6" s="1"/>
  <c r="Z339" i="6"/>
  <c r="AH339" i="6" s="1"/>
  <c r="AA339" i="6"/>
  <c r="AI339" i="6" s="1"/>
  <c r="AB339" i="6"/>
  <c r="AJ339" i="6"/>
  <c r="AC339" i="6"/>
  <c r="AK339" i="6" s="1"/>
  <c r="W340" i="6"/>
  <c r="AE340" i="6" s="1"/>
  <c r="Y340" i="6"/>
  <c r="AG340" i="6" s="1"/>
  <c r="Z340" i="6"/>
  <c r="AH340" i="6"/>
  <c r="AA340" i="6"/>
  <c r="AI340" i="6" s="1"/>
  <c r="AB340" i="6"/>
  <c r="AJ340" i="6" s="1"/>
  <c r="AC340" i="6"/>
  <c r="AK340" i="6" s="1"/>
  <c r="AM235" i="6"/>
  <c r="AM256" i="6"/>
  <c r="AM85" i="6"/>
  <c r="AM84" i="6"/>
  <c r="AM83" i="6"/>
  <c r="AM82" i="6"/>
  <c r="AM80" i="6"/>
  <c r="AM81" i="6"/>
  <c r="AM79" i="6"/>
  <c r="AM328" i="6"/>
  <c r="AM166" i="6"/>
  <c r="AM167" i="6"/>
  <c r="AM319" i="6"/>
  <c r="AM323" i="6"/>
  <c r="AM327" i="6"/>
  <c r="AM320" i="6"/>
  <c r="AM324" i="6"/>
  <c r="AM278" i="6"/>
  <c r="AM321" i="6"/>
  <c r="AM325" i="6"/>
  <c r="AM29" i="6"/>
  <c r="AM322" i="6"/>
  <c r="AM326" i="6"/>
  <c r="AM165" i="6"/>
  <c r="AM43" i="6"/>
  <c r="AM95" i="6"/>
  <c r="AM93" i="6"/>
  <c r="AM94" i="6"/>
  <c r="AM302" i="6"/>
  <c r="AM206" i="6"/>
  <c r="AM303" i="6"/>
  <c r="AM251" i="6"/>
  <c r="AM250" i="6"/>
  <c r="AM211" i="6"/>
  <c r="AM115" i="6"/>
  <c r="AM292" i="6"/>
  <c r="AM285" i="6"/>
  <c r="AM45" i="6"/>
  <c r="AM42" i="6"/>
  <c r="AM145" i="6"/>
  <c r="AM231" i="6"/>
  <c r="AM314" i="6"/>
  <c r="AM153" i="6"/>
  <c r="AM186" i="6"/>
  <c r="AM183" i="6"/>
  <c r="AM23" i="6"/>
  <c r="AM215" i="6"/>
  <c r="AM143" i="6"/>
  <c r="AM175" i="6"/>
  <c r="AM65" i="6"/>
  <c r="AM169" i="6"/>
  <c r="AM257" i="6"/>
  <c r="AM19" i="6"/>
  <c r="AM195" i="6"/>
  <c r="AM39" i="6"/>
  <c r="AM237" i="6"/>
  <c r="AM274" i="6"/>
  <c r="AM14" i="6"/>
  <c r="AM101" i="6"/>
  <c r="AM188" i="6"/>
  <c r="AM275" i="6"/>
  <c r="AM50" i="6"/>
  <c r="AM236" i="6"/>
  <c r="AM78" i="6"/>
  <c r="AM318" i="6"/>
  <c r="AM243" i="6"/>
  <c r="AM9" i="6"/>
  <c r="AM4" i="6" s="1"/>
  <c r="AM27" i="6"/>
  <c r="AM49" i="6"/>
  <c r="AM69" i="6"/>
  <c r="AM105" i="6"/>
  <c r="AM119" i="6"/>
  <c r="AM152" i="6"/>
  <c r="AM174" i="6"/>
  <c r="AM194" i="6"/>
  <c r="AM219" i="6"/>
  <c r="AM262" i="6"/>
  <c r="AM280" i="6"/>
  <c r="AM296" i="6"/>
  <c r="AM24" i="6"/>
  <c r="AM56" i="6"/>
  <c r="AM108" i="6"/>
  <c r="AM158" i="6"/>
  <c r="AM199" i="6"/>
  <c r="AM240" i="6"/>
  <c r="AM289" i="6"/>
  <c r="AM7" i="6"/>
  <c r="AM46" i="6"/>
  <c r="AM103" i="6"/>
  <c r="AM147" i="6"/>
  <c r="AM191" i="6"/>
  <c r="AM245" i="6"/>
  <c r="AM8" i="6"/>
  <c r="AM104" i="6"/>
  <c r="AM192" i="6"/>
  <c r="AM283" i="6"/>
  <c r="AM230" i="6"/>
  <c r="AM16" i="6"/>
  <c r="AM33" i="6"/>
  <c r="AM55" i="6"/>
  <c r="AM72" i="6"/>
  <c r="AM107" i="6"/>
  <c r="AM137" i="6"/>
  <c r="AM156" i="6"/>
  <c r="AM180" i="6"/>
  <c r="AM198" i="6"/>
  <c r="AM223" i="6"/>
  <c r="AM239" i="6"/>
  <c r="AM267" i="6"/>
  <c r="AM284" i="6"/>
  <c r="AM306" i="6"/>
  <c r="AM10" i="6"/>
  <c r="AM28" i="6"/>
  <c r="AM70" i="6"/>
  <c r="AM134" i="6"/>
  <c r="AM176" i="6"/>
  <c r="AM220" i="6"/>
  <c r="AM268" i="6"/>
  <c r="AM301" i="6"/>
  <c r="AM21" i="6"/>
  <c r="AM63" i="6"/>
  <c r="AM113" i="6"/>
  <c r="AM163" i="6"/>
  <c r="AM207" i="6"/>
  <c r="AM282" i="6"/>
  <c r="AM36" i="6"/>
  <c r="AM140" i="6"/>
  <c r="AM226" i="6"/>
  <c r="AM309" i="6"/>
  <c r="AM316" i="6"/>
  <c r="AM18" i="6"/>
  <c r="AM37" i="6"/>
  <c r="AM60" i="6"/>
  <c r="AM75" i="6"/>
  <c r="AM111" i="6"/>
  <c r="AM141" i="6"/>
  <c r="AM161" i="6"/>
  <c r="AM184" i="6"/>
  <c r="AM202" i="6"/>
  <c r="AM227" i="6"/>
  <c r="AM252" i="6"/>
  <c r="AM271" i="6"/>
  <c r="AM288" i="6"/>
  <c r="AM310" i="6"/>
  <c r="AM12" i="6"/>
  <c r="AM34" i="6"/>
  <c r="AM73" i="6"/>
  <c r="AM138" i="6"/>
  <c r="AM181" i="6"/>
  <c r="AM224" i="6"/>
  <c r="AM272" i="6"/>
  <c r="AM307" i="6"/>
  <c r="AM25" i="6"/>
  <c r="AM67" i="6"/>
  <c r="AM117" i="6"/>
  <c r="AM172" i="6"/>
  <c r="AM217" i="6"/>
  <c r="AM290" i="6"/>
  <c r="AM47" i="6"/>
  <c r="AM148" i="6"/>
  <c r="AM238" i="6"/>
  <c r="AM96" i="6"/>
  <c r="AM38" i="6"/>
  <c r="AM62" i="6"/>
  <c r="AM77" i="6"/>
  <c r="AM112" i="6"/>
  <c r="AM142" i="6"/>
  <c r="AM162" i="6"/>
  <c r="AM185" i="6"/>
  <c r="AM204" i="6"/>
  <c r="AM228" i="6"/>
  <c r="AM244" i="6"/>
  <c r="AM276" i="6"/>
  <c r="AM293" i="6"/>
  <c r="AM311" i="6"/>
  <c r="AM11" i="6"/>
  <c r="AM30" i="6"/>
  <c r="AM52" i="6"/>
  <c r="AM71" i="6"/>
  <c r="AM106" i="6"/>
  <c r="AM135" i="6"/>
  <c r="AM154" i="6"/>
  <c r="AM178" i="6"/>
  <c r="AM196" i="6"/>
  <c r="AM221" i="6"/>
  <c r="AM259" i="6"/>
  <c r="AM298" i="6"/>
  <c r="AM17" i="6"/>
  <c r="AM59" i="6"/>
  <c r="AM110" i="6"/>
  <c r="AM160" i="6"/>
  <c r="AM201" i="6"/>
  <c r="AM255" i="6"/>
  <c r="AM291" i="6"/>
  <c r="AM168" i="6"/>
  <c r="AM300" i="6"/>
  <c r="AM98" i="6"/>
  <c r="AM44" i="6"/>
  <c r="AM66" i="6"/>
  <c r="AM102" i="6"/>
  <c r="AM116" i="6"/>
  <c r="AM146" i="6"/>
  <c r="AM170" i="6"/>
  <c r="AM190" i="6"/>
  <c r="AM216" i="6"/>
  <c r="AM232" i="6"/>
  <c r="AM258" i="6"/>
  <c r="AM281" i="6"/>
  <c r="AM297" i="6"/>
  <c r="AM317" i="6"/>
  <c r="AM13" i="6"/>
  <c r="AM35" i="6"/>
  <c r="AM57" i="6"/>
  <c r="AM74" i="6"/>
  <c r="AM109" i="6"/>
  <c r="AM139" i="6"/>
  <c r="AM159" i="6"/>
  <c r="AM182" i="6"/>
  <c r="AM200" i="6"/>
  <c r="AM229" i="6"/>
  <c r="AM273" i="6"/>
  <c r="AM308" i="6"/>
  <c r="AM26" i="6"/>
  <c r="AM68" i="6"/>
  <c r="AM118" i="6"/>
  <c r="AM173" i="6"/>
  <c r="AM218" i="6"/>
  <c r="AM265" i="6"/>
  <c r="AM299" i="6"/>
  <c r="AM242" i="6"/>
  <c r="AM133" i="6"/>
  <c r="AM233" i="6"/>
  <c r="AM254" i="6"/>
  <c r="AM277" i="6"/>
  <c r="AM294" i="6"/>
  <c r="AM312" i="6"/>
  <c r="AM15" i="6"/>
  <c r="AM31" i="6"/>
  <c r="AM53" i="6"/>
  <c r="AM136" i="6"/>
  <c r="AM155" i="6"/>
  <c r="AM179" i="6"/>
  <c r="AM197" i="6"/>
  <c r="AM222" i="6"/>
  <c r="AM246" i="6"/>
  <c r="AM270" i="6"/>
  <c r="AM287" i="6"/>
  <c r="AM305" i="6"/>
  <c r="AM88" i="6"/>
  <c r="AM264" i="6"/>
  <c r="AM263" i="6"/>
  <c r="AM132" i="6"/>
  <c r="AM177" i="6"/>
  <c r="AM266" i="6"/>
  <c r="AM32" i="6"/>
  <c r="AM253" i="6"/>
  <c r="AM225" i="6"/>
  <c r="AM241" i="6"/>
  <c r="AM269" i="6"/>
  <c r="AM286" i="6"/>
  <c r="AM304" i="6"/>
  <c r="AM22" i="6"/>
  <c r="AM41" i="6"/>
  <c r="AM64" i="6"/>
  <c r="AM100" i="6"/>
  <c r="AM114" i="6"/>
  <c r="AM144" i="6"/>
  <c r="AM164" i="6"/>
  <c r="AM187" i="6"/>
  <c r="AM208" i="6"/>
  <c r="AM234" i="6"/>
  <c r="AM260" i="6"/>
  <c r="AM279" i="6"/>
  <c r="AM295" i="6"/>
  <c r="AM313" i="6"/>
  <c r="AM6" i="6"/>
  <c r="AM315" i="6"/>
  <c r="AM99" i="6"/>
  <c r="AM97" i="6"/>
  <c r="AM61" i="6"/>
  <c r="X6" i="6"/>
  <c r="W332" i="6"/>
  <c r="X332" i="6"/>
  <c r="AF332" i="6" s="1"/>
  <c r="Y332" i="6"/>
  <c r="AG332" i="6" s="1"/>
  <c r="Z332" i="6"/>
  <c r="AH332" i="6" s="1"/>
  <c r="AA332" i="6"/>
  <c r="AI332" i="6"/>
  <c r="AB332" i="6"/>
  <c r="AJ332" i="6" s="1"/>
  <c r="AC332" i="6"/>
  <c r="AK332" i="6" s="1"/>
  <c r="W331" i="6"/>
  <c r="X331" i="6"/>
  <c r="AF331" i="6"/>
  <c r="Y331" i="6"/>
  <c r="AG331" i="6"/>
  <c r="Z331" i="6"/>
  <c r="AH331" i="6" s="1"/>
  <c r="AA331" i="6"/>
  <c r="AI331" i="6"/>
  <c r="AB331" i="6"/>
  <c r="AJ331" i="6"/>
  <c r="AC331" i="6"/>
  <c r="AK331" i="6"/>
  <c r="W334" i="6"/>
  <c r="X334" i="6"/>
  <c r="AF334" i="6" s="1"/>
  <c r="Y334" i="6"/>
  <c r="AG334" i="6" s="1"/>
  <c r="Z334" i="6"/>
  <c r="AH334" i="6"/>
  <c r="AA334" i="6"/>
  <c r="AI334" i="6" s="1"/>
  <c r="AB334" i="6"/>
  <c r="AJ334" i="6" s="1"/>
  <c r="AC334" i="6"/>
  <c r="AK334" i="6" s="1"/>
  <c r="AM248" i="6"/>
  <c r="AM58" i="6"/>
  <c r="AM249" i="6"/>
  <c r="I3" i="6"/>
  <c r="AM261" i="6"/>
  <c r="AM193" i="6"/>
  <c r="AM131" i="6"/>
  <c r="AM92" i="6"/>
  <c r="AM214" i="6"/>
  <c r="AM129" i="6"/>
  <c r="AM89" i="6"/>
  <c r="AM90" i="6"/>
  <c r="AM210" i="6"/>
  <c r="AM209" i="6"/>
  <c r="AM87" i="6"/>
  <c r="AM130" i="6"/>
  <c r="AM124" i="6"/>
  <c r="AM157" i="6"/>
  <c r="AM247" i="6"/>
  <c r="AM91" i="6"/>
  <c r="AM128" i="6"/>
  <c r="AM76" i="6"/>
  <c r="AM127" i="6"/>
  <c r="AM126" i="6"/>
  <c r="AM125" i="6"/>
  <c r="AM149" i="6"/>
  <c r="AM123" i="6"/>
  <c r="AM122" i="6"/>
  <c r="AM121" i="6"/>
  <c r="AM120" i="6"/>
  <c r="AM151" i="6"/>
  <c r="AM20" i="6"/>
  <c r="AM86" i="6"/>
  <c r="AM54" i="6"/>
  <c r="AM51" i="6"/>
  <c r="AM40" i="6"/>
  <c r="AM48" i="6"/>
  <c r="AM150" i="6"/>
  <c r="AA336" i="6"/>
  <c r="AI336" i="6"/>
  <c r="AB336" i="6"/>
  <c r="AJ336" i="6"/>
  <c r="AC336" i="6"/>
  <c r="AK336" i="6" s="1"/>
  <c r="AA333" i="6"/>
  <c r="AI333" i="6"/>
  <c r="AB333" i="6"/>
  <c r="AJ333" i="6"/>
  <c r="AC333" i="6"/>
  <c r="AK333" i="6"/>
  <c r="AC6" i="6"/>
  <c r="AK6" i="6" s="1"/>
  <c r="AB6" i="6"/>
  <c r="AJ6" i="6"/>
  <c r="AA6" i="6"/>
  <c r="AI6" i="6"/>
  <c r="Z333" i="6"/>
  <c r="AH333" i="6"/>
  <c r="Z336" i="6"/>
  <c r="AH336" i="6" s="1"/>
  <c r="Z6" i="6"/>
  <c r="AH6" i="6"/>
  <c r="Y333" i="6"/>
  <c r="AG333" i="6"/>
  <c r="Y336" i="6"/>
  <c r="AG336" i="6"/>
  <c r="Y6" i="6"/>
  <c r="AG6" i="6" s="1"/>
  <c r="AF333" i="6"/>
  <c r="X336" i="6"/>
  <c r="AF336" i="6" s="1"/>
  <c r="AF6" i="6"/>
  <c r="W333" i="6"/>
  <c r="W336" i="6"/>
  <c r="W6" i="6"/>
  <c r="AE6" i="6" s="1"/>
  <c r="AK184" i="6"/>
  <c r="AK138" i="6"/>
  <c r="AF214" i="6" l="1"/>
  <c r="AO315" i="42"/>
  <c r="AO323" i="42"/>
  <c r="AO322" i="42"/>
  <c r="AO328" i="42"/>
  <c r="AI221" i="42"/>
  <c r="AO312" i="42"/>
  <c r="AO320" i="42"/>
  <c r="AF208" i="6"/>
  <c r="AF207" i="6"/>
  <c r="AE125" i="6"/>
  <c r="AE333" i="6"/>
  <c r="AE163" i="6"/>
  <c r="AI109" i="6"/>
  <c r="AK161" i="6"/>
  <c r="AF45" i="6"/>
  <c r="AE335" i="6"/>
  <c r="AE147" i="6"/>
  <c r="AI146" i="6"/>
  <c r="AH265" i="6"/>
  <c r="AI138" i="6"/>
  <c r="AF339" i="6"/>
  <c r="AK145" i="6"/>
  <c r="AG46" i="6"/>
  <c r="AE78" i="6"/>
  <c r="AJ168" i="6"/>
  <c r="AG231" i="6"/>
  <c r="AI112" i="6"/>
  <c r="AJ148" i="6"/>
  <c r="AG269" i="6"/>
  <c r="AG209" i="6"/>
  <c r="AF41" i="6"/>
  <c r="AE102" i="6"/>
  <c r="AE80" i="6"/>
  <c r="AI43" i="42"/>
  <c r="AH33" i="42"/>
  <c r="AG87" i="42"/>
  <c r="AJ10" i="42"/>
  <c r="AG95" i="42"/>
  <c r="AF338" i="6"/>
  <c r="AG208" i="6"/>
  <c r="AG261" i="6"/>
  <c r="AF202" i="6"/>
  <c r="AJ160" i="6"/>
  <c r="AJ144" i="6"/>
  <c r="AE66" i="6"/>
  <c r="AJ108" i="6"/>
  <c r="AG59" i="6"/>
  <c r="AE76" i="6"/>
  <c r="AE130" i="6"/>
  <c r="AK175" i="6"/>
  <c r="AJ29" i="42"/>
  <c r="AG132" i="42"/>
  <c r="AG188" i="42"/>
  <c r="AK188" i="42"/>
  <c r="AE334" i="6"/>
  <c r="AG246" i="6"/>
  <c r="AF198" i="6"/>
  <c r="AI159" i="6"/>
  <c r="AI143" i="6"/>
  <c r="AG210" i="6"/>
  <c r="AG234" i="6"/>
  <c r="AJ169" i="6"/>
  <c r="AG35" i="6"/>
  <c r="AG60" i="6"/>
  <c r="AE114" i="6"/>
  <c r="AK176" i="6"/>
  <c r="AG119" i="42"/>
  <c r="AK119" i="42"/>
  <c r="AE165" i="6"/>
  <c r="AJ192" i="6"/>
  <c r="AE155" i="6"/>
  <c r="AE143" i="6"/>
  <c r="AF204" i="6"/>
  <c r="AG219" i="6"/>
  <c r="AE160" i="6"/>
  <c r="AK187" i="6"/>
  <c r="AF39" i="6"/>
  <c r="AJ101" i="6"/>
  <c r="AK183" i="6"/>
  <c r="AG103" i="42"/>
  <c r="AK103" i="42"/>
  <c r="AI201" i="42"/>
  <c r="AE332" i="6"/>
  <c r="AE159" i="6"/>
  <c r="AJ172" i="6"/>
  <c r="AE131" i="6"/>
  <c r="AI187" i="6"/>
  <c r="AE169" i="6"/>
  <c r="AE65" i="6"/>
  <c r="AJ186" i="6"/>
  <c r="AH41" i="42"/>
  <c r="AG63" i="42"/>
  <c r="AF201" i="6"/>
  <c r="AG236" i="6"/>
  <c r="AF337" i="6"/>
  <c r="AG232" i="6"/>
  <c r="AK153" i="6"/>
  <c r="AJ136" i="6"/>
  <c r="AE144" i="6"/>
  <c r="AE331" i="6"/>
  <c r="AJ116" i="6"/>
  <c r="AH222" i="6"/>
  <c r="AJ164" i="6"/>
  <c r="AJ152" i="6"/>
  <c r="AI115" i="6"/>
  <c r="AE135" i="6"/>
  <c r="AI153" i="6"/>
  <c r="AE170" i="6"/>
  <c r="AF36" i="6"/>
  <c r="AJ193" i="6"/>
  <c r="AI35" i="42"/>
  <c r="AI51" i="42"/>
  <c r="AG71" i="42"/>
  <c r="AL105" i="42"/>
  <c r="AG164" i="42"/>
  <c r="AK164" i="42"/>
  <c r="AM192" i="42"/>
  <c r="AI227" i="42"/>
  <c r="AE336" i="6"/>
  <c r="AF340" i="6"/>
  <c r="AE101" i="6"/>
  <c r="AG221" i="6"/>
  <c r="AI163" i="6"/>
  <c r="AI147" i="6"/>
  <c r="AE105" i="6"/>
  <c r="AE90" i="6"/>
  <c r="AJ140" i="6"/>
  <c r="AJ129" i="6"/>
  <c r="AE141" i="6"/>
  <c r="AJ159" i="6"/>
  <c r="AE177" i="6"/>
  <c r="AI59" i="42"/>
  <c r="AG79" i="42"/>
  <c r="AG111" i="42"/>
  <c r="AK111" i="42"/>
  <c r="AG125" i="42"/>
  <c r="AL134" i="42"/>
  <c r="AF33" i="6"/>
  <c r="AE82" i="6"/>
  <c r="AG213" i="6"/>
  <c r="AF46" i="6"/>
  <c r="AJ181" i="6"/>
  <c r="AK156" i="6"/>
  <c r="AI176" i="6"/>
  <c r="AJ182" i="6"/>
  <c r="AI177" i="6"/>
  <c r="AE183" i="6"/>
  <c r="AE175" i="6"/>
  <c r="AG41" i="6"/>
  <c r="AE73" i="6"/>
  <c r="AI104" i="6"/>
  <c r="AJ115" i="6"/>
  <c r="AJ131" i="6"/>
  <c r="AK140" i="6"/>
  <c r="AK152" i="6"/>
  <c r="AE162" i="6"/>
  <c r="AK172" i="6"/>
  <c r="AE191" i="6"/>
  <c r="AF43" i="6"/>
  <c r="AE68" i="6"/>
  <c r="AE103" i="6"/>
  <c r="AE113" i="6"/>
  <c r="AI129" i="6"/>
  <c r="AK143" i="6"/>
  <c r="AK155" i="6"/>
  <c r="AJ170" i="6"/>
  <c r="AI190" i="6"/>
  <c r="AG39" i="6"/>
  <c r="AE67" i="6"/>
  <c r="AJ103" i="6"/>
  <c r="AI116" i="6"/>
  <c r="AE136" i="6"/>
  <c r="AJ145" i="6"/>
  <c r="AJ161" i="6"/>
  <c r="AE172" i="6"/>
  <c r="AE188" i="6"/>
  <c r="AE70" i="6"/>
  <c r="AK169" i="6"/>
  <c r="AF196" i="6"/>
  <c r="AG244" i="6"/>
  <c r="AG245" i="6"/>
  <c r="AI111" i="6"/>
  <c r="AK190" i="6"/>
  <c r="AG233" i="6"/>
  <c r="AH27" i="6"/>
  <c r="AE107" i="6"/>
  <c r="AK141" i="6"/>
  <c r="AG235" i="6"/>
  <c r="AE85" i="6"/>
  <c r="AF213" i="6"/>
  <c r="AE133" i="6"/>
  <c r="AJ156" i="6"/>
  <c r="AI186" i="6"/>
  <c r="AJ176" i="6"/>
  <c r="AI182" i="6"/>
  <c r="AJ151" i="6"/>
  <c r="AE193" i="6"/>
  <c r="AE151" i="6"/>
  <c r="AG45" i="6"/>
  <c r="AE77" i="6"/>
  <c r="AJ105" i="6"/>
  <c r="AE118" i="6"/>
  <c r="AE134" i="6"/>
  <c r="AE142" i="6"/>
  <c r="AE154" i="6"/>
  <c r="AI162" i="6"/>
  <c r="AE174" i="6"/>
  <c r="AI191" i="6"/>
  <c r="AG44" i="6"/>
  <c r="AE72" i="6"/>
  <c r="AI103" i="6"/>
  <c r="AJ114" i="6"/>
  <c r="AJ130" i="6"/>
  <c r="AE145" i="6"/>
  <c r="AK159" i="6"/>
  <c r="AJ174" i="6"/>
  <c r="AJ191" i="6"/>
  <c r="AF42" i="6"/>
  <c r="AE71" i="6"/>
  <c r="AJ106" i="6"/>
  <c r="AJ117" i="6"/>
  <c r="AI136" i="6"/>
  <c r="AK146" i="6"/>
  <c r="AK162" i="6"/>
  <c r="AI172" i="6"/>
  <c r="AI188" i="6"/>
  <c r="AE86" i="6"/>
  <c r="AE179" i="6"/>
  <c r="AG201" i="6"/>
  <c r="AG248" i="6"/>
  <c r="AG260" i="6"/>
  <c r="AE119" i="6"/>
  <c r="AE192" i="6"/>
  <c r="AG247" i="6"/>
  <c r="AF37" i="6"/>
  <c r="AI107" i="6"/>
  <c r="AE132" i="6"/>
  <c r="AF203" i="6"/>
  <c r="AF212" i="6"/>
  <c r="AG204" i="6"/>
  <c r="AI141" i="6"/>
  <c r="AJ158" i="6"/>
  <c r="AI181" i="6"/>
  <c r="AF206" i="6"/>
  <c r="AK182" i="6"/>
  <c r="AJ175" i="6"/>
  <c r="AE158" i="6"/>
  <c r="AH22" i="6"/>
  <c r="AF48" i="6"/>
  <c r="AE89" i="6"/>
  <c r="AJ107" i="6"/>
  <c r="AI118" i="6"/>
  <c r="AI134" i="6"/>
  <c r="AI142" i="6"/>
  <c r="AI154" i="6"/>
  <c r="AJ163" i="6"/>
  <c r="AI174" i="6"/>
  <c r="AH21" i="6"/>
  <c r="AF47" i="6"/>
  <c r="AE75" i="6"/>
  <c r="AJ104" i="6"/>
  <c r="AE117" i="6"/>
  <c r="AJ134" i="6"/>
  <c r="AI145" i="6"/>
  <c r="AE161" i="6"/>
  <c r="AJ178" i="6"/>
  <c r="AK192" i="6"/>
  <c r="AG43" i="6"/>
  <c r="AE87" i="6"/>
  <c r="AE108" i="6"/>
  <c r="AE120" i="6"/>
  <c r="AE152" i="6"/>
  <c r="AE164" i="6"/>
  <c r="AK174" i="6"/>
  <c r="AJ190" i="6"/>
  <c r="AJ102" i="6"/>
  <c r="AI179" i="6"/>
  <c r="AF210" i="6"/>
  <c r="AH324" i="6"/>
  <c r="AH23" i="6"/>
  <c r="AI119" i="6"/>
  <c r="AI192" i="6"/>
  <c r="AG42" i="6"/>
  <c r="AG50" i="6"/>
  <c r="AJ112" i="6"/>
  <c r="AE84" i="6"/>
  <c r="AF211" i="6"/>
  <c r="AE97" i="6"/>
  <c r="AE98" i="6"/>
  <c r="AK180" i="6"/>
  <c r="AI183" i="6"/>
  <c r="AK165" i="6"/>
  <c r="AK148" i="6"/>
  <c r="AI175" i="6"/>
  <c r="AE180" i="6"/>
  <c r="AH26" i="6"/>
  <c r="AG49" i="6"/>
  <c r="AE93" i="6"/>
  <c r="AE110" i="6"/>
  <c r="AJ119" i="6"/>
  <c r="AJ135" i="6"/>
  <c r="AJ143" i="6"/>
  <c r="AF155" i="6"/>
  <c r="AK164" i="6"/>
  <c r="AE178" i="6"/>
  <c r="AH25" i="6"/>
  <c r="AG48" i="6"/>
  <c r="AE88" i="6"/>
  <c r="AE106" i="6"/>
  <c r="AI117" i="6"/>
  <c r="AK135" i="6"/>
  <c r="AJ146" i="6"/>
  <c r="AI161" i="6"/>
  <c r="AK179" i="6"/>
  <c r="AH24" i="6"/>
  <c r="AG47" i="6"/>
  <c r="AE91" i="6"/>
  <c r="AI108" i="6"/>
  <c r="AE124" i="6"/>
  <c r="AE140" i="6"/>
  <c r="AI152" i="6"/>
  <c r="AI164" i="6"/>
  <c r="AE176" i="6"/>
  <c r="AK191" i="6"/>
  <c r="AJ128" i="6"/>
  <c r="AG215" i="6"/>
  <c r="AF326" i="6"/>
  <c r="AG34" i="6"/>
  <c r="AE123" i="6"/>
  <c r="AF195" i="6"/>
  <c r="AG54" i="6"/>
  <c r="AE62" i="6"/>
  <c r="AE115" i="6"/>
  <c r="AE81" i="6"/>
  <c r="AJ141" i="6"/>
  <c r="AG211" i="6"/>
  <c r="AE150" i="6"/>
  <c r="AK181" i="6"/>
  <c r="AI180" i="6"/>
  <c r="AI165" i="6"/>
  <c r="AK151" i="6"/>
  <c r="AE182" i="6"/>
  <c r="AE156" i="6"/>
  <c r="AH30" i="6"/>
  <c r="AG53" i="6"/>
  <c r="AE100" i="6"/>
  <c r="AI110" i="6"/>
  <c r="AE122" i="6"/>
  <c r="AK136" i="6"/>
  <c r="AK144" i="6"/>
  <c r="AJ155" i="6"/>
  <c r="AF165" i="6"/>
  <c r="AI178" i="6"/>
  <c r="AH29" i="6"/>
  <c r="AG52" i="6"/>
  <c r="AE92" i="6"/>
  <c r="AI106" i="6"/>
  <c r="AJ118" i="6"/>
  <c r="AJ138" i="6"/>
  <c r="AK147" i="6"/>
  <c r="AJ162" i="6"/>
  <c r="AE185" i="6"/>
  <c r="AH28" i="6"/>
  <c r="AG51" i="6"/>
  <c r="AE95" i="6"/>
  <c r="AJ109" i="6"/>
  <c r="AE128" i="6"/>
  <c r="AI140" i="6"/>
  <c r="AJ153" i="6"/>
  <c r="AE168" i="6"/>
  <c r="AK178" i="6"/>
  <c r="AF194" i="6"/>
  <c r="AE139" i="6"/>
  <c r="AK185" i="6"/>
  <c r="AE83" i="6"/>
  <c r="AK188" i="6"/>
  <c r="AK193" i="6"/>
  <c r="AJ183" i="6"/>
  <c r="AK186" i="6"/>
  <c r="AI158" i="6"/>
  <c r="AJ165" i="6"/>
  <c r="AI148" i="6"/>
  <c r="AI151" i="6"/>
  <c r="AE181" i="6"/>
  <c r="AG33" i="6"/>
  <c r="AG57" i="6"/>
  <c r="AI100" i="6"/>
  <c r="AJ111" i="6"/>
  <c r="AE126" i="6"/>
  <c r="AE138" i="6"/>
  <c r="AE146" i="6"/>
  <c r="AF159" i="6"/>
  <c r="AK168" i="6"/>
  <c r="AJ179" i="6"/>
  <c r="AG36" i="6"/>
  <c r="AG56" i="6"/>
  <c r="AE96" i="6"/>
  <c r="AE109" i="6"/>
  <c r="AE121" i="6"/>
  <c r="AK139" i="6"/>
  <c r="AE153" i="6"/>
  <c r="AK163" i="6"/>
  <c r="AI185" i="6"/>
  <c r="AF34" i="6"/>
  <c r="AG55" i="6"/>
  <c r="AE99" i="6"/>
  <c r="AE112" i="6"/>
  <c r="AI128" i="6"/>
  <c r="AK142" i="6"/>
  <c r="AK154" i="6"/>
  <c r="AI168" i="6"/>
  <c r="AG38" i="6"/>
  <c r="AI139" i="6"/>
  <c r="AE187" i="6"/>
  <c r="AG226" i="6"/>
  <c r="AG202" i="6"/>
  <c r="AE74" i="6"/>
  <c r="AI135" i="6"/>
  <c r="AF209" i="6"/>
  <c r="AI101" i="6"/>
  <c r="AE94" i="6"/>
  <c r="AE127" i="6"/>
  <c r="AE79" i="6"/>
  <c r="AE149" i="6"/>
  <c r="AI193" i="6"/>
  <c r="AJ180" i="6"/>
  <c r="AK158" i="6"/>
  <c r="AI156" i="6"/>
  <c r="AK177" i="6"/>
  <c r="AJ177" i="6"/>
  <c r="AE148" i="6"/>
  <c r="AE186" i="6"/>
  <c r="AG37" i="6"/>
  <c r="AE69" i="6"/>
  <c r="AE104" i="6"/>
  <c r="AI114" i="6"/>
  <c r="AI130" i="6"/>
  <c r="AJ139" i="6"/>
  <c r="AJ147" i="6"/>
  <c r="AK160" i="6"/>
  <c r="AI170" i="6"/>
  <c r="AJ187" i="6"/>
  <c r="AG40" i="6"/>
  <c r="AE64" i="6"/>
  <c r="AJ100" i="6"/>
  <c r="AJ110" i="6"/>
  <c r="AE129" i="6"/>
  <c r="AJ142" i="6"/>
  <c r="AJ154" i="6"/>
  <c r="AI169" i="6"/>
  <c r="AE190" i="6"/>
  <c r="AF38" i="6"/>
  <c r="AE63" i="6"/>
  <c r="AI102" i="6"/>
  <c r="AE116" i="6"/>
  <c r="AK134" i="6"/>
  <c r="AI144" i="6"/>
  <c r="AI160" i="6"/>
  <c r="AK170" i="6"/>
  <c r="AJ185" i="6"/>
  <c r="AG58" i="6"/>
  <c r="AF148" i="6"/>
  <c r="AJ188" i="6"/>
  <c r="AG238" i="6"/>
  <c r="AG227" i="6"/>
  <c r="AE111" i="6"/>
  <c r="AI155" i="6"/>
  <c r="AG225" i="6"/>
  <c r="AG249" i="6"/>
  <c r="AI105" i="6"/>
  <c r="AI131" i="6"/>
  <c r="AJ265" i="42"/>
  <c r="AH211" i="42"/>
  <c r="AL190" i="42"/>
  <c r="AK186" i="42"/>
  <c r="AG186" i="42"/>
  <c r="AM169" i="42"/>
  <c r="AK155" i="42"/>
  <c r="AG148" i="42"/>
  <c r="AM146" i="42"/>
  <c r="AM144" i="42"/>
  <c r="AK140" i="42"/>
  <c r="AG140" i="42"/>
  <c r="AM135" i="42"/>
  <c r="AK134" i="42"/>
  <c r="AG134" i="42"/>
  <c r="AG127" i="42"/>
  <c r="AL115" i="42"/>
  <c r="AG113" i="42"/>
  <c r="AL107" i="42"/>
  <c r="AK105" i="42"/>
  <c r="AG105" i="42"/>
  <c r="AG97" i="42"/>
  <c r="AG89" i="42"/>
  <c r="AG81" i="42"/>
  <c r="AG73" i="42"/>
  <c r="AG65" i="42"/>
  <c r="AI53" i="42"/>
  <c r="AI45" i="42"/>
  <c r="AH43" i="42"/>
  <c r="AI37" i="42"/>
  <c r="AJ25" i="42"/>
  <c r="AI260" i="42"/>
  <c r="AM182" i="42"/>
  <c r="AM175" i="42"/>
  <c r="AK165" i="42"/>
  <c r="AG165" i="42"/>
  <c r="AM161" i="42"/>
  <c r="AM159" i="42"/>
  <c r="AM152" i="42"/>
  <c r="AK148" i="42"/>
  <c r="AL141" i="42"/>
  <c r="AL128" i="42"/>
  <c r="AL116" i="42"/>
  <c r="AK114" i="42"/>
  <c r="AG114" i="42"/>
  <c r="AL108" i="42"/>
  <c r="AK106" i="42"/>
  <c r="AG106" i="42"/>
  <c r="AL100" i="42"/>
  <c r="AG98" i="42"/>
  <c r="AG90" i="42"/>
  <c r="AG82" i="42"/>
  <c r="AG74" i="42"/>
  <c r="AG66" i="42"/>
  <c r="AI54" i="42"/>
  <c r="AI46" i="42"/>
  <c r="AI38" i="42"/>
  <c r="AH36" i="42"/>
  <c r="AJ26" i="42"/>
  <c r="AI235" i="42"/>
  <c r="AH212" i="42"/>
  <c r="AM193" i="42"/>
  <c r="AM191" i="42"/>
  <c r="AK179" i="42"/>
  <c r="AG179" i="42"/>
  <c r="AL172" i="42"/>
  <c r="AH159" i="42"/>
  <c r="AL144" i="42"/>
  <c r="AL135" i="42"/>
  <c r="AL117" i="42"/>
  <c r="AK115" i="42"/>
  <c r="AG115" i="42"/>
  <c r="AL109" i="42"/>
  <c r="AK107" i="42"/>
  <c r="AG107" i="42"/>
  <c r="AL101" i="42"/>
  <c r="AG99" i="42"/>
  <c r="AG91" i="42"/>
  <c r="AG83" i="42"/>
  <c r="AG75" i="42"/>
  <c r="AG67" i="42"/>
  <c r="AI55" i="42"/>
  <c r="AI47" i="42"/>
  <c r="AH45" i="42"/>
  <c r="AI39" i="42"/>
  <c r="AH37" i="42"/>
  <c r="AJ11" i="42"/>
  <c r="AI236" i="42"/>
  <c r="AI213" i="42"/>
  <c r="AK187" i="42"/>
  <c r="AG187" i="42"/>
  <c r="AL182" i="42"/>
  <c r="AL180" i="42"/>
  <c r="AK163" i="42"/>
  <c r="AG163" i="42"/>
  <c r="AL159" i="42"/>
  <c r="AK156" i="42"/>
  <c r="AG156" i="42"/>
  <c r="AL142" i="42"/>
  <c r="AK141" i="42"/>
  <c r="AG141" i="42"/>
  <c r="AM136" i="42"/>
  <c r="AG122" i="42"/>
  <c r="AL118" i="42"/>
  <c r="AK116" i="42"/>
  <c r="AG116" i="42"/>
  <c r="AL110" i="42"/>
  <c r="AK108" i="42"/>
  <c r="AG108" i="42"/>
  <c r="AL102" i="42"/>
  <c r="AK100" i="42"/>
  <c r="AG100" i="42"/>
  <c r="AG92" i="42"/>
  <c r="AG84" i="42"/>
  <c r="AG76" i="42"/>
  <c r="AG68" i="42"/>
  <c r="AI56" i="42"/>
  <c r="AI48" i="42"/>
  <c r="AH46" i="42"/>
  <c r="AI40" i="42"/>
  <c r="AH38" i="42"/>
  <c r="AJ12" i="42"/>
  <c r="AI244" i="42"/>
  <c r="AI219" i="42"/>
  <c r="AH198" i="42"/>
  <c r="AL191" i="42"/>
  <c r="AL188" i="42"/>
  <c r="AK172" i="42"/>
  <c r="AG172" i="42"/>
  <c r="AM168" i="42"/>
  <c r="AG149" i="42"/>
  <c r="AM145" i="42"/>
  <c r="AK131" i="42"/>
  <c r="AG131" i="42"/>
  <c r="AG123" i="42"/>
  <c r="AL119" i="42"/>
  <c r="AK117" i="42"/>
  <c r="AG117" i="42"/>
  <c r="AL111" i="42"/>
  <c r="AK109" i="42"/>
  <c r="AG109" i="42"/>
  <c r="AL103" i="42"/>
  <c r="AK101" i="42"/>
  <c r="AG101" i="42"/>
  <c r="AG93" i="42"/>
  <c r="AG85" i="42"/>
  <c r="AG77" i="42"/>
  <c r="AG69" i="42"/>
  <c r="AI57" i="42"/>
  <c r="AI49" i="42"/>
  <c r="AH47" i="42"/>
  <c r="AI41" i="42"/>
  <c r="AH39" i="42"/>
  <c r="AI33" i="42"/>
  <c r="AJ27" i="42"/>
  <c r="AJ222" i="42"/>
  <c r="AM183" i="42"/>
  <c r="AK180" i="42"/>
  <c r="AG180" i="42"/>
  <c r="AM176" i="42"/>
  <c r="AM174" i="42"/>
  <c r="AM160" i="42"/>
  <c r="AM153" i="42"/>
  <c r="AM151" i="42"/>
  <c r="AK147" i="42"/>
  <c r="AG147" i="42"/>
  <c r="AM143" i="42"/>
  <c r="AK142" i="42"/>
  <c r="AG142" i="42"/>
  <c r="AK139" i="42"/>
  <c r="AG139" i="42"/>
  <c r="AL136" i="42"/>
  <c r="AG124" i="42"/>
  <c r="AK118" i="42"/>
  <c r="AG118" i="42"/>
  <c r="AL112" i="42"/>
  <c r="AK110" i="42"/>
  <c r="AG110" i="42"/>
  <c r="AL104" i="42"/>
  <c r="AK102" i="42"/>
  <c r="AG102" i="42"/>
  <c r="AG94" i="42"/>
  <c r="AG86" i="42"/>
  <c r="AG78" i="42"/>
  <c r="AG70" i="42"/>
  <c r="AG62" i="42"/>
  <c r="AI58" i="42"/>
  <c r="AI50" i="42"/>
  <c r="AH48" i="42"/>
  <c r="AI42" i="42"/>
  <c r="AI34" i="42"/>
  <c r="AJ28" i="42"/>
  <c r="AH340" i="42"/>
  <c r="AH204" i="42"/>
  <c r="AL181" i="42"/>
  <c r="AK178" i="42"/>
  <c r="AG178" i="42"/>
  <c r="AL174" i="42"/>
  <c r="AL165" i="42"/>
  <c r="AH165" i="42"/>
  <c r="AL158" i="42"/>
  <c r="AG155" i="42"/>
  <c r="AL151" i="42"/>
  <c r="AL143" i="42"/>
  <c r="AG133" i="42"/>
  <c r="AG126" i="42"/>
  <c r="AL114" i="42"/>
  <c r="AK112" i="42"/>
  <c r="AG112" i="42"/>
  <c r="AL106" i="42"/>
  <c r="AK104" i="42"/>
  <c r="AG104" i="42"/>
  <c r="AG96" i="42"/>
  <c r="AG88" i="42"/>
  <c r="AG80" i="42"/>
  <c r="AG72" i="42"/>
  <c r="AG64" i="42"/>
  <c r="AI60" i="42"/>
  <c r="AI52" i="42"/>
  <c r="AI44" i="42"/>
  <c r="AH42" i="42"/>
  <c r="AI36" i="42"/>
  <c r="AH34" i="42"/>
  <c r="AJ30" i="42"/>
  <c r="AJ9" i="42"/>
  <c r="AG335" i="42"/>
  <c r="AG331" i="42"/>
  <c r="AG150" i="42"/>
  <c r="AL152" i="42"/>
  <c r="AM154" i="42"/>
  <c r="AG158" i="42"/>
  <c r="AK158" i="42"/>
  <c r="AL160" i="42"/>
  <c r="AM162" i="42"/>
  <c r="AL168" i="42"/>
  <c r="AM170" i="42"/>
  <c r="AL175" i="42"/>
  <c r="AM177" i="42"/>
  <c r="AG181" i="42"/>
  <c r="AK181" i="42"/>
  <c r="AL183" i="42"/>
  <c r="AM185" i="42"/>
  <c r="AG190" i="42"/>
  <c r="AK190" i="42"/>
  <c r="AL192" i="42"/>
  <c r="AI202" i="42"/>
  <c r="AH206" i="42"/>
  <c r="AI208" i="42"/>
  <c r="AH213" i="42"/>
  <c r="AI238" i="42"/>
  <c r="AI246" i="42"/>
  <c r="AG332" i="42"/>
  <c r="AG336" i="42"/>
  <c r="AH337" i="42"/>
  <c r="AI245" i="42"/>
  <c r="AI261" i="42"/>
  <c r="AI269" i="42"/>
  <c r="AG130" i="42"/>
  <c r="AK130" i="42"/>
  <c r="AM134" i="42"/>
  <c r="AG138" i="42"/>
  <c r="AK138" i="42"/>
  <c r="AL140" i="42"/>
  <c r="AM142" i="42"/>
  <c r="AG146" i="42"/>
  <c r="AK146" i="42"/>
  <c r="AH148" i="42"/>
  <c r="AL148" i="42"/>
  <c r="AG154" i="42"/>
  <c r="AK154" i="42"/>
  <c r="AL156" i="42"/>
  <c r="AM158" i="42"/>
  <c r="AG162" i="42"/>
  <c r="AK162" i="42"/>
  <c r="AL164" i="42"/>
  <c r="AG170" i="42"/>
  <c r="AK170" i="42"/>
  <c r="AG177" i="42"/>
  <c r="AK177" i="42"/>
  <c r="AL179" i="42"/>
  <c r="AM181" i="42"/>
  <c r="AG185" i="42"/>
  <c r="AK185" i="42"/>
  <c r="AL187" i="42"/>
  <c r="AM190" i="42"/>
  <c r="AH196" i="42"/>
  <c r="AH210" i="42"/>
  <c r="AI226" i="42"/>
  <c r="AI234" i="42"/>
  <c r="AJ324" i="42"/>
  <c r="AG334" i="42"/>
  <c r="AH339" i="42"/>
  <c r="AG121" i="42"/>
  <c r="AG129" i="42"/>
  <c r="AK129" i="42"/>
  <c r="AL131" i="42"/>
  <c r="AL139" i="42"/>
  <c r="AM141" i="42"/>
  <c r="AG145" i="42"/>
  <c r="AK145" i="42"/>
  <c r="AL147" i="42"/>
  <c r="AG153" i="42"/>
  <c r="AK153" i="42"/>
  <c r="AH155" i="42"/>
  <c r="AL155" i="42"/>
  <c r="AG161" i="42"/>
  <c r="AK161" i="42"/>
  <c r="AL163" i="42"/>
  <c r="AM165" i="42"/>
  <c r="AG169" i="42"/>
  <c r="AK169" i="42"/>
  <c r="AM172" i="42"/>
  <c r="AG176" i="42"/>
  <c r="AK176" i="42"/>
  <c r="AL178" i="42"/>
  <c r="AM180" i="42"/>
  <c r="AL186" i="42"/>
  <c r="AM188" i="42"/>
  <c r="AG193" i="42"/>
  <c r="AK193" i="42"/>
  <c r="AH195" i="42"/>
  <c r="AH203" i="42"/>
  <c r="AI204" i="42"/>
  <c r="AH209" i="42"/>
  <c r="AI211" i="42"/>
  <c r="AI225" i="42"/>
  <c r="AI233" i="42"/>
  <c r="AI249" i="42"/>
  <c r="AG120" i="42"/>
  <c r="AG128" i="42"/>
  <c r="AK128" i="42"/>
  <c r="AL130" i="42"/>
  <c r="AG136" i="42"/>
  <c r="AK136" i="42"/>
  <c r="AL138" i="42"/>
  <c r="AM140" i="42"/>
  <c r="AG144" i="42"/>
  <c r="AK144" i="42"/>
  <c r="AL146" i="42"/>
  <c r="AM148" i="42"/>
  <c r="AG152" i="42"/>
  <c r="AK152" i="42"/>
  <c r="AL154" i="42"/>
  <c r="AM156" i="42"/>
  <c r="AG160" i="42"/>
  <c r="AK160" i="42"/>
  <c r="AL162" i="42"/>
  <c r="AM164" i="42"/>
  <c r="AG168" i="42"/>
  <c r="AK168" i="42"/>
  <c r="AL170" i="42"/>
  <c r="AG175" i="42"/>
  <c r="AK175" i="42"/>
  <c r="AL177" i="42"/>
  <c r="AM179" i="42"/>
  <c r="AG183" i="42"/>
  <c r="AK183" i="42"/>
  <c r="AL185" i="42"/>
  <c r="AM187" i="42"/>
  <c r="AG192" i="42"/>
  <c r="AK192" i="42"/>
  <c r="AH194" i="42"/>
  <c r="AH202" i="42"/>
  <c r="AH208" i="42"/>
  <c r="AI210" i="42"/>
  <c r="AH214" i="42"/>
  <c r="AI232" i="42"/>
  <c r="AI248" i="42"/>
  <c r="AH326" i="42"/>
  <c r="AG333" i="42"/>
  <c r="AH338" i="42"/>
  <c r="AL129" i="42"/>
  <c r="AG135" i="42"/>
  <c r="AK135" i="42"/>
  <c r="AM139" i="42"/>
  <c r="AG143" i="42"/>
  <c r="AK143" i="42"/>
  <c r="AL145" i="42"/>
  <c r="AM147" i="42"/>
  <c r="AG151" i="42"/>
  <c r="AK151" i="42"/>
  <c r="AL153" i="42"/>
  <c r="AM155" i="42"/>
  <c r="AG159" i="42"/>
  <c r="AK159" i="42"/>
  <c r="AL161" i="42"/>
  <c r="AM163" i="42"/>
  <c r="AL169" i="42"/>
  <c r="AG174" i="42"/>
  <c r="AK174" i="42"/>
  <c r="AL176" i="42"/>
  <c r="AM178" i="42"/>
  <c r="AG182" i="42"/>
  <c r="AK182" i="42"/>
  <c r="AM186" i="42"/>
  <c r="AG191" i="42"/>
  <c r="AK191" i="42"/>
  <c r="AL193" i="42"/>
  <c r="AH201" i="42"/>
  <c r="AH207" i="42"/>
  <c r="AI209" i="42"/>
  <c r="AI215" i="42"/>
  <c r="AI231" i="42"/>
  <c r="AI247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PERALDI Jean Marc</author>
  </authors>
  <commentList>
    <comment ref="AI5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Pick-up
Camion
Bus
Tracteur
Remorque
</t>
        </r>
      </text>
    </comment>
    <comment ref="AJ5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Pick-up
camion
Bus
Tracteur
Remorque
</t>
        </r>
      </text>
    </comment>
    <comment ref="AK5" authorId="0" shapeId="0" xr:uid="{00000000-0006-0000-0000-000003000000}">
      <text>
        <r>
          <rPr>
            <sz val="9"/>
            <color indexed="81"/>
            <rFont val="Tahoma"/>
            <family val="2"/>
          </rPr>
          <t>Camion
Bus
Tracteur
Remorque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PERALDI Jean Marc</author>
  </authors>
  <commentList>
    <comment ref="AK5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Pick-up
Camion
Bus
Tracteur
Remorque
</t>
        </r>
      </text>
    </comment>
    <comment ref="AL5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Pick-up
camion
Bus
Tracteur
Remorque
</t>
        </r>
      </text>
    </comment>
    <comment ref="AM5" authorId="0" shapeId="0" xr:uid="{00000000-0006-0000-0100-000003000000}">
      <text>
        <r>
          <rPr>
            <sz val="9"/>
            <color indexed="81"/>
            <rFont val="Tahoma"/>
            <family val="2"/>
          </rPr>
          <t>Camion
Bus
Tracteur
Remorque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PERALDI Jean Marc</author>
  </authors>
  <commentList>
    <comment ref="K7" authorId="0" shapeId="0" xr:uid="{00000000-0006-0000-0400-000001000000}">
      <text>
        <r>
          <rPr>
            <sz val="9"/>
            <color indexed="81"/>
            <rFont val="Tahoma"/>
            <family val="2"/>
          </rPr>
          <t>Camion
Bus
Tracteur
Remorque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PERALDI Jean Marc</author>
    <author>Maher Fattouh</author>
  </authors>
  <commentList>
    <comment ref="L4" authorId="0" shapeId="0" xr:uid="{00000000-0006-0000-0600-000001000000}">
      <text>
        <r>
          <rPr>
            <sz val="9"/>
            <color indexed="81"/>
            <rFont val="Tahoma"/>
            <family val="2"/>
          </rPr>
          <t xml:space="preserve">Pick-up
Camion
Bus
Tracteur
Remorque
</t>
        </r>
      </text>
    </comment>
    <comment ref="M4" authorId="0" shapeId="0" xr:uid="{00000000-0006-0000-0600-000002000000}">
      <text>
        <r>
          <rPr>
            <sz val="9"/>
            <color indexed="81"/>
            <rFont val="Tahoma"/>
            <family val="2"/>
          </rPr>
          <t xml:space="preserve">Pick-up
camion
Bus
Tracteur
Remorque
</t>
        </r>
      </text>
    </comment>
    <comment ref="A5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Maher Fattouh:</t>
        </r>
        <r>
          <rPr>
            <sz val="9"/>
            <color indexed="81"/>
            <rFont val="Tahoma"/>
            <family val="2"/>
          </rPr>
          <t xml:space="preserve">
véhicule accidenté garage PK22</t>
        </r>
      </text>
    </comment>
    <comment ref="J15" authorId="0" shapeId="0" xr:uid="{00000000-0006-0000-0600-000004000000}">
      <text>
        <r>
          <rPr>
            <sz val="9"/>
            <color indexed="81"/>
            <rFont val="Tahoma"/>
            <family val="2"/>
          </rPr>
          <t xml:space="preserve">Pick-up
Camion
Bus
Tracteur
Remorque
</t>
        </r>
      </text>
    </comment>
    <comment ref="K15" authorId="0" shapeId="0" xr:uid="{00000000-0006-0000-0600-000005000000}">
      <text>
        <r>
          <rPr>
            <sz val="9"/>
            <color indexed="81"/>
            <rFont val="Tahoma"/>
            <family val="2"/>
          </rPr>
          <t xml:space="preserve">Pick-up
camion
Bus
Tracteur
Remorque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Maher Fattouh</author>
  </authors>
  <commentList>
    <comment ref="A1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Maher Fattouh:</t>
        </r>
        <r>
          <rPr>
            <sz val="9"/>
            <color indexed="81"/>
            <rFont val="Tahoma"/>
            <family val="2"/>
          </rPr>
          <t xml:space="preserve">
véhicule accidenté garage PK22</t>
        </r>
      </text>
    </comment>
  </commentList>
</comments>
</file>

<file path=xl/sharedStrings.xml><?xml version="1.0" encoding="utf-8"?>
<sst xmlns="http://schemas.openxmlformats.org/spreadsheetml/2006/main" count="12912" uniqueCount="2917">
  <si>
    <t>DESIGNATION</t>
  </si>
  <si>
    <t>A11246</t>
  </si>
  <si>
    <t>A11247</t>
  </si>
  <si>
    <t>D61177</t>
  </si>
  <si>
    <t>E00044</t>
  </si>
  <si>
    <t>E50001</t>
  </si>
  <si>
    <t>E50002</t>
  </si>
  <si>
    <t>E50004</t>
  </si>
  <si>
    <t>E50011</t>
  </si>
  <si>
    <t>E50012</t>
  </si>
  <si>
    <t>E50014</t>
  </si>
  <si>
    <t>E50016</t>
  </si>
  <si>
    <t>E50018</t>
  </si>
  <si>
    <t>E50019</t>
  </si>
  <si>
    <t>E51930</t>
  </si>
  <si>
    <t>E51936</t>
  </si>
  <si>
    <t>E90005</t>
  </si>
  <si>
    <t>F51147</t>
  </si>
  <si>
    <t>G11076</t>
  </si>
  <si>
    <t>G30031</t>
  </si>
  <si>
    <t>G31108</t>
  </si>
  <si>
    <t>G31567</t>
  </si>
  <si>
    <t>G31582</t>
  </si>
  <si>
    <t>G31614</t>
  </si>
  <si>
    <t>J08988</t>
  </si>
  <si>
    <t>J08989</t>
  </si>
  <si>
    <t>VGP</t>
  </si>
  <si>
    <t>CT</t>
  </si>
  <si>
    <t>LEVAGE</t>
  </si>
  <si>
    <t>Prochain contrôle</t>
  </si>
  <si>
    <t>NC</t>
  </si>
  <si>
    <t>E91318</t>
  </si>
  <si>
    <t>E91395</t>
  </si>
  <si>
    <t>E91421</t>
  </si>
  <si>
    <t>E91434</t>
  </si>
  <si>
    <t>E91436</t>
  </si>
  <si>
    <t>G31618</t>
  </si>
  <si>
    <t>D91126</t>
  </si>
  <si>
    <t>D91181</t>
  </si>
  <si>
    <t>L71050</t>
  </si>
  <si>
    <t>1 an</t>
  </si>
  <si>
    <t xml:space="preserve"> 10 ans</t>
  </si>
  <si>
    <t>E51108</t>
  </si>
  <si>
    <t>F21054</t>
  </si>
  <si>
    <t>F51157</t>
  </si>
  <si>
    <t>E70010</t>
  </si>
  <si>
    <t>RKF</t>
  </si>
  <si>
    <t>E00051</t>
  </si>
  <si>
    <t>Lieu</t>
  </si>
  <si>
    <t>ABJ</t>
  </si>
  <si>
    <t>AIR</t>
  </si>
  <si>
    <t>Date de dernier contrôle</t>
  </si>
  <si>
    <t>A10CI1</t>
  </si>
  <si>
    <t>A10CI2</t>
  </si>
  <si>
    <t>A10CI3</t>
  </si>
  <si>
    <t>A11157</t>
  </si>
  <si>
    <t>AZ0001</t>
  </si>
  <si>
    <t>C00024</t>
  </si>
  <si>
    <t>C01396</t>
  </si>
  <si>
    <t>C40CI1</t>
  </si>
  <si>
    <t>D01064</t>
  </si>
  <si>
    <t>D31838</t>
  </si>
  <si>
    <t>D31891</t>
  </si>
  <si>
    <t>D38871</t>
  </si>
  <si>
    <t>D41131</t>
  </si>
  <si>
    <t>D41230</t>
  </si>
  <si>
    <t>E00036</t>
  </si>
  <si>
    <t>E00045</t>
  </si>
  <si>
    <t>E00046</t>
  </si>
  <si>
    <t>E00073</t>
  </si>
  <si>
    <t>E00107</t>
  </si>
  <si>
    <t>E00108</t>
  </si>
  <si>
    <t>E00132</t>
  </si>
  <si>
    <t>E00273</t>
  </si>
  <si>
    <t>E00277</t>
  </si>
  <si>
    <t xml:space="preserve">RENAULT SANDERO STEPWAY 1.6 ESS phase II </t>
  </si>
  <si>
    <t>E00283</t>
  </si>
  <si>
    <t>E01494</t>
  </si>
  <si>
    <t>E09007</t>
  </si>
  <si>
    <t>E09008</t>
  </si>
  <si>
    <t>E10209</t>
  </si>
  <si>
    <t>E10219</t>
  </si>
  <si>
    <t>E12684</t>
  </si>
  <si>
    <t>E18778</t>
  </si>
  <si>
    <t>E18779</t>
  </si>
  <si>
    <t>E18780</t>
  </si>
  <si>
    <t>E18781</t>
  </si>
  <si>
    <t>E18782</t>
  </si>
  <si>
    <t>E18783</t>
  </si>
  <si>
    <t>E31240</t>
  </si>
  <si>
    <t>E50005</t>
  </si>
  <si>
    <t>E59033</t>
  </si>
  <si>
    <t>E59034</t>
  </si>
  <si>
    <t>E59035</t>
  </si>
  <si>
    <t>E59036</t>
  </si>
  <si>
    <t>E59037</t>
  </si>
  <si>
    <t>E80007</t>
  </si>
  <si>
    <t>E91030</t>
  </si>
  <si>
    <t>CAMION CITERNE RVI KERAX 350 6X4  18m3</t>
  </si>
  <si>
    <t>E91098</t>
  </si>
  <si>
    <t>F00003</t>
  </si>
  <si>
    <t>F19CI1</t>
  </si>
  <si>
    <t>F19CI2</t>
  </si>
  <si>
    <t>G30029</t>
  </si>
  <si>
    <t>G30030</t>
  </si>
  <si>
    <t>G30CI1</t>
  </si>
  <si>
    <t>G30CI2</t>
  </si>
  <si>
    <t>G31CI1</t>
  </si>
  <si>
    <t>G31CI2</t>
  </si>
  <si>
    <t>G31CI3</t>
  </si>
  <si>
    <t>G40001</t>
  </si>
  <si>
    <t>G41122</t>
  </si>
  <si>
    <t>G57CI1</t>
  </si>
  <si>
    <t>G57CI2</t>
  </si>
  <si>
    <t>I29CI1</t>
  </si>
  <si>
    <t>I29CI2</t>
  </si>
  <si>
    <t>I39CI1</t>
  </si>
  <si>
    <t>TRUELLE MECANIQUE A PALES</t>
  </si>
  <si>
    <t>I41CI1</t>
  </si>
  <si>
    <t>LOT ECHAFFAUDAGE</t>
  </si>
  <si>
    <t>I50CI1</t>
  </si>
  <si>
    <t>I50CI2</t>
  </si>
  <si>
    <t>J00081</t>
  </si>
  <si>
    <t>J00082</t>
  </si>
  <si>
    <t>J00084</t>
  </si>
  <si>
    <t>J00CI1</t>
  </si>
  <si>
    <t>J00CI2</t>
  </si>
  <si>
    <t>J01844</t>
  </si>
  <si>
    <t>J02041</t>
  </si>
  <si>
    <t>J02042</t>
  </si>
  <si>
    <t>J02043</t>
  </si>
  <si>
    <t>J02044</t>
  </si>
  <si>
    <t>J08975</t>
  </si>
  <si>
    <t>J20006</t>
  </si>
  <si>
    <t>J20021</t>
  </si>
  <si>
    <t>J20022</t>
  </si>
  <si>
    <t>J20CI1</t>
  </si>
  <si>
    <t>J20CI2</t>
  </si>
  <si>
    <t>J20CI3</t>
  </si>
  <si>
    <t>L31009</t>
  </si>
  <si>
    <t>L31054</t>
  </si>
  <si>
    <t>L40CI1</t>
  </si>
  <si>
    <t>NETTOYEUR HP SUR REMORQUE HONDA GX390 essence</t>
  </si>
  <si>
    <t>L41CI2</t>
  </si>
  <si>
    <t>L61CI1</t>
  </si>
  <si>
    <t>CAN</t>
  </si>
  <si>
    <t>G28868</t>
  </si>
  <si>
    <t>G38949</t>
  </si>
  <si>
    <t>G38951</t>
  </si>
  <si>
    <t>G38952</t>
  </si>
  <si>
    <t>J02062</t>
  </si>
  <si>
    <t>G31338</t>
  </si>
  <si>
    <t>I21087</t>
  </si>
  <si>
    <t>J00076</t>
  </si>
  <si>
    <t>D91187</t>
  </si>
  <si>
    <t>E90021</t>
  </si>
  <si>
    <t>C00011</t>
  </si>
  <si>
    <t>E50064</t>
  </si>
  <si>
    <t>E50065</t>
  </si>
  <si>
    <t>E50066</t>
  </si>
  <si>
    <t>E90033</t>
  </si>
  <si>
    <t>F20002</t>
  </si>
  <si>
    <t>F00009</t>
  </si>
  <si>
    <t>GRUE A TOUR - POTAIN - MD 265 B1 J10</t>
  </si>
  <si>
    <t>F11024</t>
  </si>
  <si>
    <t>CAGE DE TELESCOPAGE</t>
  </si>
  <si>
    <t>F10004</t>
  </si>
  <si>
    <t>F10001</t>
  </si>
  <si>
    <t>J00107</t>
  </si>
  <si>
    <t>CISAILLE - SIMA - CEL42</t>
  </si>
  <si>
    <t>CINTREUSE - SIMA - DEL36</t>
  </si>
  <si>
    <t>I60010</t>
  </si>
  <si>
    <t>E38876</t>
  </si>
  <si>
    <t>E38877</t>
  </si>
  <si>
    <t>Taxe district (stationnement)</t>
  </si>
  <si>
    <t>reçu de dépôt: patente de transport privé</t>
  </si>
  <si>
    <t>D00007</t>
  </si>
  <si>
    <t>D00006</t>
  </si>
  <si>
    <t>D20007</t>
  </si>
  <si>
    <t>D20008</t>
  </si>
  <si>
    <t>Vignette de transport Marchandise et personnel</t>
  </si>
  <si>
    <t>2 ans</t>
  </si>
  <si>
    <t>VNR</t>
  </si>
  <si>
    <t>Année</t>
  </si>
  <si>
    <t>E00118</t>
  </si>
  <si>
    <t>E10363</t>
  </si>
  <si>
    <t>E10366</t>
  </si>
  <si>
    <t>E10367</t>
  </si>
  <si>
    <t>E10368</t>
  </si>
  <si>
    <t>E70012</t>
  </si>
  <si>
    <t>E90023</t>
  </si>
  <si>
    <t>G01028</t>
  </si>
  <si>
    <t>G11070</t>
  </si>
  <si>
    <t>G21106</t>
  </si>
  <si>
    <t>G41126</t>
  </si>
  <si>
    <t>I20015</t>
  </si>
  <si>
    <t>I20016</t>
  </si>
  <si>
    <t>J00070</t>
  </si>
  <si>
    <t>J10027</t>
  </si>
  <si>
    <t>Age au prorata</t>
  </si>
  <si>
    <t>E51829</t>
  </si>
  <si>
    <t>I60011</t>
  </si>
  <si>
    <t>Agence</t>
  </si>
  <si>
    <t>Contrôle electrique</t>
  </si>
  <si>
    <t>7981</t>
  </si>
  <si>
    <t>8282</t>
  </si>
  <si>
    <t>AR160232</t>
  </si>
  <si>
    <t>APP353276</t>
  </si>
  <si>
    <t>APP353275</t>
  </si>
  <si>
    <t>APP331334</t>
  </si>
  <si>
    <t>221400817</t>
  </si>
  <si>
    <t>EJ400689</t>
  </si>
  <si>
    <t>EJ400715</t>
  </si>
  <si>
    <t>DPH01946</t>
  </si>
  <si>
    <t>CA600297</t>
  </si>
  <si>
    <t>M4T00819</t>
  </si>
  <si>
    <t>DJF00899</t>
  </si>
  <si>
    <t>TAH10215</t>
  </si>
  <si>
    <t>A6G03725</t>
  </si>
  <si>
    <t>XXT00537</t>
  </si>
  <si>
    <t>DSH00191</t>
  </si>
  <si>
    <t>B9J01297</t>
  </si>
  <si>
    <t>SZL02598</t>
  </si>
  <si>
    <t>SZL03087</t>
  </si>
  <si>
    <t>VF14SRAP453740393</t>
  </si>
  <si>
    <t>VF1HSRCDN53721476</t>
  </si>
  <si>
    <t>VF1HSRCDN53721477</t>
  </si>
  <si>
    <t>VF1HSRCDN53211252</t>
  </si>
  <si>
    <t>JTMBD9EVX0J022832</t>
  </si>
  <si>
    <t>VF1HSRCDNG0746071</t>
  </si>
  <si>
    <t>VF15SREBGHA705001</t>
  </si>
  <si>
    <t>VF15SREBGHA727821</t>
  </si>
  <si>
    <t>MMBGNKS30HH038616</t>
  </si>
  <si>
    <t>J3STD54V8J4101111</t>
  </si>
  <si>
    <t>VF15SREBGJA341969</t>
  </si>
  <si>
    <t>VF15SREBGKA483949</t>
  </si>
  <si>
    <t>VF15SREBGJA940324</t>
  </si>
  <si>
    <t>VF1HSRC9550087142</t>
  </si>
  <si>
    <t>JMYLRV93WJJ000211</t>
  </si>
  <si>
    <t>MMBGNKS30JH007740</t>
  </si>
  <si>
    <t>JTELB71J004319541</t>
  </si>
  <si>
    <t>AHTFK8CDX00322956</t>
  </si>
  <si>
    <t>AHTFK22GX03070780</t>
  </si>
  <si>
    <t>MMBJNKL30HH042353</t>
  </si>
  <si>
    <t>MMBJNKL30HH047471</t>
  </si>
  <si>
    <t>MMBJNKL30HH049791</t>
  </si>
  <si>
    <t>MMBJNKL30HH050112</t>
  </si>
  <si>
    <t>MMBJNKL30JH027707</t>
  </si>
  <si>
    <t>MMBJNKL30JH027708</t>
  </si>
  <si>
    <t>MMBJNKL30JH027711</t>
  </si>
  <si>
    <t>MMBJNKL30JH027935</t>
  </si>
  <si>
    <t>MMBJNKL30JH027937</t>
  </si>
  <si>
    <t>MMBJNKL30JH027942</t>
  </si>
  <si>
    <t>JTFJK02P600025954</t>
  </si>
  <si>
    <t>BE637GK31040</t>
  </si>
  <si>
    <t>BE637GK31225</t>
  </si>
  <si>
    <t>VF634DPA7FD015595</t>
  </si>
  <si>
    <t>VF634DPA9FD015601</t>
  </si>
  <si>
    <t>VF634DPAXFD015607</t>
  </si>
  <si>
    <t>VF634DPA1FD015608</t>
  </si>
  <si>
    <t>VF634DPA0ED015467</t>
  </si>
  <si>
    <t>VF634DPA0ED015470</t>
  </si>
  <si>
    <t>VF634DPA4FD015604</t>
  </si>
  <si>
    <t>VF634DPAXFD015610</t>
  </si>
  <si>
    <t>VF631N13XJD001045</t>
  </si>
  <si>
    <t>VF631N134JD001106</t>
  </si>
  <si>
    <t>VF631N136JD001107</t>
  </si>
  <si>
    <t>VF634DPA000014709</t>
  </si>
  <si>
    <t>VF633DVC000105569</t>
  </si>
  <si>
    <t>VF634DPA000014979</t>
  </si>
  <si>
    <t>VF631N131JD001242</t>
  </si>
  <si>
    <t>VF631N130JD001250</t>
  </si>
  <si>
    <t>VF631N133JD001260</t>
  </si>
  <si>
    <t>VF631N134JD001266</t>
  </si>
  <si>
    <t>VF631N139JD001280</t>
  </si>
  <si>
    <t>VF634KPAXGD008274</t>
  </si>
  <si>
    <t>VF631E138JD001108</t>
  </si>
  <si>
    <t>VFKTX34CZ709E0098</t>
  </si>
  <si>
    <t>VF634APA4FD002088</t>
  </si>
  <si>
    <t>VF634DPA8GD015669</t>
  </si>
  <si>
    <t>VF634DPA6GD015671</t>
  </si>
  <si>
    <t>VF631N138HD000664</t>
  </si>
  <si>
    <t>VF634APA000001865</t>
  </si>
  <si>
    <t>VF633DVC000104229</t>
  </si>
  <si>
    <t>VF633BVB000101093</t>
  </si>
  <si>
    <t>VF634BPA000001057</t>
  </si>
  <si>
    <t>VF634EPA000001632</t>
  </si>
  <si>
    <t>VF634EPAXED001713</t>
  </si>
  <si>
    <t>VF634EPA0ED001719</t>
  </si>
  <si>
    <t>412090</t>
  </si>
  <si>
    <t>16431</t>
  </si>
  <si>
    <t>16434</t>
  </si>
  <si>
    <t>TEX507806</t>
  </si>
  <si>
    <t>935157</t>
  </si>
  <si>
    <t>TAS00131</t>
  </si>
  <si>
    <t>GRA8317</t>
  </si>
  <si>
    <t>CE59480</t>
  </si>
  <si>
    <t>101540542376</t>
  </si>
  <si>
    <t>101540542377</t>
  </si>
  <si>
    <t>861100822371</t>
  </si>
  <si>
    <t>861100822372</t>
  </si>
  <si>
    <t>101880211328</t>
  </si>
  <si>
    <t>101230111239</t>
  </si>
  <si>
    <t>101230111240</t>
  </si>
  <si>
    <t>101230111241</t>
  </si>
  <si>
    <t>71520869</t>
  </si>
  <si>
    <t>71421398</t>
  </si>
  <si>
    <t>10000134E0A012373</t>
  </si>
  <si>
    <t>861100822148</t>
  </si>
  <si>
    <t>10000134P0A014256</t>
  </si>
  <si>
    <t>3215021</t>
  </si>
  <si>
    <t>3213025</t>
  </si>
  <si>
    <t>15099585</t>
  </si>
  <si>
    <t>15099589</t>
  </si>
  <si>
    <t>867-0293</t>
  </si>
  <si>
    <t>867-0292</t>
  </si>
  <si>
    <t>DF09B5282</t>
  </si>
  <si>
    <t>15565</t>
  </si>
  <si>
    <t>15566</t>
  </si>
  <si>
    <t>14B-11-1688</t>
  </si>
  <si>
    <t>191424</t>
  </si>
  <si>
    <t>190797</t>
  </si>
  <si>
    <t>SA0733</t>
  </si>
  <si>
    <t>S47591</t>
  </si>
  <si>
    <t>CAT00C71HECW00953</t>
  </si>
  <si>
    <t>CAT00C71HECW01312</t>
  </si>
  <si>
    <t>CAT00C71KECW01334</t>
  </si>
  <si>
    <t>ECW01335</t>
  </si>
  <si>
    <t>GTY00438</t>
  </si>
  <si>
    <t>SBNDKEC502297</t>
  </si>
  <si>
    <t>C2G07286</t>
  </si>
  <si>
    <t>OLY00000KMMR01059</t>
  </si>
  <si>
    <t>OLY00000CMMR01047</t>
  </si>
  <si>
    <t>OLY00000VMMR01048</t>
  </si>
  <si>
    <t>OLY00000CMMR01056</t>
  </si>
  <si>
    <t>CAT00C44CECL01819</t>
  </si>
  <si>
    <t>B18I142649</t>
  </si>
  <si>
    <t>D18I416772</t>
  </si>
  <si>
    <t>ESF203739</t>
  </si>
  <si>
    <t>4425905141</t>
  </si>
  <si>
    <t>4306602140</t>
  </si>
  <si>
    <t>S59165</t>
  </si>
  <si>
    <t>U1140108459/11871</t>
  </si>
  <si>
    <t>A11015-01</t>
  </si>
  <si>
    <t>30769B/10</t>
  </si>
  <si>
    <t>14/151</t>
  </si>
  <si>
    <t>C11801000700</t>
  </si>
  <si>
    <t>VF634DPA000012337</t>
  </si>
  <si>
    <t>VCEP782CK0H715458</t>
  </si>
  <si>
    <t>3731JJ01</t>
  </si>
  <si>
    <t>3729JJ01</t>
  </si>
  <si>
    <t>3727JJ01</t>
  </si>
  <si>
    <t>3725JJ01</t>
  </si>
  <si>
    <t>3722JJ01</t>
  </si>
  <si>
    <t>A28839</t>
  </si>
  <si>
    <t>C69916</t>
  </si>
  <si>
    <t>D31913</t>
  </si>
  <si>
    <t>La Mé</t>
  </si>
  <si>
    <t>SUV 4X2 - RENAULT - DUSTER</t>
  </si>
  <si>
    <t>E18792</t>
  </si>
  <si>
    <t>RENAULT LODGY AMBULANCE</t>
  </si>
  <si>
    <t>E18822</t>
  </si>
  <si>
    <t>E18823</t>
  </si>
  <si>
    <t>E18824</t>
  </si>
  <si>
    <t>E18825</t>
  </si>
  <si>
    <t>E18826</t>
  </si>
  <si>
    <t>E18827</t>
  </si>
  <si>
    <t>E88913</t>
  </si>
  <si>
    <t>NACELLE ARTICULEE SUR ROUES 40 m</t>
  </si>
  <si>
    <t>BALAYEUSE TRACTEE - LEBON - L145T</t>
  </si>
  <si>
    <t>G68837</t>
  </si>
  <si>
    <t>I18887</t>
  </si>
  <si>
    <t>AZ0002</t>
  </si>
  <si>
    <t>C00010</t>
  </si>
  <si>
    <t>D01088</t>
  </si>
  <si>
    <t>D60004</t>
  </si>
  <si>
    <t>R7B00203</t>
  </si>
  <si>
    <t>E41027</t>
  </si>
  <si>
    <t>E50045</t>
  </si>
  <si>
    <t>E81043</t>
  </si>
  <si>
    <t>E91201</t>
  </si>
  <si>
    <t>F21083</t>
  </si>
  <si>
    <t>TEX706006</t>
  </si>
  <si>
    <t>G20003</t>
  </si>
  <si>
    <t>G30033</t>
  </si>
  <si>
    <t>G30034</t>
  </si>
  <si>
    <t>G31100</t>
  </si>
  <si>
    <t>G31596</t>
  </si>
  <si>
    <t>G41075</t>
  </si>
  <si>
    <t>J00077</t>
  </si>
  <si>
    <t>J00083</t>
  </si>
  <si>
    <t>ECW01336</t>
  </si>
  <si>
    <t>J10026</t>
  </si>
  <si>
    <t>O20013</t>
  </si>
  <si>
    <t>PONT BASCULE</t>
  </si>
  <si>
    <t>Balise GPS</t>
  </si>
  <si>
    <t>CAMION RAVITAILLEUR</t>
  </si>
  <si>
    <t>SEMI-REMORQUE PLATEAU</t>
  </si>
  <si>
    <t>MAT D'ECLAIRAGE</t>
  </si>
  <si>
    <t>E90034</t>
  </si>
  <si>
    <t>L11001</t>
  </si>
  <si>
    <t>L11003</t>
  </si>
  <si>
    <t>E90036</t>
  </si>
  <si>
    <t>J18958</t>
  </si>
  <si>
    <t>F58838</t>
  </si>
  <si>
    <t>F58839</t>
  </si>
  <si>
    <t>C08982</t>
  </si>
  <si>
    <t>C08983</t>
  </si>
  <si>
    <t>C08978</t>
  </si>
  <si>
    <t>C08979</t>
  </si>
  <si>
    <t>G68836</t>
  </si>
  <si>
    <t>A18887</t>
  </si>
  <si>
    <t>CAB</t>
  </si>
  <si>
    <t>TSM17</t>
  </si>
  <si>
    <t>CONC MOBIL</t>
  </si>
  <si>
    <t>GRA8233</t>
  </si>
  <si>
    <t>3100227305005</t>
  </si>
  <si>
    <t>3731327205023</t>
  </si>
  <si>
    <t>01F0921884</t>
  </si>
  <si>
    <t>10000134T0A13719</t>
  </si>
  <si>
    <t>CATCB24BL46700335</t>
  </si>
  <si>
    <t>4PN00639</t>
  </si>
  <si>
    <t>ESF203738</t>
  </si>
  <si>
    <t>VCEP7820E00022579</t>
  </si>
  <si>
    <t>MXFHMECW01305</t>
  </si>
  <si>
    <t>VF634APA000000911</t>
  </si>
  <si>
    <t>MMBJNKL30JH040029</t>
  </si>
  <si>
    <t>MMBJNKL30JH040036</t>
  </si>
  <si>
    <t>MMBJNKL30JH040073</t>
  </si>
  <si>
    <t>MMBJNKL30JH040117</t>
  </si>
  <si>
    <t>MMBJNKL30JH040138</t>
  </si>
  <si>
    <t>MMBJNKL30JH040161</t>
  </si>
  <si>
    <t>Vignette de transport MarChandise et personnel</t>
  </si>
  <si>
    <t>6057HA01</t>
  </si>
  <si>
    <t>5722HA01</t>
  </si>
  <si>
    <t>5723HA01</t>
  </si>
  <si>
    <t>5725HA01</t>
  </si>
  <si>
    <t>9663HE01</t>
  </si>
  <si>
    <t>7704HJ01</t>
  </si>
  <si>
    <t>2516HR01</t>
  </si>
  <si>
    <t>2518HR01</t>
  </si>
  <si>
    <t>3083JC01</t>
  </si>
  <si>
    <t>4492JC01</t>
  </si>
  <si>
    <t>4398JF01</t>
  </si>
  <si>
    <t>4399JF01</t>
  </si>
  <si>
    <t>6823GJ01</t>
  </si>
  <si>
    <t>4461JF01</t>
  </si>
  <si>
    <t>3590JH01</t>
  </si>
  <si>
    <t>9776HH01</t>
  </si>
  <si>
    <t>1189HT01</t>
  </si>
  <si>
    <t>4125JC01</t>
  </si>
  <si>
    <t>4124JC01</t>
  </si>
  <si>
    <t>3675JC01</t>
  </si>
  <si>
    <t>4108JC01</t>
  </si>
  <si>
    <t>3684GP01</t>
  </si>
  <si>
    <t>6882HZ01</t>
  </si>
  <si>
    <t>6831HZ01</t>
  </si>
  <si>
    <t>7539HZ01</t>
  </si>
  <si>
    <t>1186GN01</t>
  </si>
  <si>
    <t>9457HC01</t>
  </si>
  <si>
    <t>9675HE01</t>
  </si>
  <si>
    <t>5283GN01</t>
  </si>
  <si>
    <t>2780GP01</t>
  </si>
  <si>
    <t>Marron: mutation à venir</t>
  </si>
  <si>
    <t>Bleu: investissement à venir</t>
  </si>
  <si>
    <t>A28840</t>
  </si>
  <si>
    <t>A18885</t>
  </si>
  <si>
    <t>A18886</t>
  </si>
  <si>
    <t>Limiteur</t>
  </si>
  <si>
    <t>120 km/h</t>
  </si>
  <si>
    <t>90 km/h</t>
  </si>
  <si>
    <t>100 km/h</t>
  </si>
  <si>
    <t>5016JC01</t>
  </si>
  <si>
    <t>A Faire</t>
  </si>
  <si>
    <t>JGB00844</t>
  </si>
  <si>
    <t>BZ-77520</t>
  </si>
  <si>
    <t>G28871</t>
  </si>
  <si>
    <t>3269JJ01</t>
  </si>
  <si>
    <t>6864JJ01</t>
  </si>
  <si>
    <t>6862JJ01</t>
  </si>
  <si>
    <t>6861JJ01</t>
  </si>
  <si>
    <t>6866JJ01</t>
  </si>
  <si>
    <t>6867JJ01</t>
  </si>
  <si>
    <t>6870JJ01</t>
  </si>
  <si>
    <t>7634JJ01</t>
  </si>
  <si>
    <t>3265JJ01</t>
  </si>
  <si>
    <t>3268JJ01</t>
  </si>
  <si>
    <t>3267JJ01</t>
  </si>
  <si>
    <t>3266JJ01</t>
  </si>
  <si>
    <t>Assurances</t>
  </si>
  <si>
    <t>8447GK1</t>
  </si>
  <si>
    <t>G01029</t>
  </si>
  <si>
    <t>G68841</t>
  </si>
  <si>
    <t>ITH0017539</t>
  </si>
  <si>
    <t>ITH0017540</t>
  </si>
  <si>
    <t>AG</t>
  </si>
  <si>
    <t>6843HZ01</t>
  </si>
  <si>
    <t>Beugré Alphonse</t>
  </si>
  <si>
    <t>J02119</t>
  </si>
  <si>
    <t>J02120</t>
  </si>
  <si>
    <t>VF1JSREB4KG440927</t>
  </si>
  <si>
    <t>VF631N131HD000666</t>
  </si>
  <si>
    <t>A10</t>
  </si>
  <si>
    <t>A11</t>
  </si>
  <si>
    <t>A18</t>
  </si>
  <si>
    <t>A28</t>
  </si>
  <si>
    <t>AZ0</t>
  </si>
  <si>
    <t>C00</t>
  </si>
  <si>
    <t>C01</t>
  </si>
  <si>
    <t>C08</t>
  </si>
  <si>
    <t>C40</t>
  </si>
  <si>
    <t>C69</t>
  </si>
  <si>
    <t>D00</t>
  </si>
  <si>
    <t>D01</t>
  </si>
  <si>
    <t>D20</t>
  </si>
  <si>
    <t>D31</t>
  </si>
  <si>
    <t>D38</t>
  </si>
  <si>
    <t>D41</t>
  </si>
  <si>
    <t>D60</t>
  </si>
  <si>
    <t>D61</t>
  </si>
  <si>
    <t>D91</t>
  </si>
  <si>
    <t>E00</t>
  </si>
  <si>
    <t>E01</t>
  </si>
  <si>
    <t>E09</t>
  </si>
  <si>
    <t>E10</t>
  </si>
  <si>
    <t>E12</t>
  </si>
  <si>
    <t>E18</t>
  </si>
  <si>
    <t>E31</t>
  </si>
  <si>
    <t>E38</t>
  </si>
  <si>
    <t>E41</t>
  </si>
  <si>
    <t>E50</t>
  </si>
  <si>
    <t>E51</t>
  </si>
  <si>
    <t>E59</t>
  </si>
  <si>
    <t>E70</t>
  </si>
  <si>
    <t>E80</t>
  </si>
  <si>
    <t>E81</t>
  </si>
  <si>
    <t>E88</t>
  </si>
  <si>
    <t>E90</t>
  </si>
  <si>
    <t>E91</t>
  </si>
  <si>
    <t>F00</t>
  </si>
  <si>
    <t>F10</t>
  </si>
  <si>
    <t>F11</t>
  </si>
  <si>
    <t>F19</t>
  </si>
  <si>
    <t>F21</t>
  </si>
  <si>
    <t>F51</t>
  </si>
  <si>
    <t>F58</t>
  </si>
  <si>
    <t>G01</t>
  </si>
  <si>
    <t>G11</t>
  </si>
  <si>
    <t>G21</t>
  </si>
  <si>
    <t>G28</t>
  </si>
  <si>
    <t>G30</t>
  </si>
  <si>
    <t>G31</t>
  </si>
  <si>
    <t>G38</t>
  </si>
  <si>
    <t>G40</t>
  </si>
  <si>
    <t>G41</t>
  </si>
  <si>
    <t>G57</t>
  </si>
  <si>
    <t>G68</t>
  </si>
  <si>
    <t>I18</t>
  </si>
  <si>
    <t>I20</t>
  </si>
  <si>
    <t>I21</t>
  </si>
  <si>
    <t>I29</t>
  </si>
  <si>
    <t>I39</t>
  </si>
  <si>
    <t>I41</t>
  </si>
  <si>
    <t>I50</t>
  </si>
  <si>
    <t>I60</t>
  </si>
  <si>
    <t>J00</t>
  </si>
  <si>
    <t>J01</t>
  </si>
  <si>
    <t>J02</t>
  </si>
  <si>
    <t>J08</t>
  </si>
  <si>
    <t>J10</t>
  </si>
  <si>
    <t>J18</t>
  </si>
  <si>
    <t>J20</t>
  </si>
  <si>
    <t>L11</t>
  </si>
  <si>
    <t>L31</t>
  </si>
  <si>
    <t>L40</t>
  </si>
  <si>
    <t>L41</t>
  </si>
  <si>
    <t>L61</t>
  </si>
  <si>
    <t>L71</t>
  </si>
  <si>
    <t>O20</t>
  </si>
  <si>
    <t>RENAULT DUSTER 4X4 1.5 DCI phase II Gris</t>
  </si>
  <si>
    <t>MUTH S</t>
  </si>
  <si>
    <t>MITSUBISHI PAJERO GLS 4x4 V6 ESS</t>
  </si>
  <si>
    <t>VF631N133HD000667</t>
  </si>
  <si>
    <t>monté, a régler</t>
  </si>
  <si>
    <t>2626JE01</t>
  </si>
  <si>
    <t>3BFAP428979</t>
  </si>
  <si>
    <t>ESF204170</t>
  </si>
  <si>
    <t>CAMION BENNE CARRIERE</t>
  </si>
  <si>
    <t>STATION DE CONCASSAGE</t>
  </si>
  <si>
    <t>H5A</t>
  </si>
  <si>
    <t>date fin amort</t>
  </si>
  <si>
    <t>Date de démob</t>
  </si>
  <si>
    <t>Prochain chantier</t>
  </si>
  <si>
    <t>Régime Douanier</t>
  </si>
  <si>
    <t>Compteur cumul</t>
  </si>
  <si>
    <t>ATO</t>
  </si>
  <si>
    <t>TTC</t>
  </si>
  <si>
    <t>1771JK01</t>
  </si>
  <si>
    <t>743JK01</t>
  </si>
  <si>
    <t>1246JK01</t>
  </si>
  <si>
    <t>487JK01</t>
  </si>
  <si>
    <t>1279JK01</t>
  </si>
  <si>
    <t>1281JK01</t>
  </si>
  <si>
    <t>ATTAH A</t>
  </si>
  <si>
    <t>DIENG B</t>
  </si>
  <si>
    <t>RENAULT DUSTER 4X4 1.5 DCI phase II Blanc</t>
  </si>
  <si>
    <t>RENAULT SANDERO STEPWAY 1.6 ESS phase II</t>
  </si>
  <si>
    <t>SUZUKI GRAND VITARA JLX 4X4 2.0 ESS</t>
  </si>
  <si>
    <t>RENAULT LOGAN 1.2 ESS phase II</t>
  </si>
  <si>
    <t>amorti</t>
  </si>
  <si>
    <t>fin 01/19</t>
  </si>
  <si>
    <t>101921182193</t>
  </si>
  <si>
    <t>LaMé</t>
  </si>
  <si>
    <t>Réforme</t>
  </si>
  <si>
    <t>Bd M</t>
  </si>
  <si>
    <t>APP571427</t>
  </si>
  <si>
    <t>APP571527</t>
  </si>
  <si>
    <t>APP572807</t>
  </si>
  <si>
    <t>APP572813</t>
  </si>
  <si>
    <t>SEMI-REM PORTE ENGINS - BERTOJA - SBT 60 E/20L</t>
  </si>
  <si>
    <t>G31CI4</t>
  </si>
  <si>
    <t>G31CI5</t>
  </si>
  <si>
    <t>G32</t>
  </si>
  <si>
    <t>BETONNIERE THERMIQUE</t>
  </si>
  <si>
    <t>I13</t>
  </si>
  <si>
    <t>I13CI1</t>
  </si>
  <si>
    <t>I13CI2</t>
  </si>
  <si>
    <t>G30CI3</t>
  </si>
  <si>
    <t>J09055</t>
  </si>
  <si>
    <t>J09</t>
  </si>
  <si>
    <t>101700151424</t>
  </si>
  <si>
    <t>101700151423</t>
  </si>
  <si>
    <t>101540543322</t>
  </si>
  <si>
    <t>18176501000RB800SP02001</t>
  </si>
  <si>
    <t>Type</t>
  </si>
  <si>
    <t>7FHC</t>
  </si>
  <si>
    <t>OLY00000CMMW00617</t>
  </si>
  <si>
    <t>REP00863</t>
  </si>
  <si>
    <t>D48867</t>
  </si>
  <si>
    <t>D31853</t>
  </si>
  <si>
    <t>J09054</t>
  </si>
  <si>
    <t>Arceau</t>
  </si>
  <si>
    <t>Ok</t>
  </si>
  <si>
    <t>NA</t>
  </si>
  <si>
    <t>6531JL01</t>
  </si>
  <si>
    <t>6524JL01</t>
  </si>
  <si>
    <t>CA600475</t>
  </si>
  <si>
    <t>VF631N131JD000950</t>
  </si>
  <si>
    <t>8057JK01</t>
  </si>
  <si>
    <t>8056JK01</t>
  </si>
  <si>
    <t>8059JK01</t>
  </si>
  <si>
    <t>8061JK01</t>
  </si>
  <si>
    <t>8069JK01</t>
  </si>
  <si>
    <t>D48868</t>
  </si>
  <si>
    <t>BJ602099</t>
  </si>
  <si>
    <t>8062JK01</t>
  </si>
  <si>
    <t>CATCB24BL46700530</t>
  </si>
  <si>
    <t>MAN00000K00774914</t>
  </si>
  <si>
    <t>E90032</t>
  </si>
  <si>
    <t>02.BS.0106</t>
  </si>
  <si>
    <t>D38889</t>
  </si>
  <si>
    <t>G38971</t>
  </si>
  <si>
    <t>D48869</t>
  </si>
  <si>
    <t>D48</t>
  </si>
  <si>
    <t>D38890</t>
  </si>
  <si>
    <t>D38891</t>
  </si>
  <si>
    <t>LCW10011</t>
  </si>
  <si>
    <t>FLC00158</t>
  </si>
  <si>
    <t>G38963</t>
  </si>
  <si>
    <t>E88918</t>
  </si>
  <si>
    <t>SUV 4X4 - RAV 4</t>
  </si>
  <si>
    <t>E19027</t>
  </si>
  <si>
    <t>E19028</t>
  </si>
  <si>
    <t>E19029</t>
  </si>
  <si>
    <t>E19030</t>
  </si>
  <si>
    <t>E19031</t>
  </si>
  <si>
    <t>E19032</t>
  </si>
  <si>
    <t>E19033</t>
  </si>
  <si>
    <t>E19034</t>
  </si>
  <si>
    <t>E19092</t>
  </si>
  <si>
    <t>E19093</t>
  </si>
  <si>
    <t>E19094</t>
  </si>
  <si>
    <t>E19095</t>
  </si>
  <si>
    <t>E09064</t>
  </si>
  <si>
    <t>VF631K134JD000083</t>
  </si>
  <si>
    <t>LBH05055</t>
  </si>
  <si>
    <t>VF633AVB000103659</t>
  </si>
  <si>
    <t>F-P18610</t>
  </si>
  <si>
    <t>LXJ01103</t>
  </si>
  <si>
    <t>LXJ01105</t>
  </si>
  <si>
    <t>GOUY</t>
  </si>
  <si>
    <t>D38895</t>
  </si>
  <si>
    <t>E09065</t>
  </si>
  <si>
    <t>E09066</t>
  </si>
  <si>
    <t>E09038</t>
  </si>
  <si>
    <t>E09039</t>
  </si>
  <si>
    <t>E09040</t>
  </si>
  <si>
    <t>E09041</t>
  </si>
  <si>
    <t>E09042</t>
  </si>
  <si>
    <t>E09043</t>
  </si>
  <si>
    <t>E09044</t>
  </si>
  <si>
    <t>E70008</t>
  </si>
  <si>
    <t>947JL01</t>
  </si>
  <si>
    <t>546JL01</t>
  </si>
  <si>
    <t>540JL01</t>
  </si>
  <si>
    <t>542JL01</t>
  </si>
  <si>
    <t>7105JL01</t>
  </si>
  <si>
    <t>7103JL01</t>
  </si>
  <si>
    <t>VF631E136KD001593</t>
  </si>
  <si>
    <t>ZA9SBT60E19A13395</t>
  </si>
  <si>
    <t>VF634DPA8FD015606</t>
  </si>
  <si>
    <t>VF634DPA1FD015611</t>
  </si>
  <si>
    <t>VF15SRLP4JA295536</t>
  </si>
  <si>
    <t>M5K01590</t>
  </si>
  <si>
    <t>TRACTEUR AGRICOLE - JOHN DEERE - 5065</t>
  </si>
  <si>
    <t>1PY5065ECJE024559</t>
  </si>
  <si>
    <t>L28CI1</t>
  </si>
  <si>
    <t>L28</t>
  </si>
  <si>
    <t>L40CI2</t>
  </si>
  <si>
    <t>L14CI1</t>
  </si>
  <si>
    <t>RIVETEUSE</t>
  </si>
  <si>
    <t>L14</t>
  </si>
  <si>
    <t>LXX10425</t>
  </si>
  <si>
    <t>D48870</t>
  </si>
  <si>
    <t>GOMEZ Mario</t>
  </si>
  <si>
    <t>ZIHURAWE</t>
  </si>
  <si>
    <t>BADIEL</t>
  </si>
  <si>
    <t>E50051</t>
  </si>
  <si>
    <t>E50052</t>
  </si>
  <si>
    <t>E50063</t>
  </si>
  <si>
    <t>E51851</t>
  </si>
  <si>
    <t>VF634DPA000013358</t>
  </si>
  <si>
    <t>VF634DPA000013359</t>
  </si>
  <si>
    <t>VF631N138JD001044</t>
  </si>
  <si>
    <t>VF634DPA000011818</t>
  </si>
  <si>
    <t>80 km/h</t>
  </si>
  <si>
    <t>FRANCIOLI</t>
  </si>
  <si>
    <t>VF3M45GYVJS477527</t>
  </si>
  <si>
    <t>EC502577</t>
  </si>
  <si>
    <t>FREITAS</t>
  </si>
  <si>
    <t>PERALDI</t>
  </si>
  <si>
    <t>CANO</t>
  </si>
  <si>
    <t>OMAR</t>
  </si>
  <si>
    <t>ALVES</t>
  </si>
  <si>
    <t>ONIFADE</t>
  </si>
  <si>
    <t>DUMAS</t>
  </si>
  <si>
    <t>FERET</t>
  </si>
  <si>
    <t>WAGANE</t>
  </si>
  <si>
    <t>ZOUWINABA</t>
  </si>
  <si>
    <t>LASSINA</t>
  </si>
  <si>
    <t>SALLIA</t>
  </si>
  <si>
    <t>HS</t>
  </si>
  <si>
    <t>RENAULT SANDERO</t>
  </si>
  <si>
    <t>SYLLA</t>
  </si>
  <si>
    <t>KOFFI G Charles</t>
  </si>
  <si>
    <t>TOYOTA HILUX 4x4 DC LAN125L</t>
  </si>
  <si>
    <t>YEO YACOUBA</t>
  </si>
  <si>
    <t>SPICY</t>
  </si>
  <si>
    <t>SOSSAH</t>
  </si>
  <si>
    <t>BAKAYOKO A</t>
  </si>
  <si>
    <t>GAKOU I</t>
  </si>
  <si>
    <t>SOUIF J</t>
  </si>
  <si>
    <t>GUETTY C</t>
  </si>
  <si>
    <t>KONATE D</t>
  </si>
  <si>
    <t>RUFFIN</t>
  </si>
  <si>
    <t>SOUROU</t>
  </si>
  <si>
    <t>MITSUBISHI PAJERO SPORT GLX 4x4 2.5 DID</t>
  </si>
  <si>
    <t>NOVION L</t>
  </si>
  <si>
    <t>ADEN</t>
  </si>
  <si>
    <t>COUDRAY</t>
  </si>
  <si>
    <t>DJORET</t>
  </si>
  <si>
    <t>DELOUPY</t>
  </si>
  <si>
    <t>KPOKA</t>
  </si>
  <si>
    <t>DETSANGOU</t>
  </si>
  <si>
    <t>E09077</t>
  </si>
  <si>
    <t>E09071</t>
  </si>
  <si>
    <t>DA8816</t>
  </si>
  <si>
    <t>GODET CRIBLEUR</t>
  </si>
  <si>
    <t>DA</t>
  </si>
  <si>
    <t>B7L00234</t>
  </si>
  <si>
    <t>ATE</t>
  </si>
  <si>
    <t>S98801</t>
  </si>
  <si>
    <t>DECOUPEUSE - CHANFREINEUSE</t>
  </si>
  <si>
    <t>S98</t>
  </si>
  <si>
    <t>C69921</t>
  </si>
  <si>
    <t>G38981</t>
  </si>
  <si>
    <t>E90018</t>
  </si>
  <si>
    <t>E09078</t>
  </si>
  <si>
    <t>E19</t>
  </si>
  <si>
    <t>KONAN Koffi constant</t>
  </si>
  <si>
    <t>YEO Bakary</t>
  </si>
  <si>
    <t>AKE jonas</t>
  </si>
  <si>
    <t>2455JP01</t>
  </si>
  <si>
    <t>2534JP01</t>
  </si>
  <si>
    <t>2536JP01</t>
  </si>
  <si>
    <t>2511JP01</t>
  </si>
  <si>
    <t>2510JP01</t>
  </si>
  <si>
    <t>VF1HJD202KA540000</t>
  </si>
  <si>
    <t>VF1HJD202KA510110</t>
  </si>
  <si>
    <t>VF1HJD200KA818215</t>
  </si>
  <si>
    <t>VF1HJD206KA539996</t>
  </si>
  <si>
    <t>VF1HJD204KA510108</t>
  </si>
  <si>
    <t>VF1HJD204KA539995</t>
  </si>
  <si>
    <t>2506JP01</t>
  </si>
  <si>
    <t>VF1HJD201KA540005</t>
  </si>
  <si>
    <t>2507JP01</t>
  </si>
  <si>
    <t>2827JH01</t>
  </si>
  <si>
    <t>3060JJ01</t>
  </si>
  <si>
    <t>2389JP01</t>
  </si>
  <si>
    <t>MMBJNKL30JH067914</t>
  </si>
  <si>
    <t>MMBJNKL30JH067927</t>
  </si>
  <si>
    <t>MMBJNKL30JH067936</t>
  </si>
  <si>
    <t>MMBJNKL30JH067946</t>
  </si>
  <si>
    <t>VF15SRLP4KA877828</t>
  </si>
  <si>
    <t>CLNA03501</t>
  </si>
  <si>
    <t>VF634DPA1GD015674</t>
  </si>
  <si>
    <t>I20011</t>
  </si>
  <si>
    <t>867-0296</t>
  </si>
  <si>
    <t>SK11217</t>
  </si>
  <si>
    <t>SK11282</t>
  </si>
  <si>
    <t>F38825</t>
  </si>
  <si>
    <t>F38</t>
  </si>
  <si>
    <t>HT/HD</t>
  </si>
  <si>
    <t>TRACTEUR OCCASION</t>
  </si>
  <si>
    <t>J09066</t>
  </si>
  <si>
    <t>J09067</t>
  </si>
  <si>
    <t>NETHODJI</t>
  </si>
  <si>
    <t>DUSTER</t>
  </si>
  <si>
    <t>VR7EXNFJEKJ651520</t>
  </si>
  <si>
    <t>VR7EXNFJEKJ654125</t>
  </si>
  <si>
    <t>VR7EXNFJEKJ658828</t>
  </si>
  <si>
    <t>VR7EXNFJEKJ671108</t>
  </si>
  <si>
    <t>VR7EXNFJEKJ671109</t>
  </si>
  <si>
    <t>7221JP01</t>
  </si>
  <si>
    <t>TAPSOBA</t>
  </si>
  <si>
    <t>Chef labo/topo</t>
  </si>
  <si>
    <t>TOYOTA COROLLA - FORMATION</t>
  </si>
  <si>
    <t>JTMZD9EV30J185459</t>
  </si>
  <si>
    <t>AHTBF0JE100012968</t>
  </si>
  <si>
    <t>7305JP01</t>
  </si>
  <si>
    <t>BIBANG</t>
  </si>
  <si>
    <t>COMPAORE</t>
  </si>
  <si>
    <t>VF15SRLP4LA981797</t>
  </si>
  <si>
    <t>29141-530</t>
  </si>
  <si>
    <t>MMBGNKS30KH011207</t>
  </si>
  <si>
    <t>GODET</t>
  </si>
  <si>
    <t>D31913-1</t>
  </si>
  <si>
    <t>D31913-2</t>
  </si>
  <si>
    <t>D31853-1</t>
  </si>
  <si>
    <t>7618JP01</t>
  </si>
  <si>
    <t>9915JP01</t>
  </si>
  <si>
    <t>57JR01</t>
  </si>
  <si>
    <t>794JR01</t>
  </si>
  <si>
    <t>9912JP01</t>
  </si>
  <si>
    <t>E59073</t>
  </si>
  <si>
    <t>VF631N132KD001591</t>
  </si>
  <si>
    <t>G2</t>
  </si>
  <si>
    <t>G3</t>
  </si>
  <si>
    <t>G4</t>
  </si>
  <si>
    <t>G1</t>
  </si>
  <si>
    <t>JGB00396</t>
  </si>
  <si>
    <t>50 km/h</t>
  </si>
  <si>
    <t>VR7EXNFJEKJ651518</t>
  </si>
  <si>
    <t>VR7EXNFJEKJ651519</t>
  </si>
  <si>
    <t>VR7EXNFJEKJ648657</t>
  </si>
  <si>
    <t>AC4502559</t>
  </si>
  <si>
    <t>NL9YHLB45KH004717</t>
  </si>
  <si>
    <t>861880421788</t>
  </si>
  <si>
    <t>861880421840</t>
  </si>
  <si>
    <t>101921182202</t>
  </si>
  <si>
    <t>708301163-3681</t>
  </si>
  <si>
    <t>P1180301051</t>
  </si>
  <si>
    <t>861880551281</t>
  </si>
  <si>
    <t>PALAN</t>
  </si>
  <si>
    <t>TXK CORP - CB-B - C18100259</t>
  </si>
  <si>
    <t>242JS01</t>
  </si>
  <si>
    <t>MAN00000L00775925</t>
  </si>
  <si>
    <t>R9J00361</t>
  </si>
  <si>
    <t>D38865</t>
  </si>
  <si>
    <t>554JS01</t>
  </si>
  <si>
    <t>453JS01</t>
  </si>
  <si>
    <t>81JS01</t>
  </si>
  <si>
    <t>2217JR01</t>
  </si>
  <si>
    <t>D91161</t>
  </si>
  <si>
    <t>2439JR01</t>
  </si>
  <si>
    <t>JD05103413</t>
  </si>
  <si>
    <t>3775JS01</t>
  </si>
  <si>
    <t>4089JS01</t>
  </si>
  <si>
    <t>3165JS01</t>
  </si>
  <si>
    <t>2957JS01</t>
  </si>
  <si>
    <t>4088JS01</t>
  </si>
  <si>
    <t>4090JS01</t>
  </si>
  <si>
    <t>6075GZ01</t>
  </si>
  <si>
    <t>5478GZ01</t>
  </si>
  <si>
    <t>I80001</t>
  </si>
  <si>
    <t>I80</t>
  </si>
  <si>
    <t>E99033</t>
  </si>
  <si>
    <t>C09004</t>
  </si>
  <si>
    <t>L38983</t>
  </si>
  <si>
    <t>L38</t>
  </si>
  <si>
    <t>3774JS01</t>
  </si>
  <si>
    <t>3768JS01</t>
  </si>
  <si>
    <t>FEUWO L</t>
  </si>
  <si>
    <t>A18902</t>
  </si>
  <si>
    <t>A18903</t>
  </si>
  <si>
    <t>ITH0016513</t>
  </si>
  <si>
    <t>ITH0016514</t>
  </si>
  <si>
    <t>E09086</t>
  </si>
  <si>
    <t>VF1HJD201LA040458</t>
  </si>
  <si>
    <t>E09094</t>
  </si>
  <si>
    <t>E09095</t>
  </si>
  <si>
    <t>E09096</t>
  </si>
  <si>
    <t>VF1HJD201LA062508</t>
  </si>
  <si>
    <t>VF1HJD200LA062516</t>
  </si>
  <si>
    <t>VF1HJD207LA062545</t>
  </si>
  <si>
    <t>VF15SRLP4LA062828</t>
  </si>
  <si>
    <t>E09097</t>
  </si>
  <si>
    <t>JTAH10121</t>
  </si>
  <si>
    <t>1213JS01</t>
  </si>
  <si>
    <t>1214JS01</t>
  </si>
  <si>
    <t>MOTO01</t>
  </si>
  <si>
    <t>M0</t>
  </si>
  <si>
    <t>OK</t>
  </si>
  <si>
    <t>XLTI4317-1B40</t>
  </si>
  <si>
    <t>DS31719015</t>
  </si>
  <si>
    <t>DS3-17TS8</t>
  </si>
  <si>
    <t>VF631K134KD000148</t>
  </si>
  <si>
    <t>M31G</t>
  </si>
  <si>
    <t>WKAO50000K7107201</t>
  </si>
  <si>
    <t>A19008-2</t>
  </si>
  <si>
    <t>TABMC190CJ5332011</t>
  </si>
  <si>
    <t>MF6712</t>
  </si>
  <si>
    <t>T4074</t>
  </si>
  <si>
    <t>DE18E3</t>
  </si>
  <si>
    <t>N600</t>
  </si>
  <si>
    <t>TOMNAN</t>
  </si>
  <si>
    <t>1204JS01</t>
  </si>
  <si>
    <t>1256JS01</t>
  </si>
  <si>
    <t>E09102</t>
  </si>
  <si>
    <t>JTMZ43FV80D501419</t>
  </si>
  <si>
    <t>POMPE</t>
  </si>
  <si>
    <t>WD 20 essence</t>
  </si>
  <si>
    <t>HL80CLE</t>
  </si>
  <si>
    <t>COMPRESSEUR</t>
  </si>
  <si>
    <t>100 L 220 V</t>
  </si>
  <si>
    <t xml:space="preserve">BENNE A BASCULEMENT </t>
  </si>
  <si>
    <t>1000L</t>
  </si>
  <si>
    <t>PILONNEUSE</t>
  </si>
  <si>
    <t>BT 80 D</t>
  </si>
  <si>
    <t>PLAQUE VIBRANTE</t>
  </si>
  <si>
    <t>BP 20/50 D</t>
  </si>
  <si>
    <t>CS1 P13</t>
  </si>
  <si>
    <t>essence</t>
  </si>
  <si>
    <t>BENNE A BETON</t>
  </si>
  <si>
    <t>1 500 L</t>
  </si>
  <si>
    <t>COFFRAGE</t>
  </si>
  <si>
    <t>CCRV</t>
  </si>
  <si>
    <t>B8000 EVO II</t>
  </si>
  <si>
    <t>CINTREUSE</t>
  </si>
  <si>
    <t>GROUPE ELEC</t>
  </si>
  <si>
    <t>DX 6000 TEXL</t>
  </si>
  <si>
    <t>GROUPE DE SOUDURE</t>
  </si>
  <si>
    <t>WELDARC 300 TE XL essence</t>
  </si>
  <si>
    <t xml:space="preserve">WELDARC 300 TDE XL </t>
  </si>
  <si>
    <t xml:space="preserve"> VX 180/4 DE XL EW 200 DC </t>
  </si>
  <si>
    <t>42 S</t>
  </si>
  <si>
    <t>NETTOYEUR HP</t>
  </si>
  <si>
    <t>ESSENCE</t>
  </si>
  <si>
    <t>PRO</t>
  </si>
  <si>
    <t>10/25-4S HD 380V</t>
  </si>
  <si>
    <t>SE 200</t>
  </si>
  <si>
    <t>205 LITRES</t>
  </si>
  <si>
    <t>GBY05996</t>
  </si>
  <si>
    <t>GBY06001</t>
  </si>
  <si>
    <t>EC</t>
  </si>
  <si>
    <t>F58856</t>
  </si>
  <si>
    <t>F58864</t>
  </si>
  <si>
    <t>F68834</t>
  </si>
  <si>
    <t>F68835</t>
  </si>
  <si>
    <t>F68</t>
  </si>
  <si>
    <t>POMPE A VIDE ET VENTOUSE</t>
  </si>
  <si>
    <t>2611JT01</t>
  </si>
  <si>
    <t>669JT01</t>
  </si>
  <si>
    <t>661JT01</t>
  </si>
  <si>
    <t>2609JT01</t>
  </si>
  <si>
    <t>2610JT01</t>
  </si>
  <si>
    <t>6 mois/1 an</t>
  </si>
  <si>
    <t>G38994</t>
  </si>
  <si>
    <t>101720133369</t>
  </si>
  <si>
    <t>G38995</t>
  </si>
  <si>
    <t>101720133370</t>
  </si>
  <si>
    <t>S99CI1</t>
  </si>
  <si>
    <t>E01CI1</t>
  </si>
  <si>
    <t>S99</t>
  </si>
  <si>
    <t>E09099</t>
  </si>
  <si>
    <t>MMBGYKS30KH019438</t>
  </si>
  <si>
    <t>17159WWCI01</t>
  </si>
  <si>
    <t>MMBJNKL30LH008702</t>
  </si>
  <si>
    <t>E19168</t>
  </si>
  <si>
    <t>E09098</t>
  </si>
  <si>
    <t>907JU01</t>
  </si>
  <si>
    <t>1386JU01</t>
  </si>
  <si>
    <t>MMBGYKS30KH019526</t>
  </si>
  <si>
    <t>19-1007</t>
  </si>
  <si>
    <t>CT40-SC36</t>
  </si>
  <si>
    <t>MAN00000H01032709</t>
  </si>
  <si>
    <t>690JU01</t>
  </si>
  <si>
    <t>476JU01</t>
  </si>
  <si>
    <t>683JU01</t>
  </si>
  <si>
    <t>1265JU01</t>
  </si>
  <si>
    <t>1478JU01</t>
  </si>
  <si>
    <t>DESIR</t>
  </si>
  <si>
    <t>VAN LAN DE GHEM</t>
  </si>
  <si>
    <t>SBT60E/20L</t>
  </si>
  <si>
    <t>684JU01</t>
  </si>
  <si>
    <t>SIE J.A.</t>
  </si>
  <si>
    <t>YOUSSOUF</t>
  </si>
  <si>
    <t>S105</t>
  </si>
  <si>
    <t>NACELLE ARTICULEE SUR ROUES 34 m - GENIE S105</t>
  </si>
  <si>
    <t>S10513D-429</t>
  </si>
  <si>
    <t>CAN 07-09/20</t>
  </si>
  <si>
    <t>CAN 05/20</t>
  </si>
  <si>
    <t>Dispo</t>
  </si>
  <si>
    <t>H5A044</t>
  </si>
  <si>
    <t>CISSE</t>
  </si>
  <si>
    <t>SERGE</t>
  </si>
  <si>
    <t>E19154</t>
  </si>
  <si>
    <t>E59122</t>
  </si>
  <si>
    <t>E59123</t>
  </si>
  <si>
    <t>DRABO</t>
  </si>
  <si>
    <t>HOUNDETON</t>
  </si>
  <si>
    <t>KODOU</t>
  </si>
  <si>
    <t>TIE BI</t>
  </si>
  <si>
    <t>THIO</t>
  </si>
  <si>
    <t>TANO F</t>
  </si>
  <si>
    <t>GUILLOT C</t>
  </si>
  <si>
    <t>DIALLO T</t>
  </si>
  <si>
    <t>TSIRY</t>
  </si>
  <si>
    <t>APARICIO</t>
  </si>
  <si>
    <t>GUEYE D</t>
  </si>
  <si>
    <t>1216JS01</t>
  </si>
  <si>
    <t>E91411</t>
  </si>
  <si>
    <t>G51041</t>
  </si>
  <si>
    <t>F21070</t>
  </si>
  <si>
    <t>E78883</t>
  </si>
  <si>
    <t>F28843</t>
  </si>
  <si>
    <t>1250AJP</t>
  </si>
  <si>
    <t>0300254169</t>
  </si>
  <si>
    <t>MELAINE</t>
  </si>
  <si>
    <t>SP15</t>
  </si>
  <si>
    <t>12SP,0069</t>
  </si>
  <si>
    <t>G52</t>
  </si>
  <si>
    <t>MAN00000T01029779</t>
  </si>
  <si>
    <t>MT-X 1440 A E3</t>
  </si>
  <si>
    <t>2664JV01</t>
  </si>
  <si>
    <t>N° Parc</t>
  </si>
  <si>
    <t>RENE Oumar</t>
  </si>
  <si>
    <t>BEBANE</t>
  </si>
  <si>
    <t>5370JV01</t>
  </si>
  <si>
    <t>COMPRESSEUR - ATLAS COPCO - XAS 97 DD</t>
  </si>
  <si>
    <t>COMPRESSEUR - ATLAS COPCO - XAS 67 DD</t>
  </si>
  <si>
    <t>COMPRESSEUR - ATLAS COPCO - XAS 88 DD</t>
  </si>
  <si>
    <t xml:space="preserve">COMPRESSEUR D ATELIER - AXAIR - AB 100L 220V </t>
  </si>
  <si>
    <t>BRISE ROCHE HYDR - MONTABERT - SC42</t>
  </si>
  <si>
    <t xml:space="preserve">MARTEAU - TECMAN - </t>
  </si>
  <si>
    <t>TRACTOPELLE - CAT - 426F2 4X4</t>
  </si>
  <si>
    <t>TRACTOPELLE - CAT - 428E 4X4</t>
  </si>
  <si>
    <t>PELLE HYDRAULIQUE - CAT - M317D2</t>
  </si>
  <si>
    <t>PELLE HYDRAULIQUE - CAT - 336DL ME</t>
  </si>
  <si>
    <t>PELLE HYDRAULIQUE - CAT - 349DL FG ME</t>
  </si>
  <si>
    <t>PELLE HYDRAULIQUE - CAT - 329DL</t>
  </si>
  <si>
    <t>PELLE HYDRAULIQUE - CAT - 349D2L ME</t>
  </si>
  <si>
    <t>PELLE HYDRAULIQUE - CAT - 330D2L ME</t>
  </si>
  <si>
    <t>PELLE HYDRAULIQUE - CAT - 326D2L</t>
  </si>
  <si>
    <t>PELLE HYDRAULIQUE - CAT - 323D2L</t>
  </si>
  <si>
    <t>CHARGEUSE - CAT - 966H</t>
  </si>
  <si>
    <t>CHARGEUSE - CAT - 938K</t>
  </si>
  <si>
    <t>CHARGEUSE - CAT - 966H - CARRIERE</t>
  </si>
  <si>
    <t>CHARGEUSE - CAT - 950GC</t>
  </si>
  <si>
    <t>CHARGEUSE - CAT - 950L</t>
  </si>
  <si>
    <t>BULL - CAT - D7R</t>
  </si>
  <si>
    <t>NIVELEUSE - CAT - 14M</t>
  </si>
  <si>
    <t>NIVELEUSE - CAT - 140K</t>
  </si>
  <si>
    <t>RENAULT DUSTER 4X2 1.6 ESS phase I</t>
  </si>
  <si>
    <t>CAMION BENNE - RT - KERAX 300 4X2 8M3</t>
  </si>
  <si>
    <t>CAMION BENNE - RT - KERAX 380.34 DXI 6X4 14M3</t>
  </si>
  <si>
    <t>CAMION PLATEAU - RT - K 380.34 DXI 6X4 (+ GRUE HIAB 288 CLX)</t>
  </si>
  <si>
    <t>CAMION BENNE - RT - K 380.34 DXI 6X4 14M3</t>
  </si>
  <si>
    <t>CAMION PLATEAU - RT - KERAX 350 6X4 (+ GRUE HIAB 288)</t>
  </si>
  <si>
    <t>CAMION PLATEAU - RT - KERAX 380.34 DXI 6X4 (+ GRUE HIAB 288 CLX)</t>
  </si>
  <si>
    <t>CAMION BENNE CARRIERE - RT - K 380 .34 DXI 6X4</t>
  </si>
  <si>
    <t>TRACTEUR - RT - K 440.34 DXI 6X4</t>
  </si>
  <si>
    <t>TRACTEUR - RT - KERAX 440.34 DXI 6X4</t>
  </si>
  <si>
    <t>SEMI-REM PLATEAU - FRUEHAUF - PTE CONTAINERS 34T</t>
  </si>
  <si>
    <t>SEMI-REM PLATEAU - DOLL -</t>
  </si>
  <si>
    <t>CAMION MALAXEUR - RT - KERAX 380.34 DXI 6X4</t>
  </si>
  <si>
    <t>CAMION RAVITAILLEUR - RT - K 330.21 DXI 4X4</t>
  </si>
  <si>
    <t>CAMION CITERNE - RT - K 380.34 DXI 6X4</t>
  </si>
  <si>
    <t>CAMION ENTRETIEN MIXTE - RT - KERAX 300.19 4X4</t>
  </si>
  <si>
    <t>CAMION REPANDEUR - RT - KERAX 330.21 DXI 4X4 (+ G40001)</t>
  </si>
  <si>
    <t>CAMION ENTRETIEN MIXTE - RT - KERAX 330.21 DXI 4X4</t>
  </si>
  <si>
    <t>CAMION REPANDEUR - RT - KERAX 330.21 DXI 4X4 (+ G41122)</t>
  </si>
  <si>
    <t>CAMION CITERNE A GASOIL - RT - KERAX 380.34 DXI 6X6 16M3</t>
  </si>
  <si>
    <t>CAMION CITERNE A EAU - RT - KERAX 380.34 DXI 6X6 20M3</t>
  </si>
  <si>
    <t>GRUE GTMR - POTAIN - 386B 102TM - MAX8</t>
  </si>
  <si>
    <t>GRUE GTMR - POTAIN - 386B</t>
  </si>
  <si>
    <t>CAGE DE TELESCOPAGE - POTAIN -</t>
  </si>
  <si>
    <t>BENNE A BASCULEMENT - SECATOL - 1000L</t>
  </si>
  <si>
    <t>GRUE AUTOMOTRICE - TEREX - A600</t>
  </si>
  <si>
    <t>GRUE AUTOMOTRICE - TEREX - QUADSTAR 1075</t>
  </si>
  <si>
    <t>GRUE AUTOMOTRICE - LOCATELLI -  GRIL70.65</t>
  </si>
  <si>
    <t>GRUE - KOBELCO - CKS2500</t>
  </si>
  <si>
    <t>RECYCLEUSE A FROID - CAT - RM500 + kit emulsion</t>
  </si>
  <si>
    <t>EPANDEUR CIMENT - STREUMASTER - SW10 TC</t>
  </si>
  <si>
    <t>FINISSEUR - VOLVO - ABG TITAN P7820</t>
  </si>
  <si>
    <t>FINISSEUR - VOLVO - ABG TITAN P7820C</t>
  </si>
  <si>
    <t>POSTE D'ENROBAGE - ERMONT - TSM17</t>
  </si>
  <si>
    <t>ROULEAU VIBRANT - BOMAG - BW 75 H PV2-0,93T</t>
  </si>
  <si>
    <t>COMPACTEUR TANDEM - BOMAG - BW120 AD-5</t>
  </si>
  <si>
    <t>COMPACTEUR TANDEM - CAT - CB24</t>
  </si>
  <si>
    <t>PILONNEUSE - BOMAG - BT 80D</t>
  </si>
  <si>
    <t>COMPACTEUR A PNEUS - CAT - PS300</t>
  </si>
  <si>
    <t>COMPACTEUR MIXTE - DYNAPAC - CA 602D</t>
  </si>
  <si>
    <t>COMPACTEUR MIXTE - DYNAPAC - CA 5500D</t>
  </si>
  <si>
    <t>COMPACTEUR - ATLAS COPCO - CA 5500D</t>
  </si>
  <si>
    <t>PLAQUE VIBRANTE - BOMAG - BP20/50D</t>
  </si>
  <si>
    <t>COMPACTEUR TANDEM - BOMAG - BW161 AD50</t>
  </si>
  <si>
    <t>COMPACTEUR TANDEM - BOMAG - BW120 AD5</t>
  </si>
  <si>
    <t>COMPACTEUR A PNEUS - CAT - CW34</t>
  </si>
  <si>
    <t>MACHINE A COFFRAGE GLISSANT - WIRTGEN - SP15</t>
  </si>
  <si>
    <t>SCIE A SOL  -NORTON - CS1 P13 essence</t>
  </si>
  <si>
    <t>TRACTEUR AGRICOLE - MASSEY FERGUSON - 6712 (120cv)</t>
  </si>
  <si>
    <t>AUTOBETONNIERE - FIORI - DB 260 2,5 M3</t>
  </si>
  <si>
    <t>BENNE A BETON - SECATOL - 1500L</t>
  </si>
  <si>
    <t>LOT DE COFFRAGE - OUTINORD - CCRV</t>
  </si>
  <si>
    <t>LOT DE COFFRAGE - OUTINORD -  B8000 EVO II</t>
  </si>
  <si>
    <t>GROUPE ELEC - SDMO - DX 6000 TE XL diesel</t>
  </si>
  <si>
    <t>GROUPE ELEC. - CAT - 3406 OPEN 320 KVA EN CT 20'</t>
  </si>
  <si>
    <t>GROUPE ELEC. - OLYMPIAN - INSO GEP 33.3-30 KVA</t>
  </si>
  <si>
    <t>GROUPE ELEC. - CAT - C15 OPEN 455 KVA EN CT 20'</t>
  </si>
  <si>
    <t>GROUPE ELEC. - CUMMINS - INSO C0033D5</t>
  </si>
  <si>
    <t>GROUPE ELEC. - CUMMINS - INSO C0066D5</t>
  </si>
  <si>
    <t>GROUPE ELEC. - CAT - INSO C15  500 KVA</t>
  </si>
  <si>
    <t>MAT D ECLAIRAGE - ATLAS COPCO - H4 S</t>
  </si>
  <si>
    <t>GROUPE SOUDURE AUTONOME - LINCOLN - BIG RED 500 500A</t>
  </si>
  <si>
    <t>GROUPE SOUDURE ELECTRIQUE - LINCOLN - 635S</t>
  </si>
  <si>
    <t>GROUPE SOUDURE - SDMO - WELDARC 300 TE XL essence</t>
  </si>
  <si>
    <t>GROUPE SOUDURE - SDMO - WELDARC 300 TDE XL diesel</t>
  </si>
  <si>
    <t>GROUPE SOUDURE - SDMO - VX 180/4 DE XL EW 200 DC diesel</t>
  </si>
  <si>
    <t>CISAILLE - PEDDINGHAUS - 45H</t>
  </si>
  <si>
    <t>CINTREUSE - PEDINGHAUS - 42S</t>
  </si>
  <si>
    <t>NETTOYEUR HP - KARCHER - PRO 10/25-4S HD 380V</t>
  </si>
  <si>
    <t>SABLEUSE - ACF - SE 200  205 LITRES</t>
  </si>
  <si>
    <t>PONT BASCULE - PRECIA MOLEN - 70 T</t>
  </si>
  <si>
    <t>UTILISATEUR</t>
  </si>
  <si>
    <t>MOTOPOMPE - HONDA - WD 20</t>
  </si>
  <si>
    <t>MOTOPOMPE - AIRMEC - HP6 HL80CLE diesel</t>
  </si>
  <si>
    <t>MARQUE</t>
  </si>
  <si>
    <t>TYPE</t>
  </si>
  <si>
    <t>MODEL</t>
  </si>
  <si>
    <t>HONDA</t>
  </si>
  <si>
    <t>AIRMEC</t>
  </si>
  <si>
    <t>CPI</t>
  </si>
  <si>
    <t>URACA</t>
  </si>
  <si>
    <t>ATLAS COPCO</t>
  </si>
  <si>
    <t>KAESER</t>
  </si>
  <si>
    <t>AXAIR</t>
  </si>
  <si>
    <t>MONTABERT</t>
  </si>
  <si>
    <t>TECMAN</t>
  </si>
  <si>
    <t>CAT</t>
  </si>
  <si>
    <t>VARISCO</t>
  </si>
  <si>
    <t>POMPE D EPREUVE</t>
  </si>
  <si>
    <t xml:space="preserve"> RF 702 D/50 40.6L/MN</t>
  </si>
  <si>
    <t>P492</t>
  </si>
  <si>
    <t>P200</t>
  </si>
  <si>
    <t xml:space="preserve"> JS 4-159 G10</t>
  </si>
  <si>
    <t>JS 4-159 G10</t>
  </si>
  <si>
    <t>MC40</t>
  </si>
  <si>
    <t>XAS 67 DD</t>
  </si>
  <si>
    <t>XAS 97 DD</t>
  </si>
  <si>
    <t xml:space="preserve"> XAS 88 DD </t>
  </si>
  <si>
    <t>M 31 G</t>
  </si>
  <si>
    <t>SC 42</t>
  </si>
  <si>
    <t>TRACTOPELLE</t>
  </si>
  <si>
    <t>426 F2</t>
  </si>
  <si>
    <t>428 E</t>
  </si>
  <si>
    <t>428 F</t>
  </si>
  <si>
    <t>PELLE S/PNEU</t>
  </si>
  <si>
    <t>M 317 D2</t>
  </si>
  <si>
    <t>PELLE S/CHENILLE</t>
  </si>
  <si>
    <t>336 DL ME</t>
  </si>
  <si>
    <t>349 DL FG ME</t>
  </si>
  <si>
    <t>329 DL</t>
  </si>
  <si>
    <t>349 D2L ME</t>
  </si>
  <si>
    <t>330 D2L ME</t>
  </si>
  <si>
    <t>326 D2L</t>
  </si>
  <si>
    <t>323 D2L</t>
  </si>
  <si>
    <t>CHARGEUSE</t>
  </si>
  <si>
    <t>966 H</t>
  </si>
  <si>
    <t>938 K</t>
  </si>
  <si>
    <t>950 GC</t>
  </si>
  <si>
    <t>950 L</t>
  </si>
  <si>
    <t>BULL</t>
  </si>
  <si>
    <t>D 7 R</t>
  </si>
  <si>
    <t>NIVELEUSE</t>
  </si>
  <si>
    <t>14 M</t>
  </si>
  <si>
    <t>140 K</t>
  </si>
  <si>
    <t>RENAULT DUSTER 4X4 1.5 DCI phase II Bleu</t>
  </si>
  <si>
    <t>RENAULT</t>
  </si>
  <si>
    <t>LOGAN</t>
  </si>
  <si>
    <t>1.2 ESS phase II</t>
  </si>
  <si>
    <t>TOYOTA</t>
  </si>
  <si>
    <t>RAV 4</t>
  </si>
  <si>
    <t>SANDERO</t>
  </si>
  <si>
    <t xml:space="preserve"> 1.6 ESS phase II Bleu</t>
  </si>
  <si>
    <t>MITSUBISHI</t>
  </si>
  <si>
    <t xml:space="preserve">PAJERO SPORT </t>
  </si>
  <si>
    <t>GLX 4X4 2.5 DID</t>
  </si>
  <si>
    <t>SUZUKI</t>
  </si>
  <si>
    <t>GRAND VITARA</t>
  </si>
  <si>
    <t>JLX 4X4 2.0 ESS</t>
  </si>
  <si>
    <t xml:space="preserve"> 1.6 ESS phase II Gris</t>
  </si>
  <si>
    <t xml:space="preserve"> 1.6 ESS phase II Noir</t>
  </si>
  <si>
    <t>1.6 ESS phase I</t>
  </si>
  <si>
    <t>PEUGEOT</t>
  </si>
  <si>
    <t>COROLLA</t>
  </si>
  <si>
    <t xml:space="preserve">PAJERO  </t>
  </si>
  <si>
    <t>GLS 4X4 V6 ESS</t>
  </si>
  <si>
    <t>4X4 1.5 DCI phase II Bleu</t>
  </si>
  <si>
    <t>4X4 1.5 DCI phase II Blanc</t>
  </si>
  <si>
    <t>4X4 1.5 DCI phase II Gris</t>
  </si>
  <si>
    <t>3008</t>
  </si>
  <si>
    <t>HILUX</t>
  </si>
  <si>
    <t>LAND CRUISER</t>
  </si>
  <si>
    <t>AMBULANCE</t>
  </si>
  <si>
    <t>LODGY</t>
  </si>
  <si>
    <t>CITROEN</t>
  </si>
  <si>
    <t>L 200</t>
  </si>
  <si>
    <t>FUSO</t>
  </si>
  <si>
    <t>BERLINGO</t>
  </si>
  <si>
    <t>HIACE</t>
  </si>
  <si>
    <t>TRACTEUR</t>
  </si>
  <si>
    <t>30 PLACES</t>
  </si>
  <si>
    <t>RENAULT TRUCKS</t>
  </si>
  <si>
    <t>KERAX 330 4X2</t>
  </si>
  <si>
    <t>CAMION BENNE</t>
  </si>
  <si>
    <t>KERAX 380 DXI 6X4</t>
  </si>
  <si>
    <t>PLATEAU HIAB</t>
  </si>
  <si>
    <t>K 380 DXI 6X4</t>
  </si>
  <si>
    <t>KERAX 350 6X4</t>
  </si>
  <si>
    <t>SEMI-REM PORTE ENGINS</t>
  </si>
  <si>
    <t>CAMION REPANDEUR</t>
  </si>
  <si>
    <t>CAMION MALAXEUR</t>
  </si>
  <si>
    <t>K 440 DXI 6X4</t>
  </si>
  <si>
    <t>KERAX 440 DXI 6X4</t>
  </si>
  <si>
    <t>FRUEHAUF</t>
  </si>
  <si>
    <t xml:space="preserve">SEMI-REM PLATEAU </t>
  </si>
  <si>
    <t>34 T</t>
  </si>
  <si>
    <t>DOLL</t>
  </si>
  <si>
    <t>BERTOJA</t>
  </si>
  <si>
    <t>SBT 60 E/20L</t>
  </si>
  <si>
    <t>KERAX 330 DXI 4X2</t>
  </si>
  <si>
    <t>K 330 DXI 4X4</t>
  </si>
  <si>
    <t>CITERNE EAU 20m3</t>
  </si>
  <si>
    <t>CITERNE EAU 18m3</t>
  </si>
  <si>
    <t>KERAX 300 4X4</t>
  </si>
  <si>
    <t>ENTRETIEN MIXTE</t>
  </si>
  <si>
    <t>KERAX 330 DXI 4X4</t>
  </si>
  <si>
    <t>KERAX 380 DXI 6X6</t>
  </si>
  <si>
    <t>CITERNE GO 16m3</t>
  </si>
  <si>
    <t>CAMION ENTRETIEN - RT - K 330.21 DXI 4X4</t>
  </si>
  <si>
    <t xml:space="preserve">ENTRETIEN  </t>
  </si>
  <si>
    <t>GTMR</t>
  </si>
  <si>
    <t>POTAIN</t>
  </si>
  <si>
    <t>386B</t>
  </si>
  <si>
    <t>GRUE A TOUR</t>
  </si>
  <si>
    <t>MD 265</t>
  </si>
  <si>
    <t>SECATOL</t>
  </si>
  <si>
    <t>TEREX</t>
  </si>
  <si>
    <t>GRUE AUTOMOTRICE</t>
  </si>
  <si>
    <t>A 600</t>
  </si>
  <si>
    <t>QUADSTAR 1075</t>
  </si>
  <si>
    <t>MANITOU</t>
  </si>
  <si>
    <t>CHARIOT TELESCOPIQUE</t>
  </si>
  <si>
    <t>MRT 2150+</t>
  </si>
  <si>
    <t>MHT X 790</t>
  </si>
  <si>
    <t>RECYCLEUSE</t>
  </si>
  <si>
    <t>RM 500</t>
  </si>
  <si>
    <t>STREUMASTER</t>
  </si>
  <si>
    <t>EPANDEUR CIMENT</t>
  </si>
  <si>
    <t>SW 10 TC</t>
  </si>
  <si>
    <t>CONCEPT TP</t>
  </si>
  <si>
    <t>GRAVILLONNEUR HYDR</t>
  </si>
  <si>
    <t>CONCERTO</t>
  </si>
  <si>
    <t>VOLVO</t>
  </si>
  <si>
    <t>ABG TITAN</t>
  </si>
  <si>
    <t xml:space="preserve">P 7820 </t>
  </si>
  <si>
    <t>EMULBITUME</t>
  </si>
  <si>
    <t>EMULSION</t>
  </si>
  <si>
    <t>P 7820 C</t>
  </si>
  <si>
    <t>ERMONT</t>
  </si>
  <si>
    <t>TSM 17</t>
  </si>
  <si>
    <t>BOMAG</t>
  </si>
  <si>
    <t>ROULEAU VIBRANT</t>
  </si>
  <si>
    <t>BW 75 H</t>
  </si>
  <si>
    <t>COMPACTEUR TANDEM</t>
  </si>
  <si>
    <t>BW 120 AD-5</t>
  </si>
  <si>
    <t>CB24</t>
  </si>
  <si>
    <t>COMPACTEUR S/PNEU</t>
  </si>
  <si>
    <t>PS 300</t>
  </si>
  <si>
    <t>DYNAPAC</t>
  </si>
  <si>
    <t>COMPACTEUR MIXTE</t>
  </si>
  <si>
    <t>CA 602 D</t>
  </si>
  <si>
    <t>CA 5500 D</t>
  </si>
  <si>
    <t>CORINSA</t>
  </si>
  <si>
    <t>CCR 2135</t>
  </si>
  <si>
    <t>COMPACTEUR SUR PNEU - CORINSA - CCR21.35</t>
  </si>
  <si>
    <t>2135/174-R</t>
  </si>
  <si>
    <t>BPH 80/65 D</t>
  </si>
  <si>
    <t>BW 161 AD-5</t>
  </si>
  <si>
    <t>CW34</t>
  </si>
  <si>
    <t>SECMAIR</t>
  </si>
  <si>
    <t>EUROSPRAYER</t>
  </si>
  <si>
    <t>10 000 L</t>
  </si>
  <si>
    <t>MASSENZA</t>
  </si>
  <si>
    <t>THC 24</t>
  </si>
  <si>
    <t>WIRTGEN</t>
  </si>
  <si>
    <t>MACHINE A COFFRAGE GLISSANT</t>
  </si>
  <si>
    <t>12 SP</t>
  </si>
  <si>
    <t>NORTON</t>
  </si>
  <si>
    <t>LEBON</t>
  </si>
  <si>
    <t>BALAYEUSE TRACTEE</t>
  </si>
  <si>
    <t>145T</t>
  </si>
  <si>
    <t>JOHN DEERE</t>
  </si>
  <si>
    <t>TRACTEUR AGRICOLE</t>
  </si>
  <si>
    <t>5065 E</t>
  </si>
  <si>
    <t>MASSEY FERGUSON</t>
  </si>
  <si>
    <t>6712</t>
  </si>
  <si>
    <t>ELBA</t>
  </si>
  <si>
    <t>CENTRALE A BETON</t>
  </si>
  <si>
    <t>CBT 60</t>
  </si>
  <si>
    <t>STETTER</t>
  </si>
  <si>
    <t>TOUPIE BETON</t>
  </si>
  <si>
    <t>FIORI</t>
  </si>
  <si>
    <t>AUTOBETONNIERE</t>
  </si>
  <si>
    <t>DB 260</t>
  </si>
  <si>
    <t>OUTINORD</t>
  </si>
  <si>
    <t>SIMA</t>
  </si>
  <si>
    <t>DEL 36</t>
  </si>
  <si>
    <t>CISAILLE</t>
  </si>
  <si>
    <t>CEL 42</t>
  </si>
  <si>
    <t>GROUPE ELEC. 180 KVA</t>
  </si>
  <si>
    <t>GROUPE ELEC. 200 KVA</t>
  </si>
  <si>
    <t>GROUPE ELEC. 150 KVA</t>
  </si>
  <si>
    <t>GROUPE ELEC. 135 KVA</t>
  </si>
  <si>
    <t>GROUPE ELEC. 45 KVA</t>
  </si>
  <si>
    <t>SDMO</t>
  </si>
  <si>
    <t>GROUPE ELEC. 320 KVA</t>
  </si>
  <si>
    <t>350 KVA</t>
  </si>
  <si>
    <t>OLYMPIAN</t>
  </si>
  <si>
    <t>GROUPE ELEC. 30 KVA</t>
  </si>
  <si>
    <t>GEPX 33.3</t>
  </si>
  <si>
    <t>GROUPE ELEC. 80 KVA</t>
  </si>
  <si>
    <t>GEP 88.3</t>
  </si>
  <si>
    <t>GROUPE ELEC. 455 KVA</t>
  </si>
  <si>
    <t>500 KVA</t>
  </si>
  <si>
    <t>GROUPE ELEC. 100 KVA</t>
  </si>
  <si>
    <t>CUMMINS</t>
  </si>
  <si>
    <t>GROUPE ELEC. 60 KVA</t>
  </si>
  <si>
    <t>HILIGHT H4 ESF</t>
  </si>
  <si>
    <t>LINCOLN</t>
  </si>
  <si>
    <t xml:space="preserve">BIG RED 500 </t>
  </si>
  <si>
    <t>635 S</t>
  </si>
  <si>
    <t>PEDDINGHAUS</t>
  </si>
  <si>
    <t>45 H</t>
  </si>
  <si>
    <t>CM</t>
  </si>
  <si>
    <t xml:space="preserve">STATION D'ENTRETIEN </t>
  </si>
  <si>
    <t>VERSION 2 INDICE 6</t>
  </si>
  <si>
    <t>LUBRITEM</t>
  </si>
  <si>
    <t>MIXTE</t>
  </si>
  <si>
    <t>GILIBERT</t>
  </si>
  <si>
    <t>KARCHER</t>
  </si>
  <si>
    <t>ACF</t>
  </si>
  <si>
    <t>PERNIN</t>
  </si>
  <si>
    <t>CABINE DE FILTRATION DEPOTAGE</t>
  </si>
  <si>
    <t>32 m3/H</t>
  </si>
  <si>
    <t>PRECIA MOLEN</t>
  </si>
  <si>
    <t>70 TONNES</t>
  </si>
  <si>
    <t>RIVETEUSE - RYME - RY 1000</t>
  </si>
  <si>
    <t>180424.03</t>
  </si>
  <si>
    <t>RYME</t>
  </si>
  <si>
    <t>RY 1000</t>
  </si>
  <si>
    <t>PRESSE</t>
  </si>
  <si>
    <t>100 TONNES</t>
  </si>
  <si>
    <t>PRESSE D'ATELIER - OMCN - 100 T</t>
  </si>
  <si>
    <t>OMCN</t>
  </si>
  <si>
    <t>BRH</t>
  </si>
  <si>
    <t>MOTOPOMPE - VARISCO -  VAR 3-140 G10 MKL23 TROLLEY  110 m3/h</t>
  </si>
  <si>
    <t>VAR 3-140 G10</t>
  </si>
  <si>
    <t>MOTOPOMPE - VARISCO -  VAR 4-140 G10 MLD25 TROLLEY  180 m3/h</t>
  </si>
  <si>
    <t>POMPE A MEMBRANE - CPI - MC40  45 m3/h</t>
  </si>
  <si>
    <t>MOTOPOMPE - CPI - P200  600 m3/h</t>
  </si>
  <si>
    <t>POMPE EPREUVE - URACA - RF 702 D/50  40.6L/MN</t>
  </si>
  <si>
    <t>MOTOPOMPE - CPI - P492  150 m3/h</t>
  </si>
  <si>
    <t>GODET CRIBLEUR - ALLU FRANCE - DS 3-17 TS8</t>
  </si>
  <si>
    <t>ALLU France</t>
  </si>
  <si>
    <t>DS 3-17 TS8</t>
  </si>
  <si>
    <t>SANDERO STEPWAY</t>
  </si>
  <si>
    <t>4X2 1.6 ESS phase III Gris</t>
  </si>
  <si>
    <t>PEUGEOT 3008 ALLURE 1.6 ESS</t>
  </si>
  <si>
    <t>ALLURE 1.6 ESS THP BVA</t>
  </si>
  <si>
    <t xml:space="preserve"> 1.2 ESS phase II Bleu</t>
  </si>
  <si>
    <t>TOYOTA - RAV 4 - 4X2 2.0 ESS</t>
  </si>
  <si>
    <t>4X2 2.0 ESS BVM</t>
  </si>
  <si>
    <t>TOYOTA LAND CRUISER  4X4 SC</t>
  </si>
  <si>
    <t>4X4 SC 4.1 DSL</t>
  </si>
  <si>
    <t>4X4 DC 2.9 DSL MEDIUM</t>
  </si>
  <si>
    <t>MITSUBISHI L200 GL 4x4 DC 2.5 DID</t>
  </si>
  <si>
    <t>GL 4X4 DC 2.5 DID M/T</t>
  </si>
  <si>
    <t>TOYOTA HILUX 4x4 DC 3.0 D LAN25L</t>
  </si>
  <si>
    <t>4X4 DC LAN25L</t>
  </si>
  <si>
    <t>BERLINE - CITROEN - BERLINGO VP 1.2 ESS BVM</t>
  </si>
  <si>
    <t>VP 1.2 ESS BVM</t>
  </si>
  <si>
    <t>TOYOTA HIACE 15 PLACES ( transport personnel)</t>
  </si>
  <si>
    <t>MITSUBISHI FUSO 30 PLACES</t>
  </si>
  <si>
    <t>COMMUTER 4X2 3.0 D 15 PLACES</t>
  </si>
  <si>
    <t>KOBLECO</t>
  </si>
  <si>
    <t>GRUE S/CHENILLES</t>
  </si>
  <si>
    <t>CKS 2500</t>
  </si>
  <si>
    <t>MTX 732 E-E3</t>
  </si>
  <si>
    <t>MRT-X 2150</t>
  </si>
  <si>
    <t>MTX 1440 A E3</t>
  </si>
  <si>
    <t>CHAR. TELESCO. - MANITOU - MTX 1440 A E3  +NACELLE+2POTENCES+FOURCHES</t>
  </si>
  <si>
    <t>CHAR. TELESCO. - MANITOU - MTX 732 - EN15000 - SEE3</t>
  </si>
  <si>
    <t>CHAR. TELESCO. - MANITOU - MHTX 790  +FOURCHES+POTENCE+GODET</t>
  </si>
  <si>
    <t>CHAR. TELESCO. - MANITOU - MRT 2150+. +TREUIL 5T</t>
  </si>
  <si>
    <t>CHAR. TELESCO. - MANITOU - MRTX 2150. +NACELLE+TREUIL+FOURCHES</t>
  </si>
  <si>
    <t>GENIE</t>
  </si>
  <si>
    <t>NACELLE</t>
  </si>
  <si>
    <t>S 105</t>
  </si>
  <si>
    <t>CENTRALE A EMULSION -EMULBITUME - 5 T/h   CT 20'</t>
  </si>
  <si>
    <t>5 T/h</t>
  </si>
  <si>
    <t>COMPACTEUR DE TRANCHEE TELECOMMANDE - BOMAG - BMP8500</t>
  </si>
  <si>
    <t>PLAQUE VIBRANTE TELECOMMANDE - BOMAG - BPH80/65D</t>
  </si>
  <si>
    <t>COMPACTEUR DE TRANCHEE</t>
  </si>
  <si>
    <t>BMP 8500</t>
  </si>
  <si>
    <t>METSO</t>
  </si>
  <si>
    <t>BETONNIERE THERMIQUE - ALTRAD - RB800H</t>
  </si>
  <si>
    <t>ALTRAD</t>
  </si>
  <si>
    <t>BETONNIERE</t>
  </si>
  <si>
    <t>RB 800 H</t>
  </si>
  <si>
    <t>REPANDEUSE - SECMAIR - EUROSPRAYER 10 000L ( sur E91395 )</t>
  </si>
  <si>
    <t>REPANDEUSE - SECMAIR - EUROSPRAYER 10 000L ( sur E91201 )</t>
  </si>
  <si>
    <t>REPANDEUSE - SECMAIR - EUROSPRAYER 10 000L ( sur E90005 )</t>
  </si>
  <si>
    <t>GRAVILLONNEUR HYDR - CONCEPT TP - CONCERTO (sur E51829)</t>
  </si>
  <si>
    <t>GRAVILLONNEUR HYDR - CONCEPT TP - CONCERTO (sur E51930)</t>
  </si>
  <si>
    <t>TOUPIE BETON - STETTER -  AM 7 SHC-BL TYPE 867  (sur E90018)</t>
  </si>
  <si>
    <t>TOUPIE BETON - STETTER -  AM 7 SHC-BL TYPE 867  (sur E90023)</t>
  </si>
  <si>
    <t>TOUPIE BETON - STETTER -  AM 7 SHC-BL TYPE 867  (sur E90021)</t>
  </si>
  <si>
    <t>GROUPE ELEC. - CAT - INSO DE200 EO-180 KVA (Grue à tour)</t>
  </si>
  <si>
    <t>GROUPE ELEC. - CAT - INSO DE220 EO-200 KVA (CAB)</t>
  </si>
  <si>
    <t>GROUPE ELEC. - CAT - INSO DE165 EO-150 KVA ( GTMR)</t>
  </si>
  <si>
    <t>GROUPE ELEC. - CAT - INSO DE165 EO-150 KVA (Base vie)</t>
  </si>
  <si>
    <t>GROUPE ELEC. - CAT - INSO DE150 EO-135 KVA</t>
  </si>
  <si>
    <t>GROUPE ELEC. - CAT - INSO DE50 EO-45 KVA</t>
  </si>
  <si>
    <t>GROUPE ELEC. - CAT - INSO DE88 EO-80 KVA</t>
  </si>
  <si>
    <t>GROUPE ELEC. - CAT - INSO DE110 EO-100 KVA</t>
  </si>
  <si>
    <t>GROUPE ELEC. - CAT - INSO DE50 EO-45 KVA  (chauffe bitume)</t>
  </si>
  <si>
    <t>GROUPE ELEC. - CAT - INSO DE18 EO 16 KVA</t>
  </si>
  <si>
    <t>DE 200 EO</t>
  </si>
  <si>
    <t>DE 220 EO</t>
  </si>
  <si>
    <t>DE 165 EO</t>
  </si>
  <si>
    <t>DE 150 EO</t>
  </si>
  <si>
    <t>DE 50 EO</t>
  </si>
  <si>
    <t>DE 110 EO</t>
  </si>
  <si>
    <t>GROUPE ELEC. 16 KVA</t>
  </si>
  <si>
    <t>DE 18 EO</t>
  </si>
  <si>
    <t>STATION D'ENTRETIEN - CM - VERSION 2 INDICE 6  (sur E99033)</t>
  </si>
  <si>
    <t>COMPRESSEUR - ATLAS COPCO - XAS 67 DD (sur E91098)</t>
  </si>
  <si>
    <t>COMPRESSEUR DIESEL - KAESER - M31G (sur E99033)</t>
  </si>
  <si>
    <t>CAMION REPANDEUR - RT - KERAX 330.21 DXI 4X2 (+ G41075)</t>
  </si>
  <si>
    <t>FONTAINE DE NETTOYAGE - FUCHS - BIOLOGIQUE</t>
  </si>
  <si>
    <t>FUCHS</t>
  </si>
  <si>
    <t xml:space="preserve">FONTAINE DE NETTOYAGE </t>
  </si>
  <si>
    <t>BIOLOGIQUE</t>
  </si>
  <si>
    <t>STATION D'ENTRETIEN MIXTE - GILIBERT - (sur E91318)</t>
  </si>
  <si>
    <t>STATION D'ENTRETIEN MIXTE - LUBRITEM - (sur E91098)</t>
  </si>
  <si>
    <t>CABINE DE DISTRIBUTION DE GASOIL - PERNIN - 32 m3/h</t>
  </si>
  <si>
    <t>MOTOPOMPE DIESEL 200 (sur E91030)</t>
  </si>
  <si>
    <t>LU 2/49</t>
  </si>
  <si>
    <t>2019/135-B</t>
  </si>
  <si>
    <t>ELKON</t>
  </si>
  <si>
    <t>SYSTÈME DE REFROIDISSEMENT D'EAU</t>
  </si>
  <si>
    <t>SYSTÈME DE REFROIDISSEMENT D'EAU - ELKON - (avec I18887)</t>
  </si>
  <si>
    <t>CENTRALE A BETON - ELBA - CBT60  (avec I80001)</t>
  </si>
  <si>
    <t>CITERNE A BITUME - MASSENZA - THC24</t>
  </si>
  <si>
    <t>CITERNE A BITUME</t>
  </si>
  <si>
    <t>COMPACTEUR TANDEM - BOMAG - BW120 AD-5 S</t>
  </si>
  <si>
    <t xml:space="preserve">BW 161 AD-5 </t>
  </si>
  <si>
    <t>BW 120 AD-5 S</t>
  </si>
  <si>
    <t>ROULEAU VIBRANT - BOMAG - BW 75 H-E</t>
  </si>
  <si>
    <t>COMPACTEUR MIXTE - ATLAS COPCO - CA 5500D (+ PDM)</t>
  </si>
  <si>
    <t>G37</t>
  </si>
  <si>
    <t>G27</t>
  </si>
  <si>
    <t>F23</t>
  </si>
  <si>
    <t>CAMION CITERNE A EAU - RT - KERAX 380.34 DXI 6X4 20M3</t>
  </si>
  <si>
    <t>VF634DPA000013976</t>
  </si>
  <si>
    <t>VF631N130LD001820</t>
  </si>
  <si>
    <t>CAMION BENNE - RT - KERAX 380.34 DXI 6X4 14M3 (+ G11070)</t>
  </si>
  <si>
    <t>CAMION BENNE - RT - KERAX 380.34 DXI 6X4 14M3 (+ G11076)</t>
  </si>
  <si>
    <t>VF631N133LD001827</t>
  </si>
  <si>
    <t xml:space="preserve">MITSUBISHI L200 4x4 DC DID </t>
  </si>
  <si>
    <t>MMBJNKL30LH017373</t>
  </si>
  <si>
    <t>3671WWCI01</t>
  </si>
  <si>
    <t>N'DRI</t>
  </si>
  <si>
    <t xml:space="preserve">  </t>
  </si>
  <si>
    <t xml:space="preserve">FAMILLE </t>
  </si>
  <si>
    <t>NUMERO DE SERIES</t>
  </si>
  <si>
    <t xml:space="preserve">IMMATRICULATION </t>
  </si>
  <si>
    <t>VNR (VALEUR NEUF D ACHAT)</t>
  </si>
  <si>
    <t>Année ACHAT</t>
  </si>
  <si>
    <t>Date de démobilisé</t>
  </si>
  <si>
    <t>CATEGORIE</t>
  </si>
  <si>
    <t>ENGIN</t>
  </si>
  <si>
    <t>EN</t>
  </si>
  <si>
    <t>PL</t>
  </si>
  <si>
    <t>TRICYCLE</t>
  </si>
  <si>
    <t>BUREAU</t>
  </si>
  <si>
    <t>PERCEUSE</t>
  </si>
  <si>
    <t>POMPE A EPREUVE</t>
  </si>
  <si>
    <t>GROUPE ELECTROGENE</t>
  </si>
  <si>
    <t>POMPE A GRAISSE</t>
  </si>
  <si>
    <t>SCIE A SOL</t>
  </si>
  <si>
    <t>MEULE</t>
  </si>
  <si>
    <t>VIBREUR</t>
  </si>
  <si>
    <t>MOTO-POMPE</t>
  </si>
  <si>
    <t>PANNEAUX DE BLINDAGE JAUNE</t>
  </si>
  <si>
    <t>PANNEAUX DE BLINDAGE LOCAUX</t>
  </si>
  <si>
    <t>PANNEAU SOLAIRE</t>
  </si>
  <si>
    <t>BERLINE MERCEDES</t>
  </si>
  <si>
    <t xml:space="preserve">PICK UP TOYOTA TUNDRA </t>
  </si>
  <si>
    <t>RENAULT CAPTUR IM SUV</t>
  </si>
  <si>
    <t xml:space="preserve">PICK UP MAZDA BT 50 </t>
  </si>
  <si>
    <t>PICK UP TATA 02 PORTIERES</t>
  </si>
  <si>
    <t xml:space="preserve">PICK UP NISSAN NAVARA </t>
  </si>
  <si>
    <t xml:space="preserve">CITADINE HYUNDAI I10 </t>
  </si>
  <si>
    <t xml:space="preserve">CITADINE TOYOTA VERSO </t>
  </si>
  <si>
    <t xml:space="preserve">CITADINE SUZUKI SWIFT </t>
  </si>
  <si>
    <t>MINI BUS RENAULT MASTER MINI BUS</t>
  </si>
  <si>
    <t>FOURGONNETTE RENAULT KANGOO</t>
  </si>
  <si>
    <t>MERCEDES</t>
  </si>
  <si>
    <t>MAZDA</t>
  </si>
  <si>
    <t>TATA</t>
  </si>
  <si>
    <t>NISSAN</t>
  </si>
  <si>
    <t>HYUNDAI</t>
  </si>
  <si>
    <t>SHIEFING</t>
  </si>
  <si>
    <t>4004HR01</t>
  </si>
  <si>
    <t>4004KT01</t>
  </si>
  <si>
    <t>2907HR01</t>
  </si>
  <si>
    <t>1331KR01</t>
  </si>
  <si>
    <t>2084KX01</t>
  </si>
  <si>
    <t>2082KX01</t>
  </si>
  <si>
    <t>8412GX01</t>
  </si>
  <si>
    <t>8414GX01</t>
  </si>
  <si>
    <t>6468GZ01</t>
  </si>
  <si>
    <t>1198JX01</t>
  </si>
  <si>
    <t>1200JX01</t>
  </si>
  <si>
    <t>1201JX01</t>
  </si>
  <si>
    <t>8980GK01</t>
  </si>
  <si>
    <t>67KS01</t>
  </si>
  <si>
    <t>2873KS01</t>
  </si>
  <si>
    <t>6254GE01</t>
  </si>
  <si>
    <t>559KU01</t>
  </si>
  <si>
    <t>7250GB01</t>
  </si>
  <si>
    <t>1700HS01</t>
  </si>
  <si>
    <t>4445FJ01</t>
  </si>
  <si>
    <t>ABIDJAN</t>
  </si>
  <si>
    <t>GARAGE</t>
  </si>
  <si>
    <t>TOUBA</t>
  </si>
  <si>
    <t>ASSINIE</t>
  </si>
  <si>
    <t>Lieu (CHANTIER-AGENCE )</t>
  </si>
  <si>
    <t>M.JULES KONAN</t>
  </si>
  <si>
    <t>KONAN ADJO EPSE YAO</t>
  </si>
  <si>
    <t>TUO LAZENI</t>
  </si>
  <si>
    <t>KOUAKOU SERGE</t>
  </si>
  <si>
    <t>YAMIEN JEAN ROLAND</t>
  </si>
  <si>
    <t>KONE AICHA</t>
  </si>
  <si>
    <t>ALANGBA KOLOU</t>
  </si>
  <si>
    <t>KOUASSI FRANCK</t>
  </si>
  <si>
    <t>TRAORE KEDEZO</t>
  </si>
  <si>
    <t>YEO DRISSA</t>
  </si>
  <si>
    <t>IRIE BI OLIVIER</t>
  </si>
  <si>
    <t>COULIBALY SIAKA</t>
  </si>
  <si>
    <t>ZOGBA NANCY EPSE YAO</t>
  </si>
  <si>
    <t>PATRIMOINE</t>
  </si>
  <si>
    <t xml:space="preserve"> </t>
  </si>
  <si>
    <t>VL</t>
  </si>
  <si>
    <t>DATE D ACQUISITION</t>
  </si>
  <si>
    <t>BENNE DAEWOO NOVUS</t>
  </si>
  <si>
    <t>BENNE JAC</t>
  </si>
  <si>
    <t>BENNE IVECO</t>
  </si>
  <si>
    <t>BENNE RENAULT</t>
  </si>
  <si>
    <t>FOURGON MERCEDES ATEGO</t>
  </si>
  <si>
    <t>PLATEAU RENAULT</t>
  </si>
  <si>
    <t>PORTE CHAR ATTELABLE DEANGELIS</t>
  </si>
  <si>
    <t>PORTE CHAR VIBERTI</t>
  </si>
  <si>
    <t>TRACTEUR ASTRA</t>
  </si>
  <si>
    <t>DAEWOO</t>
  </si>
  <si>
    <t>JAC</t>
  </si>
  <si>
    <t>IVECO</t>
  </si>
  <si>
    <t>DEANGELIS</t>
  </si>
  <si>
    <t xml:space="preserve">VIBERTI </t>
  </si>
  <si>
    <t>ASTRA</t>
  </si>
  <si>
    <t>2379KT01</t>
  </si>
  <si>
    <t>2773KS01</t>
  </si>
  <si>
    <t>6775KV01</t>
  </si>
  <si>
    <t>7613GN01</t>
  </si>
  <si>
    <t>5862GN01</t>
  </si>
  <si>
    <t>1135GN01</t>
  </si>
  <si>
    <t>7787GZ01</t>
  </si>
  <si>
    <t>5679GN 01</t>
  </si>
  <si>
    <t>3680GK01</t>
  </si>
  <si>
    <t>6876JE012</t>
  </si>
  <si>
    <t>IVOIRE MOTORS</t>
  </si>
  <si>
    <t>CISSE ABOU</t>
  </si>
  <si>
    <t>COULIBALY MOUSSA</t>
  </si>
  <si>
    <t>ESSE ESSE GERARD</t>
  </si>
  <si>
    <t>GUIE BLIKE CLEMENT</t>
  </si>
  <si>
    <t>KONAN ALEXIS</t>
  </si>
  <si>
    <t>KOUADIO ALEXIS</t>
  </si>
  <si>
    <t>BULL D7H</t>
  </si>
  <si>
    <t>CHARGEUSE L956F</t>
  </si>
  <si>
    <t>CHARGEUSE 962 G</t>
  </si>
  <si>
    <t>CHARGEUSE 930 C</t>
  </si>
  <si>
    <t>COMPACTEUR CS 643</t>
  </si>
  <si>
    <t>COMPACTEUR 216 D</t>
  </si>
  <si>
    <t>COMPACTEUR DVK-223</t>
  </si>
  <si>
    <t>COMPACTEUR A MAIN BW75H</t>
  </si>
  <si>
    <t>GRADER 160 H</t>
  </si>
  <si>
    <t>GRADER 14 E</t>
  </si>
  <si>
    <t>PELLE 320 D2L</t>
  </si>
  <si>
    <t>PELLE 320 B</t>
  </si>
  <si>
    <t>PELLE 312 C</t>
  </si>
  <si>
    <t>PELLE 318 B</t>
  </si>
  <si>
    <t>PELLE 61 A</t>
  </si>
  <si>
    <t>TRACTOPELLE 426 F 2</t>
  </si>
  <si>
    <t>TRACTOPELLE 428 E</t>
  </si>
  <si>
    <t>CATERPILLAR</t>
  </si>
  <si>
    <t>SDLG</t>
  </si>
  <si>
    <t>AMMANN</t>
  </si>
  <si>
    <t>CASE</t>
  </si>
  <si>
    <t>SILUE Zana</t>
  </si>
  <si>
    <t>KOUASSI Franck</t>
  </si>
  <si>
    <t>COULIBALY Issa</t>
  </si>
  <si>
    <t>SORO Ezechiel</t>
  </si>
  <si>
    <t>YEO Drissa</t>
  </si>
  <si>
    <t>OUATTARA Bakary</t>
  </si>
  <si>
    <t>ASSEUMAN Evrard</t>
  </si>
  <si>
    <t>TUO Yacouba</t>
  </si>
  <si>
    <t>Chef du garage</t>
  </si>
  <si>
    <t>OUATTARA Seydou</t>
  </si>
  <si>
    <t>ITA-VE0001-BE/22</t>
  </si>
  <si>
    <t>ITA-VE0002-CI/22</t>
  </si>
  <si>
    <t>ITA-VE0003-CI/22</t>
  </si>
  <si>
    <t>ITA-VE0004-CI/22</t>
  </si>
  <si>
    <t>ITA-VE0005-CI/22</t>
  </si>
  <si>
    <t>ITA-VE0006-FO/22</t>
  </si>
  <si>
    <t>ITA-VE0007-FO/22</t>
  </si>
  <si>
    <t>ITA-VE0008-PU/22</t>
  </si>
  <si>
    <t>ITA-VE0009-PU/22</t>
  </si>
  <si>
    <t>ITA-VE0010-PU/22</t>
  </si>
  <si>
    <t>ITA-VE0011-PU/22</t>
  </si>
  <si>
    <t>ITA-VE0012-PU/22</t>
  </si>
  <si>
    <t>ITA-VE0013-PU/22</t>
  </si>
  <si>
    <t>ITA-VE0014-PU/22</t>
  </si>
  <si>
    <t>ITA-VE0015-PU/22</t>
  </si>
  <si>
    <t>ITA-VE0016-PU/22</t>
  </si>
  <si>
    <t>ITA-VE0017-PU/22</t>
  </si>
  <si>
    <t>ITA-VE0018-PU/22</t>
  </si>
  <si>
    <t>ITA-VE0019-SU/22</t>
  </si>
  <si>
    <t>ITA-VE0020-MB/22</t>
  </si>
  <si>
    <t>ITA-VE0021-TI/22</t>
  </si>
  <si>
    <t>ITA-CA0022-BE/22</t>
  </si>
  <si>
    <t>ITA-CA0023-BE/22</t>
  </si>
  <si>
    <t>ITA-CA0024-BE/22</t>
  </si>
  <si>
    <t>ITA-CA0025-BE/22</t>
  </si>
  <si>
    <t>ITA-CA0026-BE/22</t>
  </si>
  <si>
    <t>ITA-CA0027-FO/22</t>
  </si>
  <si>
    <t>ITA-CA0028-PL/22</t>
  </si>
  <si>
    <t>ITA-CA0029-PC/22</t>
  </si>
  <si>
    <t>ITA-CA0030-PC/22</t>
  </si>
  <si>
    <t>ITA-CA031-TR/22</t>
  </si>
  <si>
    <t>ITA-EN0032-BU/22</t>
  </si>
  <si>
    <t>ITA-EN0033-CH/22</t>
  </si>
  <si>
    <t>ITA-EN0034-CH/22</t>
  </si>
  <si>
    <t>ITA-EN0035-CH/22</t>
  </si>
  <si>
    <t>ITA-EN0036-CO/22</t>
  </si>
  <si>
    <t>ITA-EN0037-CO/22</t>
  </si>
  <si>
    <t>ITA-EN0038-CO/22</t>
  </si>
  <si>
    <t>ITA-EN0039-CO/22</t>
  </si>
  <si>
    <t>ITA-EN0040-GR/22</t>
  </si>
  <si>
    <t>ITA-EN0041-GR/22</t>
  </si>
  <si>
    <t>ITA-EN0042-PE/22</t>
  </si>
  <si>
    <t>ITA-EN0043-PE/22</t>
  </si>
  <si>
    <t>ITA-EN0044-PE/22</t>
  </si>
  <si>
    <t>ITA-EN0045-PE/22</t>
  </si>
  <si>
    <t>ITA-EN0046-PE/22</t>
  </si>
  <si>
    <t>ITA-EN0047-PE/22</t>
  </si>
  <si>
    <t>ITA-EN0048-TP/22</t>
  </si>
  <si>
    <t>ITA-EN0049-TP/22</t>
  </si>
  <si>
    <t xml:space="preserve">BRISE BETON </t>
  </si>
  <si>
    <t>RALLONGE ELECTRIQUE 40M</t>
  </si>
  <si>
    <t>MOULE POUR ECHANTILLONNAGE BETON</t>
  </si>
  <si>
    <t>FUT D'EAU</t>
  </si>
  <si>
    <t>PANNEAU DE DETAILS CHANTIER</t>
  </si>
  <si>
    <t>BOSCH</t>
  </si>
  <si>
    <t>FUGEMAX</t>
  </si>
  <si>
    <t>BRENNEMSTUHL</t>
  </si>
  <si>
    <t>PRAMAC PX500</t>
  </si>
  <si>
    <t>FABRICATION ARTISANALE</t>
  </si>
  <si>
    <t>CYCLONE</t>
  </si>
  <si>
    <t>DINQI</t>
  </si>
  <si>
    <t>OHV</t>
  </si>
  <si>
    <t>PACLITE</t>
  </si>
  <si>
    <t>LEON</t>
  </si>
  <si>
    <t>PETIT MATERIEL</t>
  </si>
  <si>
    <t>ASSINIE MARINA</t>
  </si>
  <si>
    <t>ITA-PEM0050-BR/22</t>
  </si>
  <si>
    <t>ITA-PEM0051-BR/22</t>
  </si>
  <si>
    <t>ITA-PEM0052-PE/22</t>
  </si>
  <si>
    <t>ITA-PEM0053-PE/22</t>
  </si>
  <si>
    <t>ITA-PEM0054-POE/22</t>
  </si>
  <si>
    <t>ITA-PEM0055-RA/22</t>
  </si>
  <si>
    <t>ITA-PEM0056-CO/22</t>
  </si>
  <si>
    <t>ITA-PEM0057-GR/22</t>
  </si>
  <si>
    <t>ITA-PEM0058-POG/22</t>
  </si>
  <si>
    <t>ITA-PEM0059-POG/22</t>
  </si>
  <si>
    <t>ITA-PEM0060-POG/22</t>
  </si>
  <si>
    <t>ITA-PEM0061-BE/22</t>
  </si>
  <si>
    <t>ITA-PEM0062-BE/22</t>
  </si>
  <si>
    <t>ITA-PEM0063-BE/22</t>
  </si>
  <si>
    <t>ITA-PEM0064-PA/22</t>
  </si>
  <si>
    <t>ITA-PEM0065-MO/22</t>
  </si>
  <si>
    <t>ITA-PEM0069-VI/22</t>
  </si>
  <si>
    <t>ITA-PEM0074-PS/22</t>
  </si>
  <si>
    <t>ITA-PEM0075-PS/22</t>
  </si>
  <si>
    <t>ITA-PEM0076-PS/22</t>
  </si>
  <si>
    <t>ITA-PEM0079-PAD/22</t>
  </si>
  <si>
    <t>ITA-PEM0066-SC/22</t>
  </si>
  <si>
    <t>ITA-PEM0067-ME/22</t>
  </si>
  <si>
    <t>ITA-PEM0068-VI/22</t>
  </si>
  <si>
    <t>ITA-PEM0070-MOP/22</t>
  </si>
  <si>
    <t>ITA-PEM0071-PBJ/22</t>
  </si>
  <si>
    <t>ITA-PEM0072-PBL/22</t>
  </si>
  <si>
    <t>ITA-PEM0073-PS/22</t>
  </si>
  <si>
    <t>ITA-PEM0077-FUE/22</t>
  </si>
  <si>
    <t>ITA-PEM0078-PAD/22</t>
  </si>
  <si>
    <t>ITA-PEM080-PAD/22</t>
  </si>
  <si>
    <t>ITA-PEM081-PAD/22</t>
  </si>
  <si>
    <t>BINGERVILLE</t>
  </si>
  <si>
    <t xml:space="preserve">Lieu </t>
  </si>
  <si>
    <t>BRISE BETON BOSCH</t>
  </si>
  <si>
    <t>PERCEUSE BOSCH</t>
  </si>
  <si>
    <t>POMPE A EPREUVE FUGEMAX</t>
  </si>
  <si>
    <t>RALLONGE ELECTRIQUE 40M BRENNEMSTUHL</t>
  </si>
  <si>
    <t>COMPACTEUR A MAIN BW75H BOMAG</t>
  </si>
  <si>
    <t>GROUPE ELECTROGENE PRAMAC PX500</t>
  </si>
  <si>
    <t>BETONNIERE FABRICATION ARTISANALE</t>
  </si>
  <si>
    <t>SCIE A SOL CYCLONE</t>
  </si>
  <si>
    <t>VIBREUR OHV</t>
  </si>
  <si>
    <t>VIBREUR PACLITE</t>
  </si>
  <si>
    <t>MOTO-POMPE LEON</t>
  </si>
  <si>
    <t>MM7UP4DB0FW466540</t>
  </si>
  <si>
    <t>Assurance</t>
  </si>
  <si>
    <t>MM7UR4DF9LW055047</t>
  </si>
  <si>
    <t>MBHCZC63S00822568</t>
  </si>
  <si>
    <t>MALA751C4KM029659</t>
  </si>
  <si>
    <t>VF12R0Y1RHW746869</t>
  </si>
  <si>
    <t>2319KT01</t>
  </si>
  <si>
    <t>KLTK6D6F1JK000071</t>
  </si>
  <si>
    <t>Armoire bois plein AO</t>
  </si>
  <si>
    <t>Armoire bois plein bureau Technique</t>
  </si>
  <si>
    <t>Armoire vitrée AO</t>
  </si>
  <si>
    <t>Armoire vitrée bureau Technique</t>
  </si>
  <si>
    <t>Armoire vitrée DG</t>
  </si>
  <si>
    <t>Baffe portative</t>
  </si>
  <si>
    <t>Cafétière DG</t>
  </si>
  <si>
    <t>Camera</t>
  </si>
  <si>
    <t>Chaise bureau administration 01</t>
  </si>
  <si>
    <t>Chaise bureau administration 02</t>
  </si>
  <si>
    <t>Chaise bureau administration 03</t>
  </si>
  <si>
    <t>Chaise bureau comptabilité 01</t>
  </si>
  <si>
    <t>Chaise bureau comptabilité 02</t>
  </si>
  <si>
    <t>Chaise bureau comptabilité 03</t>
  </si>
  <si>
    <t>Chaise bureau DG</t>
  </si>
  <si>
    <t>Chaise bureau  technique 01</t>
  </si>
  <si>
    <t>Chaise bureau  technique 02</t>
  </si>
  <si>
    <t>Chaise bureau  technique 03</t>
  </si>
  <si>
    <t>Chaise visiteur Administration 01</t>
  </si>
  <si>
    <t>Chaise visiteur Administration 02</t>
  </si>
  <si>
    <t>Chaise visiteur comptable</t>
  </si>
  <si>
    <t>Chaise visiteur DG 01</t>
  </si>
  <si>
    <t>Chaise visiteur DG 02</t>
  </si>
  <si>
    <t>Chaise visiteur  Technique 01</t>
  </si>
  <si>
    <t>Chaise visiteur  Technique 02</t>
  </si>
  <si>
    <t xml:space="preserve">Clavier  Administration </t>
  </si>
  <si>
    <t>Clavier Comptable 03</t>
  </si>
  <si>
    <t>Clavier DG</t>
  </si>
  <si>
    <t>Climatiseur administration 01</t>
  </si>
  <si>
    <t>Climatiseur administration 02</t>
  </si>
  <si>
    <t>Climatiseur comptable</t>
  </si>
  <si>
    <t>Climatiseur DG</t>
  </si>
  <si>
    <t>Climatiseur salle d'attente</t>
  </si>
  <si>
    <t>Climatiseur salle de réunion</t>
  </si>
  <si>
    <t xml:space="preserve">Climatiseur sécrétariat </t>
  </si>
  <si>
    <t>Climatiseur technique</t>
  </si>
  <si>
    <t>Commode DG 01</t>
  </si>
  <si>
    <t>Commode DG 02</t>
  </si>
  <si>
    <t>Comptoir sécrétariat</t>
  </si>
  <si>
    <t>Décodeur canal DG</t>
  </si>
  <si>
    <t>Ecran de cameras DG</t>
  </si>
  <si>
    <t>Ecran de télé salle d'attente</t>
  </si>
  <si>
    <t>Ecran de télé DG</t>
  </si>
  <si>
    <t>Ecran d'ordinateur Administration</t>
  </si>
  <si>
    <t>Ecran d'ordinateur Comptabilité 01</t>
  </si>
  <si>
    <t>Ecran d'ordinateur Comptabilité 02</t>
  </si>
  <si>
    <t>Ecran d'ordinateur Comptabilité 03</t>
  </si>
  <si>
    <t>Ecran d'ordinateur DG</t>
  </si>
  <si>
    <t>Fauteuil visiteur 01 DG</t>
  </si>
  <si>
    <t>Réfrigerateur DG</t>
  </si>
  <si>
    <t>Table Bureau Administration 01</t>
  </si>
  <si>
    <t>Table Bureau Administration 02</t>
  </si>
  <si>
    <t>Table bureau DG</t>
  </si>
  <si>
    <t>Unité centrale DG</t>
  </si>
  <si>
    <t>JBZ</t>
  </si>
  <si>
    <t>COMPAC</t>
  </si>
  <si>
    <t>SMART TECHNOLOGY</t>
  </si>
  <si>
    <t>SHARP</t>
  </si>
  <si>
    <t>SAMSUNG</t>
  </si>
  <si>
    <t>HP</t>
  </si>
  <si>
    <t>CIBOX</t>
  </si>
  <si>
    <t xml:space="preserve">NOMBRE </t>
  </si>
  <si>
    <t>LIEU</t>
  </si>
  <si>
    <t>WDD2050431F297748</t>
  </si>
  <si>
    <t>L7STBC22XH1A08227</t>
  </si>
  <si>
    <t>JTDEZ28E803020504</t>
  </si>
  <si>
    <t>MM7UP4DB3FW411497</t>
  </si>
  <si>
    <t>MM7UP4DB9FW414324</t>
  </si>
  <si>
    <t>MNTACUD40Z0600225</t>
  </si>
  <si>
    <t>VF1FDCVH530122348</t>
  </si>
  <si>
    <t>NIVELEUSE 160 H</t>
  </si>
  <si>
    <t>NIVELEUSE 14 E</t>
  </si>
  <si>
    <t>VF6BA07B100003462</t>
  </si>
  <si>
    <t>Table bureau sécrétariat</t>
  </si>
  <si>
    <t>Clavier  Comptable 01</t>
  </si>
  <si>
    <t>Clavier Comptable 02</t>
  </si>
  <si>
    <t>Canapé visiteur DG</t>
  </si>
  <si>
    <t>Chaise salle de reunion 01</t>
  </si>
  <si>
    <t>Chaise salle de reunion 02</t>
  </si>
  <si>
    <t>Chaise salle de reunion 03</t>
  </si>
  <si>
    <t>Chaise salle de reunion 04</t>
  </si>
  <si>
    <t>Chaise salle de reunion 05</t>
  </si>
  <si>
    <t>Chaise salle de reunion 06</t>
  </si>
  <si>
    <t>Chaise salle de reunion 07</t>
  </si>
  <si>
    <t>Chaise salle de reunion 08</t>
  </si>
  <si>
    <t>Chaise salle de reunion 09</t>
  </si>
  <si>
    <t>Chaise salle de reunion 10</t>
  </si>
  <si>
    <t>Chaise salle de reunion 11</t>
  </si>
  <si>
    <t>Chaise salle de reunion 12</t>
  </si>
  <si>
    <t xml:space="preserve">Fauteuil salle de reunion </t>
  </si>
  <si>
    <t xml:space="preserve">Table visiteur DG </t>
  </si>
  <si>
    <t xml:space="preserve">Chaise okplast cuisine 01 </t>
  </si>
  <si>
    <t>Chaise okplast cuisine 02</t>
  </si>
  <si>
    <t>Chaise okplast cuisine 03</t>
  </si>
  <si>
    <t>Chaise okplast cuisine 04</t>
  </si>
  <si>
    <t>Chaise okplast cuisine 05</t>
  </si>
  <si>
    <t xml:space="preserve">Table okplast cuisine </t>
  </si>
  <si>
    <t>micro-ondes severin</t>
  </si>
  <si>
    <t>Réfrigerateur LG cuisine</t>
  </si>
  <si>
    <t>Réfrigerateur Administration</t>
  </si>
  <si>
    <t>unité centrale AO 01</t>
  </si>
  <si>
    <t>unité centrale AO 02</t>
  </si>
  <si>
    <t>Tableau de projection LIGHTWAVE</t>
  </si>
  <si>
    <t>video projecteur SONY</t>
  </si>
  <si>
    <t>Chaise bureau sécrétariat</t>
  </si>
  <si>
    <t>unité centrale sécrétariat</t>
  </si>
  <si>
    <t>Ecran sécrétariat</t>
  </si>
  <si>
    <t>imprimante HP AO</t>
  </si>
  <si>
    <t>imprimante canon AO</t>
  </si>
  <si>
    <t>imprimante xerox AO</t>
  </si>
  <si>
    <t>Ecran hp 01 AO</t>
  </si>
  <si>
    <t>Climatiseur appels d'offres AO</t>
  </si>
  <si>
    <t>Table bureau AO 01</t>
  </si>
  <si>
    <t>Table bureau AO 02</t>
  </si>
  <si>
    <t>Table bureau AO 03</t>
  </si>
  <si>
    <t>Table bureau AO 04</t>
  </si>
  <si>
    <t>Chaise bureau  AO 01</t>
  </si>
  <si>
    <t>Chaise bureau  AO 02</t>
  </si>
  <si>
    <t>Chaise bureau  AO 03</t>
  </si>
  <si>
    <t>Commode AO</t>
  </si>
  <si>
    <t>commode technique</t>
  </si>
  <si>
    <t xml:space="preserve">imprimante hp technique </t>
  </si>
  <si>
    <t>Table technique</t>
  </si>
  <si>
    <t xml:space="preserve">Cafétière technique </t>
  </si>
  <si>
    <t xml:space="preserve">imprimante hp DG </t>
  </si>
  <si>
    <t xml:space="preserve">imprimante Epson administration </t>
  </si>
  <si>
    <t>imprimante hp adminitration</t>
  </si>
  <si>
    <t>imprimante hp comptabilité P2055D</t>
  </si>
  <si>
    <t>imprimante hp comptabilité MFPM177W</t>
  </si>
  <si>
    <t>Unité centrale Comptabilité 01</t>
  </si>
  <si>
    <t>Unité centrale Comptabilité 02</t>
  </si>
  <si>
    <t>Unité centrale Comptabilité 03</t>
  </si>
  <si>
    <t>chaise salle d'attente 01</t>
  </si>
  <si>
    <t>Télévison salle d'attente</t>
  </si>
  <si>
    <t xml:space="preserve">Table centrale </t>
  </si>
  <si>
    <t>DESKTOP-8G3IB23</t>
  </si>
  <si>
    <t>DESKTOP-6NOLI3H</t>
  </si>
  <si>
    <t>DESKTOP-V6DP904</t>
  </si>
  <si>
    <t>Onduleur AO</t>
  </si>
  <si>
    <t xml:space="preserve">gaziniére fiesta </t>
  </si>
  <si>
    <t>DESKTOP-POLASE7</t>
  </si>
  <si>
    <t>5CD2195085</t>
  </si>
  <si>
    <t>DESKTOP-ODJC51M</t>
  </si>
  <si>
    <t>DESKTOP-35GM006</t>
  </si>
  <si>
    <t>Cafétière cuisine</t>
  </si>
  <si>
    <t xml:space="preserve">Bouteille de GAZ SHELL bleu  cuisine </t>
  </si>
  <si>
    <t xml:space="preserve">Box internet technique </t>
  </si>
  <si>
    <t>SHELL</t>
  </si>
  <si>
    <t>Décodeur canal + salle d'attente</t>
  </si>
  <si>
    <t>LG</t>
  </si>
  <si>
    <t>Fauteuil salle d'attente</t>
  </si>
  <si>
    <t>FIESTA</t>
  </si>
  <si>
    <t>CANON</t>
  </si>
  <si>
    <t>EPSON</t>
  </si>
  <si>
    <t>XEROX</t>
  </si>
  <si>
    <t>OKPLAST</t>
  </si>
  <si>
    <t>SONY</t>
  </si>
  <si>
    <t>SEVERIN</t>
  </si>
  <si>
    <t>LEADDER</t>
  </si>
  <si>
    <t>Ordinateur portable Administration HP</t>
  </si>
  <si>
    <t xml:space="preserve">Ordinateur portable Administration HP </t>
  </si>
  <si>
    <t xml:space="preserve">Ordinateur portable AEP HP </t>
  </si>
  <si>
    <t xml:space="preserve">Ordinateur portable AO HP </t>
  </si>
  <si>
    <t xml:space="preserve">Ordinateur portable ASSAINISSEMENT HP </t>
  </si>
  <si>
    <t>Ordinateur portable DIRECTEUR TECHNIQUE</t>
  </si>
  <si>
    <t xml:space="preserve">Ordinateur portable Garage HP </t>
  </si>
  <si>
    <t xml:space="preserve">Ordinateur portable logistique HP </t>
  </si>
  <si>
    <t>Pérforeuse AO 01</t>
  </si>
  <si>
    <t>Pérforeuse AO 02</t>
  </si>
  <si>
    <t xml:space="preserve">Poubelle cuisine </t>
  </si>
  <si>
    <t>Pérforeuse AO 03</t>
  </si>
  <si>
    <t>Table de reunion</t>
  </si>
  <si>
    <t>Tableau d'afficharge sécrétariat</t>
  </si>
  <si>
    <t xml:space="preserve"> LIGHTWAVE</t>
  </si>
  <si>
    <t>Table comptabilite 01</t>
  </si>
  <si>
    <t>Table comptabilite 02</t>
  </si>
  <si>
    <t>Téléphone fixe  administration 01</t>
  </si>
  <si>
    <t>Téléphone fixe  administration 02</t>
  </si>
  <si>
    <t>Téléphone fixe  sécrétariat</t>
  </si>
  <si>
    <t>Téléphone fixe AO</t>
  </si>
  <si>
    <t>Téléphone fixe bureau téchnique</t>
  </si>
  <si>
    <t>Téléphone fixe comptablité</t>
  </si>
  <si>
    <t xml:space="preserve">Téléphone fixe DG </t>
  </si>
  <si>
    <t>Ordinateur portable Chef chantier Assinie</t>
  </si>
  <si>
    <t>Assinie</t>
  </si>
  <si>
    <t xml:space="preserve">Table bureau Assinie </t>
  </si>
  <si>
    <t>Chaise bureau  Assinie 01</t>
  </si>
  <si>
    <t>Chaise bureau  Assinie 02</t>
  </si>
  <si>
    <t xml:space="preserve">Climatiseur Assinie </t>
  </si>
  <si>
    <t>Direction</t>
  </si>
  <si>
    <t xml:space="preserve">CONTENEUR BUREAU </t>
  </si>
  <si>
    <t>CONTENEUR MAGASIN</t>
  </si>
  <si>
    <t xml:space="preserve">CONTENEUR TOILETTE </t>
  </si>
  <si>
    <t>ASSINIE MARINA EXTENSION</t>
  </si>
  <si>
    <t>NASCO</t>
  </si>
  <si>
    <t>ATL</t>
  </si>
  <si>
    <t>RESIDENCE BAHIA</t>
  </si>
  <si>
    <t>CRS464210E701426</t>
  </si>
  <si>
    <t>MAT374415LSL00019</t>
  </si>
  <si>
    <t>RESDENCE BAHIA</t>
  </si>
  <si>
    <t>BONOUMIN</t>
  </si>
  <si>
    <t xml:space="preserve">AIGUILLE VIBRANTE AVEC MOTEUR </t>
  </si>
  <si>
    <t>MALA751C4KM029662</t>
  </si>
  <si>
    <t>MM7UR4DFXNW144743</t>
  </si>
  <si>
    <t>WDB9702581K807552</t>
  </si>
  <si>
    <t>VF6BA02A000019555</t>
  </si>
  <si>
    <t>KLTK6D6F1JK000072</t>
  </si>
  <si>
    <t xml:space="preserve">MINI BUS RENAULT MASTER </t>
  </si>
  <si>
    <t>WJMJ4CS800C025910</t>
  </si>
  <si>
    <t>ZCNH96437FPC03807</t>
  </si>
  <si>
    <t xml:space="preserve">Chaise bureau garage </t>
  </si>
  <si>
    <t xml:space="preserve">Garage </t>
  </si>
  <si>
    <t>DESKTOP-K35J5FS</t>
  </si>
  <si>
    <t>Table bureau Garage</t>
  </si>
  <si>
    <t>VLGL956FPM0622770</t>
  </si>
  <si>
    <t>CAT0962GLBAB00819</t>
  </si>
  <si>
    <t>7FD00049800041</t>
  </si>
  <si>
    <t>4722853120/4051</t>
  </si>
  <si>
    <t>9EJ00824YEAR1980</t>
  </si>
  <si>
    <t>CAT12K1926</t>
  </si>
  <si>
    <t>CAT0320DCZCS00333</t>
  </si>
  <si>
    <t>CAT0320DVZCS00334</t>
  </si>
  <si>
    <t>CAT0320BH7JR03587</t>
  </si>
  <si>
    <t>MAT374415LSL00024</t>
  </si>
  <si>
    <t>5079GN 01</t>
  </si>
  <si>
    <t>5TFAY5F18LX891516</t>
  </si>
  <si>
    <t>MM7UR4DF0LW049766</t>
  </si>
  <si>
    <t>MAT374415LBL00018</t>
  </si>
  <si>
    <t>GROUPE ELECTROGENE OLYMPAIN</t>
  </si>
  <si>
    <t xml:space="preserve">POMPE A EPREUVE </t>
  </si>
  <si>
    <t>TAFIRE</t>
  </si>
  <si>
    <t>PANNEAUX DE BLINDAGE JAUNE42 ELTS</t>
  </si>
  <si>
    <t>PANNEAUX DE BLINDAGE LOCAL</t>
  </si>
  <si>
    <t>PANNEAUX DE COFFRAGE DU CHÂTEAU (06jeux avec des boulon )</t>
  </si>
  <si>
    <t xml:space="preserve">QUANTITES </t>
  </si>
  <si>
    <t>PANNEAUX METALLIQUES DE COFFRAGE DES VOILES ET REGARDS 1,00 X 1,00</t>
  </si>
  <si>
    <t>ONAD BONOUMIN</t>
  </si>
  <si>
    <t xml:space="preserve">STATION TOTAL STONES R25+ ACCESSOIRES (TREPRIED CANNE AVEC REFELCTEUR)
</t>
  </si>
  <si>
    <t xml:space="preserve">COLIERS POUR TUYAUX D'ECHAFFAUDAGE DE CHÂTEAU </t>
  </si>
  <si>
    <t xml:space="preserve">TUYAUX D'ECHAFFAUDAGE </t>
  </si>
  <si>
    <t>N°PARC</t>
  </si>
  <si>
    <t>AFFECTATION</t>
  </si>
  <si>
    <t xml:space="preserve">SEMAINE DANS L'ANNEE </t>
  </si>
  <si>
    <t xml:space="preserve">MOIS </t>
  </si>
  <si>
    <t xml:space="preserve">MOTO-POMPE IMER GRUOP </t>
  </si>
  <si>
    <t>FOSSE SEPTIQUE TOUTES EAUX PEHD-FTE</t>
  </si>
  <si>
    <t>EPURATEUR PERCOLATEUR PEHD-EP</t>
  </si>
  <si>
    <t>CONTENEUR MODULAIRE CIBO STANDAR 28M²</t>
  </si>
  <si>
    <t xml:space="preserve">Climatiseur salle de réunion </t>
  </si>
  <si>
    <t>Bonoumin</t>
  </si>
  <si>
    <t>KARCHER HD8/23G CLASSIC</t>
  </si>
  <si>
    <t>AK-PEM028-KA001-2022</t>
  </si>
  <si>
    <t>AK-PEM028-KA002-2022</t>
  </si>
  <si>
    <t>Chaise salle de reunion 1</t>
  </si>
  <si>
    <t>Chaise salle de reunion 2</t>
  </si>
  <si>
    <t>Chaise salle de reunion 3</t>
  </si>
  <si>
    <t>Chaise salle de reunion 4</t>
  </si>
  <si>
    <t>Chaise salle de reunion 5</t>
  </si>
  <si>
    <t>Chaise salle de reunion 6</t>
  </si>
  <si>
    <t>Chaise salle de reunion 7</t>
  </si>
  <si>
    <t>Chaise salle de reunion 8</t>
  </si>
  <si>
    <t>Chaise salle de reunion 9</t>
  </si>
  <si>
    <t>Chaise salle de bureau 1</t>
  </si>
  <si>
    <t>Chaise salle de bureau 2</t>
  </si>
  <si>
    <t>Chaise salle de bureau 3</t>
  </si>
  <si>
    <t>Chaise salle de bureau 4</t>
  </si>
  <si>
    <t>Chaise salle de bureau 5</t>
  </si>
  <si>
    <t>Chaise salle de bureau 6</t>
  </si>
  <si>
    <t>Chaise salle de bureau 7</t>
  </si>
  <si>
    <t>Chaise salle de bureau 8</t>
  </si>
  <si>
    <t xml:space="preserve">MEULE INGCO </t>
  </si>
  <si>
    <t>MOTO-POMPE HONDA</t>
  </si>
  <si>
    <t xml:space="preserve">TRECHVILLE </t>
  </si>
  <si>
    <t xml:space="preserve">CHARGEUSE SDLG L956F </t>
  </si>
  <si>
    <t>CHARGEUSE SDLG LG933L</t>
  </si>
  <si>
    <t>VLG0933LLN0606189</t>
  </si>
  <si>
    <t>POMPE A EPREUVE AV TRONG GX160</t>
  </si>
  <si>
    <t>POMPE A EPREUVE SKILLMAX</t>
  </si>
  <si>
    <t>MOULE POUR ECHANTILLONNAGE BETON (Qte 6)</t>
  </si>
  <si>
    <t>KEDJA ANNE MARIE</t>
  </si>
  <si>
    <t>BETONNIERE 350L COMPLET + CONVOYEUR (accessoires)</t>
  </si>
  <si>
    <t xml:space="preserve">ASSINIE MARINA </t>
  </si>
  <si>
    <t>ASSINE MARINA EXTANTION</t>
  </si>
  <si>
    <t>AK-VL0004-PICK06-2022</t>
  </si>
  <si>
    <t>AK-VL001</t>
  </si>
  <si>
    <t>AK-VL002</t>
  </si>
  <si>
    <t>AK-VL003</t>
  </si>
  <si>
    <t>AK-VL004</t>
  </si>
  <si>
    <t>AK-VL005</t>
  </si>
  <si>
    <t>AK-PICK001</t>
  </si>
  <si>
    <t>AK-PICK002</t>
  </si>
  <si>
    <t>AK-PICK003</t>
  </si>
  <si>
    <t>AK-PICK004</t>
  </si>
  <si>
    <t>AK-PICK005</t>
  </si>
  <si>
    <t>AK-PICK006</t>
  </si>
  <si>
    <t>AK-PICK007</t>
  </si>
  <si>
    <t>AK-PICK008</t>
  </si>
  <si>
    <t>AK-PICK009</t>
  </si>
  <si>
    <t>AK-PICK010</t>
  </si>
  <si>
    <t>AK-PICK011</t>
  </si>
  <si>
    <t>AK-MB001</t>
  </si>
  <si>
    <t>AK-TR001</t>
  </si>
  <si>
    <t>AK-VL006</t>
  </si>
  <si>
    <t>AK-PL001-BEN02-2022</t>
  </si>
  <si>
    <t>AK-PL001-BEN04-2022</t>
  </si>
  <si>
    <t>AK-PL001-BEN05-2022</t>
  </si>
  <si>
    <t>AK-PL002-FO01-2022</t>
  </si>
  <si>
    <t>AK-PL001</t>
  </si>
  <si>
    <t>AK-PL002</t>
  </si>
  <si>
    <t>AK-PL003</t>
  </si>
  <si>
    <t>AK-PL004</t>
  </si>
  <si>
    <t>AK-PL005</t>
  </si>
  <si>
    <t>AK-PL006</t>
  </si>
  <si>
    <t>AK-PL007</t>
  </si>
  <si>
    <t>AK-PL008</t>
  </si>
  <si>
    <t>AK-PL009</t>
  </si>
  <si>
    <t>AK-PL010</t>
  </si>
  <si>
    <t>NIVEAU TOPO LEICA</t>
  </si>
  <si>
    <t>NIVEAU TOPO BOSCH</t>
  </si>
  <si>
    <t>MIRES DE TOPO DE 5 ML</t>
  </si>
  <si>
    <t>TREPIED  TOPO (1 EN BOIS TROITE )</t>
  </si>
  <si>
    <t>TREPIED  TOPO (EN ALUMINIUM)</t>
  </si>
  <si>
    <t>AK-ENC001</t>
  </si>
  <si>
    <t>AK-ENC002</t>
  </si>
  <si>
    <t>AK-ENC003</t>
  </si>
  <si>
    <t>AK-ENC004</t>
  </si>
  <si>
    <t>AK-ENN001</t>
  </si>
  <si>
    <t>AK-ENN002</t>
  </si>
  <si>
    <t>AK-ENP001</t>
  </si>
  <si>
    <t>AK-ENP002</t>
  </si>
  <si>
    <t>AK-ENP003</t>
  </si>
  <si>
    <t>AK-ENP004</t>
  </si>
  <si>
    <t>AK-ENP005</t>
  </si>
  <si>
    <t>AK-ENP006</t>
  </si>
  <si>
    <t>AK-ENT001</t>
  </si>
  <si>
    <t>AK-ENT002</t>
  </si>
  <si>
    <t>AK-ENB001</t>
  </si>
  <si>
    <t>AK-ENH001</t>
  </si>
  <si>
    <t>AK-ENH002</t>
  </si>
  <si>
    <t>AK-ENH003</t>
  </si>
  <si>
    <t>AK-ENH004</t>
  </si>
  <si>
    <t>AK-PBR001</t>
  </si>
  <si>
    <t>AK-PBR002</t>
  </si>
  <si>
    <t>AK-PPE001</t>
  </si>
  <si>
    <t>AK-PCO001</t>
  </si>
  <si>
    <t>AK-PGR001</t>
  </si>
  <si>
    <t>AK-PGR002</t>
  </si>
  <si>
    <t>AK-PGR003</t>
  </si>
  <si>
    <t>AK-PBE001</t>
  </si>
  <si>
    <t>AK-PBE002</t>
  </si>
  <si>
    <t>AK-PBE003</t>
  </si>
  <si>
    <t>AK-PBE004</t>
  </si>
  <si>
    <t>AK-PBE005</t>
  </si>
  <si>
    <t>AK-PPA001</t>
  </si>
  <si>
    <t>AK-PPE002</t>
  </si>
  <si>
    <t>AK-PPO001</t>
  </si>
  <si>
    <t>AK-PPO002</t>
  </si>
  <si>
    <t>AK-PPO003</t>
  </si>
  <si>
    <t>AK-PPO004</t>
  </si>
  <si>
    <t>AK-PRA001</t>
  </si>
  <si>
    <t>AK-PSC001</t>
  </si>
  <si>
    <t>AK-PME001</t>
  </si>
  <si>
    <t>AK-PME002</t>
  </si>
  <si>
    <t>AK-PVI001</t>
  </si>
  <si>
    <t>AK-PVI002</t>
  </si>
  <si>
    <t>AK-PVI003</t>
  </si>
  <si>
    <t>AK-PVI004</t>
  </si>
  <si>
    <t>AK-PAI001</t>
  </si>
  <si>
    <t>AK-PBJ001</t>
  </si>
  <si>
    <t>AK-PBL001</t>
  </si>
  <si>
    <t>AK-PCC001</t>
  </si>
  <si>
    <t>AK-PAD002</t>
  </si>
  <si>
    <t>AK-PAD001</t>
  </si>
  <si>
    <t>AK-PAD003</t>
  </si>
  <si>
    <t>AK-PAD004</t>
  </si>
  <si>
    <t>AK-PST001</t>
  </si>
  <si>
    <t>AK-PPS001</t>
  </si>
  <si>
    <t>AK-PPS002</t>
  </si>
  <si>
    <t>AK-PPS003</t>
  </si>
  <si>
    <t>AK-PPS004</t>
  </si>
  <si>
    <t>AK-PTH001</t>
  </si>
  <si>
    <t>AK-PKA001</t>
  </si>
  <si>
    <t>AK-PKA002</t>
  </si>
  <si>
    <t>AK-PEM029-NIT001-2022</t>
  </si>
  <si>
    <t>AK-PEM029-NIT002-2022</t>
  </si>
  <si>
    <t>AK-PEM030-MIT002-2022</t>
  </si>
  <si>
    <t>AK-PEM030-MIT003-2022</t>
  </si>
  <si>
    <t>AK-PEM031-TRT001-2022</t>
  </si>
  <si>
    <t>AK-PEM031-TRT002-2022</t>
  </si>
  <si>
    <t>AK-PEM031-TRT003-2022</t>
  </si>
  <si>
    <t>AK-PNT001</t>
  </si>
  <si>
    <t>AK-PNT002</t>
  </si>
  <si>
    <t>AK-PMT001</t>
  </si>
  <si>
    <t>AK-PMT002</t>
  </si>
  <si>
    <t>AK-PMT003</t>
  </si>
  <si>
    <t>AK-PTT001</t>
  </si>
  <si>
    <t>AK-PTT002</t>
  </si>
  <si>
    <t>AK-PTT003</t>
  </si>
  <si>
    <t>AK-CBU001</t>
  </si>
  <si>
    <t>AK-CMA002</t>
  </si>
  <si>
    <t>AK-CMA003</t>
  </si>
  <si>
    <t>AK-CTO004</t>
  </si>
  <si>
    <t>AK-CBU002</t>
  </si>
  <si>
    <t>AK-CTO002</t>
  </si>
  <si>
    <t>AK-CBU003</t>
  </si>
  <si>
    <t>AK-CBU004</t>
  </si>
  <si>
    <t>AK-CMA001</t>
  </si>
  <si>
    <t>AK-CMA004</t>
  </si>
  <si>
    <t>AK-CMA005</t>
  </si>
  <si>
    <t>AK-CMA006</t>
  </si>
  <si>
    <t>AK-CMA007</t>
  </si>
  <si>
    <t>AK-CMA008</t>
  </si>
  <si>
    <t>AK-CMA009</t>
  </si>
  <si>
    <t>AK-CMA010</t>
  </si>
  <si>
    <t>AK-CTO001</t>
  </si>
  <si>
    <t>AK-CTO003</t>
  </si>
  <si>
    <t>AK-CTO005</t>
  </si>
  <si>
    <t>AK-CTO006</t>
  </si>
  <si>
    <t>AK-CTO007</t>
  </si>
  <si>
    <t>AK-CTO008</t>
  </si>
  <si>
    <t>AK-CTO009</t>
  </si>
  <si>
    <t>AK-CTO010</t>
  </si>
  <si>
    <t>AK-CTO011</t>
  </si>
  <si>
    <t>AK-CSR001</t>
  </si>
  <si>
    <t>AK-CBU005</t>
  </si>
  <si>
    <t>AK-CBU006</t>
  </si>
  <si>
    <t>AK-VLF001</t>
  </si>
  <si>
    <t xml:space="preserve">MOTO-POMPE WORMS </t>
  </si>
  <si>
    <t xml:space="preserve">ASSINIE MARINA EXTANTION </t>
  </si>
  <si>
    <t>AK-VL0001-BER001-2022</t>
  </si>
  <si>
    <t>AK-VL0002-CIT001-2022</t>
  </si>
  <si>
    <t>AK-VL0002-CIT002-2022</t>
  </si>
  <si>
    <t>AK-VL0002-CIT003-2022</t>
  </si>
  <si>
    <t>AK-VL0002-CIT004-2022</t>
  </si>
  <si>
    <t>AK-VL0005-SU001-2022</t>
  </si>
  <si>
    <t>AK-VL0003-FO001-2022</t>
  </si>
  <si>
    <t>AK-VL0004-PICK001-2022</t>
  </si>
  <si>
    <t>AK-VL0004-PICK002-2022</t>
  </si>
  <si>
    <t>AK-VL0004-PICK003-2022</t>
  </si>
  <si>
    <t>AK-VL0004-PICK004-2022</t>
  </si>
  <si>
    <t>AK-VL0004-PICK005-2022</t>
  </si>
  <si>
    <t>AK-VL0004-PICK006-2022</t>
  </si>
  <si>
    <t>AK-VL0004-PICK007-2022</t>
  </si>
  <si>
    <t>AK-VL0004-PICK008-2022</t>
  </si>
  <si>
    <t>AK-VL0004-PICK009-2022</t>
  </si>
  <si>
    <t>AK-VL0004-PICK010-2022</t>
  </si>
  <si>
    <t>AK-VL0004-PICK011-2022</t>
  </si>
  <si>
    <t>AK-VL0006-MB001-2022</t>
  </si>
  <si>
    <t>AK-VL0007-TR001-2022</t>
  </si>
  <si>
    <t>AK-PL001-BEN001-2022</t>
  </si>
  <si>
    <t>AK-PL001-BEN002-2022</t>
  </si>
  <si>
    <t>AK-PL001-BEN003-2022</t>
  </si>
  <si>
    <t>AK-PL001-BEN004-2022</t>
  </si>
  <si>
    <t>AK-PL001-BEN005-2022</t>
  </si>
  <si>
    <t>AK-PL002-FO001-2022</t>
  </si>
  <si>
    <t>AK-PL003-PL001-2022</t>
  </si>
  <si>
    <t>AK-PL004-PC001-2022</t>
  </si>
  <si>
    <t>AK-PL004-PC002-2022</t>
  </si>
  <si>
    <t>AK-PL005-TR001-2022</t>
  </si>
  <si>
    <t>AK-EN002-CH002-2022</t>
  </si>
  <si>
    <t>AK-EN002-CH003-2022</t>
  </si>
  <si>
    <t>AK-EN002-CH004-2022</t>
  </si>
  <si>
    <t>AK-EN003-CO001-2022</t>
  </si>
  <si>
    <t>AK-EN003-CO002-2022</t>
  </si>
  <si>
    <t>AK-EN003-CO003-2022</t>
  </si>
  <si>
    <t>AK-EN003-CO004-2022</t>
  </si>
  <si>
    <t>AK-EN004-NV001-2022</t>
  </si>
  <si>
    <t>AK-EN004-NV002-2022</t>
  </si>
  <si>
    <t>AK-EN005-PE001-2022</t>
  </si>
  <si>
    <t>AK-EN005-PE002-2022</t>
  </si>
  <si>
    <t>AK-EN005-PE003-2022</t>
  </si>
  <si>
    <t>AK-EN005-PE004-2022</t>
  </si>
  <si>
    <t>AK-EN005-PE005-2022</t>
  </si>
  <si>
    <t>AK-EN005-PE006-2022</t>
  </si>
  <si>
    <t>AK-EN006-TR001-2022</t>
  </si>
  <si>
    <t>AK-EN006-TR002-2022</t>
  </si>
  <si>
    <t>AK-PEM001-BR001-2022</t>
  </si>
  <si>
    <t>AK-PEM001-BR002-2022</t>
  </si>
  <si>
    <t>AK-PEM002-PE001-2022</t>
  </si>
  <si>
    <t>AK-PEM002-PE002-2022</t>
  </si>
  <si>
    <t>AK-PEM003-POE001-2022</t>
  </si>
  <si>
    <t>AK-PEM003-POE002-2022</t>
  </si>
  <si>
    <t>AK-PEM003-POE003-2022</t>
  </si>
  <si>
    <t>AK-PEM003-POE004-2022</t>
  </si>
  <si>
    <t>AK-PEM004-RA001-2022</t>
  </si>
  <si>
    <t>AK-PEM005-CO001-2022</t>
  </si>
  <si>
    <t>AK-PEM007-GR001-2022</t>
  </si>
  <si>
    <t>AK-PEM007-GR002-2022</t>
  </si>
  <si>
    <t>AK-PEM007-GR003-2022</t>
  </si>
  <si>
    <t>AK-PEM008-POG001-2022</t>
  </si>
  <si>
    <t>AK-PEM009-BE001-2022</t>
  </si>
  <si>
    <t>AK-PEM009-BE002-2022</t>
  </si>
  <si>
    <t>AK-PEM009-BE003-2022</t>
  </si>
  <si>
    <t>AK-PEM009-BE004-2022</t>
  </si>
  <si>
    <t>AK-PEM009-BE005-2022</t>
  </si>
  <si>
    <t>AK-PEM010-PA001-2022</t>
  </si>
  <si>
    <t>AK-PMO001</t>
  </si>
  <si>
    <t>AK-PEM011-SC001-2022</t>
  </si>
  <si>
    <t>AK-PEM012-ME001-2022</t>
  </si>
  <si>
    <t>AK-PEM010-MO002-2022</t>
  </si>
  <si>
    <t>AK-PEM012-ME002-2022</t>
  </si>
  <si>
    <t>AK-PEM013-VI001-2022</t>
  </si>
  <si>
    <t>AK-PEM013-VI002-2022</t>
  </si>
  <si>
    <t>AK-PEM013-VI003-2022</t>
  </si>
  <si>
    <t>AK-PEM013-VI004-2022</t>
  </si>
  <si>
    <t>AK-PEM014-AI001-2022</t>
  </si>
  <si>
    <t>AK-PEM014-AI002-2022</t>
  </si>
  <si>
    <t>AK-PEM015-MOP001-2022</t>
  </si>
  <si>
    <t>AK-PMOP001</t>
  </si>
  <si>
    <t>AK-PEM015-MOP002-2022</t>
  </si>
  <si>
    <t>AK-PMOP002</t>
  </si>
  <si>
    <t>AK-PEM015-MOP003-2022</t>
  </si>
  <si>
    <t>AK-PMOP003</t>
  </si>
  <si>
    <t>AK-PEM015-MOP004-2022</t>
  </si>
  <si>
    <t>AK-PMOP004</t>
  </si>
  <si>
    <t>AK-PEM015-MOP005-2022</t>
  </si>
  <si>
    <t>AK-PMOP005</t>
  </si>
  <si>
    <t>AK-PEM016-PMC001-2022</t>
  </si>
  <si>
    <t>AK-PMC001</t>
  </si>
  <si>
    <t>AK-PEM017-PBJ001-2022</t>
  </si>
  <si>
    <t>AK-PEM018-PBL001-2022</t>
  </si>
  <si>
    <t>AK-PEM019-PCC001-2022</t>
  </si>
  <si>
    <t>AK-PEM020-ST001-2022</t>
  </si>
  <si>
    <t>AK-PEM021-PS001-2022</t>
  </si>
  <si>
    <t>AK-PEM021-PS002-2022</t>
  </si>
  <si>
    <t>AK-PEM021-PS003-2022</t>
  </si>
  <si>
    <t>AK-PEM021-PS004-2022</t>
  </si>
  <si>
    <t>AK-PEM022-FUE001-2022</t>
  </si>
  <si>
    <t>AK-PFUE001</t>
  </si>
  <si>
    <t>AK-PEM023-PAD001-2022</t>
  </si>
  <si>
    <t>AK-PEM023-PAD002-2022</t>
  </si>
  <si>
    <t>AK-PEM023-PAD003-2022</t>
  </si>
  <si>
    <t>AK-PEM023-PAD004-2022</t>
  </si>
  <si>
    <t>AK-PEM024-CTE001-2022</t>
  </si>
  <si>
    <t>AK-PCTE001</t>
  </si>
  <si>
    <t>AK-PEM025-TH001-2022</t>
  </si>
  <si>
    <t>AK-PEM026-FOS001-2022</t>
  </si>
  <si>
    <t>AK-PFOS001</t>
  </si>
  <si>
    <t>AK-PEM026-FOS002-2022</t>
  </si>
  <si>
    <t>AK-PFOS002</t>
  </si>
  <si>
    <t>AK-PEM027-EPU001-2022</t>
  </si>
  <si>
    <t>AK-PEPU001</t>
  </si>
  <si>
    <t>AK-PEM027-EPU002-2022</t>
  </si>
  <si>
    <t>AK-PEPU002</t>
  </si>
  <si>
    <t>AK-MOB01-AR001-2022</t>
  </si>
  <si>
    <t>AK-MAR001</t>
  </si>
  <si>
    <t>AK-MOB01-AR002-2022</t>
  </si>
  <si>
    <t>AK-MAR002</t>
  </si>
  <si>
    <t>AK-MOB01-AR003-2022</t>
  </si>
  <si>
    <t>AK-MOB01-AR004-2022</t>
  </si>
  <si>
    <t>AK-MOB01-AR005-2022</t>
  </si>
  <si>
    <t>AK-MOB02-BA001-2022</t>
  </si>
  <si>
    <t>AK-MAR004</t>
  </si>
  <si>
    <t>AK-MAR003</t>
  </si>
  <si>
    <t>AK-MAR005</t>
  </si>
  <si>
    <t>AK-MBA001</t>
  </si>
  <si>
    <t>AK-MOB03-BG001-2022</t>
  </si>
  <si>
    <t>AK-MBG001</t>
  </si>
  <si>
    <t>AK-MOB04-BI001-2022</t>
  </si>
  <si>
    <t>AK-MBI001</t>
  </si>
  <si>
    <t>AK-MOB05-CAF001-2022</t>
  </si>
  <si>
    <t>AK-MCAF001</t>
  </si>
  <si>
    <t>AK-MOB05-CAF002-2022</t>
  </si>
  <si>
    <t>AK-MCAF002</t>
  </si>
  <si>
    <t>AK-MOB05-CAF003-2022</t>
  </si>
  <si>
    <t>AK-MCAF003</t>
  </si>
  <si>
    <t>AK-MOB06-CAM001-2022</t>
  </si>
  <si>
    <t>AK-MOB07-CAN001-2022</t>
  </si>
  <si>
    <t>AK-MOB08-CH001-2022</t>
  </si>
  <si>
    <t>AK-MCAM001</t>
  </si>
  <si>
    <t>AK-MCAN001</t>
  </si>
  <si>
    <t>AK-MCH001</t>
  </si>
  <si>
    <t>AK-MOB08-CH002-2022</t>
  </si>
  <si>
    <t>AK-MOB08-CH003-2022</t>
  </si>
  <si>
    <t>AK-MOB08-CH004-2022</t>
  </si>
  <si>
    <t>AK-MOB08-CH005-2022</t>
  </si>
  <si>
    <t>AK-MOB08-CH006-2022</t>
  </si>
  <si>
    <t>AK-MOB08-CH007-2022</t>
  </si>
  <si>
    <t>AK-MOB08-CH009-2022</t>
  </si>
  <si>
    <t>AK-MOB08-CH010-2022</t>
  </si>
  <si>
    <t>AK-MOB08-CH011-2022</t>
  </si>
  <si>
    <t>AK-MOB08-CH012-2022</t>
  </si>
  <si>
    <t>AK-MOB08-CH013-2022</t>
  </si>
  <si>
    <t>AK-MOB08-CH014-2022</t>
  </si>
  <si>
    <t>AK-MOB08-CH015-2022</t>
  </si>
  <si>
    <t>AK-MOB08-CH016-2022</t>
  </si>
  <si>
    <t>AK-MOB08-CH017-2022</t>
  </si>
  <si>
    <t>AK-MCH002</t>
  </si>
  <si>
    <t>AK-MCH003</t>
  </si>
  <si>
    <t>AK-MCH004</t>
  </si>
  <si>
    <t>AK-MCH005</t>
  </si>
  <si>
    <t>AK-MCH006</t>
  </si>
  <si>
    <t>AK-MCH007</t>
  </si>
  <si>
    <t>AK-MCH009</t>
  </si>
  <si>
    <t>AK-MCH010</t>
  </si>
  <si>
    <t>AK-MCH011</t>
  </si>
  <si>
    <t>AK-MCH012</t>
  </si>
  <si>
    <t>AK-MCH013</t>
  </si>
  <si>
    <t>AK-MCH014</t>
  </si>
  <si>
    <t>AK-MCH015</t>
  </si>
  <si>
    <t>AK-MCH016</t>
  </si>
  <si>
    <t>AK-MCH017</t>
  </si>
  <si>
    <t>AK-MCH018</t>
  </si>
  <si>
    <t>AK-MOB08-CH019-2022</t>
  </si>
  <si>
    <t>AK-MOB08-CH020-2022</t>
  </si>
  <si>
    <t>AK-MOB08-CH021-2022</t>
  </si>
  <si>
    <t>AK-MOB08-CH022-2022</t>
  </si>
  <si>
    <t>AK-MOB08-CH023-2022</t>
  </si>
  <si>
    <t>AK-MOB08-CH024-2022</t>
  </si>
  <si>
    <t>AK-MOB08-CH025-2022</t>
  </si>
  <si>
    <t>AK-MOB08-CH027-2022</t>
  </si>
  <si>
    <t>AK-MOB08-CH028-2022</t>
  </si>
  <si>
    <t>AK-MOB08-CH029-2022</t>
  </si>
  <si>
    <t>AK-MOB08-CH030-2022</t>
  </si>
  <si>
    <t>AK-MOB08-CH031-2022</t>
  </si>
  <si>
    <t>AK-MOB08-CH032-2022</t>
  </si>
  <si>
    <t>AK-MOB08-CH033-2022</t>
  </si>
  <si>
    <t>AK-MOB08-CH034-2022</t>
  </si>
  <si>
    <t>AK-MOB08-CH018-2022</t>
  </si>
  <si>
    <t>AK-MCH019</t>
  </si>
  <si>
    <t>AK-MCH020</t>
  </si>
  <si>
    <t>AK-MCH021</t>
  </si>
  <si>
    <t>AK-MCH022</t>
  </si>
  <si>
    <t>AK-MCH023</t>
  </si>
  <si>
    <t>AK-MCH024</t>
  </si>
  <si>
    <t>AK-MCH025</t>
  </si>
  <si>
    <t>AK-MCH027</t>
  </si>
  <si>
    <t>AK-MCH028</t>
  </si>
  <si>
    <t>AK-MCH029</t>
  </si>
  <si>
    <t>AK-MCH030</t>
  </si>
  <si>
    <t>AK-MCH031</t>
  </si>
  <si>
    <t>AK-MCH032</t>
  </si>
  <si>
    <t>AK-MCH033</t>
  </si>
  <si>
    <t>AK-MCH034</t>
  </si>
  <si>
    <t>AK-MOB08-CH035-2022</t>
  </si>
  <si>
    <t>AK-MOB08-CH036-2022</t>
  </si>
  <si>
    <t>AK-MOB08-CH037-2022</t>
  </si>
  <si>
    <t>AK-MOB08-CH038-2022</t>
  </si>
  <si>
    <t>AK-MOB08-CH039-2022</t>
  </si>
  <si>
    <t>AK-MOB08-CH040-2022</t>
  </si>
  <si>
    <t>AK-MOB08-CH041-2022</t>
  </si>
  <si>
    <t>AK-MOB08-CH042-2022</t>
  </si>
  <si>
    <t>AK-MOB08-CH043-2022</t>
  </si>
  <si>
    <t>AK-MOB08-CH044-2022</t>
  </si>
  <si>
    <t>AK-MOB08-CH045-2022</t>
  </si>
  <si>
    <t>AK-MOB08-CH046-2022</t>
  </si>
  <si>
    <t>AK-MOB08-CH047-2022</t>
  </si>
  <si>
    <t>AK-MOB08-CH048-2022</t>
  </si>
  <si>
    <t>AK-MOB08-CH049-2022</t>
  </si>
  <si>
    <t>AK-MCH035</t>
  </si>
  <si>
    <t>AK-MCH036</t>
  </si>
  <si>
    <t>AK-MCH037</t>
  </si>
  <si>
    <t>AK-MCH038</t>
  </si>
  <si>
    <t>AK-MCH039</t>
  </si>
  <si>
    <t>AK-MCH040</t>
  </si>
  <si>
    <t>AK-MCH041</t>
  </si>
  <si>
    <t>AK-MCH042</t>
  </si>
  <si>
    <t>AK-MCH043</t>
  </si>
  <si>
    <t>AK-MCH044</t>
  </si>
  <si>
    <t>AK-MCH045</t>
  </si>
  <si>
    <t>AK-MCH046</t>
  </si>
  <si>
    <t>AK-MCH047</t>
  </si>
  <si>
    <t>AK-MCH048</t>
  </si>
  <si>
    <t>AK-MCH049</t>
  </si>
  <si>
    <t>AK-MOB08-CH050-2022</t>
  </si>
  <si>
    <t>AK-MOB08-CH051-2022</t>
  </si>
  <si>
    <t>AK-MOB08-CH052-2022</t>
  </si>
  <si>
    <t>AK-MOB08-CH053-2022</t>
  </si>
  <si>
    <t>AK-MOB08-CH054-2022</t>
  </si>
  <si>
    <t>AK-MOB08-CH055-2022</t>
  </si>
  <si>
    <t>AK-MOB08-CH056-2022</t>
  </si>
  <si>
    <t>AK-MOB08-CH057-2022</t>
  </si>
  <si>
    <t>AK-MOB08-CH058-2022</t>
  </si>
  <si>
    <t>AK-MOB08-CH059-2022</t>
  </si>
  <si>
    <t>AK-MOB08-CH060-2022</t>
  </si>
  <si>
    <t>AK-MOB08-CH061-2022</t>
  </si>
  <si>
    <t>AK-MOB08-CH062-2022</t>
  </si>
  <si>
    <t>AK-MOB08-CH063-2022</t>
  </si>
  <si>
    <t>AK-MOB08-CH064-2022</t>
  </si>
  <si>
    <t>AK-MOB08-CH065-2022</t>
  </si>
  <si>
    <t>AK-MCH050</t>
  </si>
  <si>
    <t>AK-MCH051</t>
  </si>
  <si>
    <t>AK-MCH052</t>
  </si>
  <si>
    <t>AK-MCH053</t>
  </si>
  <si>
    <t>AK-MCH054</t>
  </si>
  <si>
    <t>AK-MCH055</t>
  </si>
  <si>
    <t>AK-MCH056</t>
  </si>
  <si>
    <t>AK-MCH057</t>
  </si>
  <si>
    <t>AK-MCH058</t>
  </si>
  <si>
    <t>AK-MCH059</t>
  </si>
  <si>
    <t>AK-MCH061</t>
  </si>
  <si>
    <t>AK-MCH060</t>
  </si>
  <si>
    <t>AK-MCH062</t>
  </si>
  <si>
    <t>AK-MCH064</t>
  </si>
  <si>
    <t>AK-MCH063</t>
  </si>
  <si>
    <t>AK-MCH065</t>
  </si>
  <si>
    <t>AK-MOB09-CL001-2022</t>
  </si>
  <si>
    <t>AK-MOB09-CL002-2022</t>
  </si>
  <si>
    <t>AK-MOB09-CL003-2022</t>
  </si>
  <si>
    <t>AK-MOB09-CL004-2022</t>
  </si>
  <si>
    <t>AK-MOB09-CL005-2022</t>
  </si>
  <si>
    <t>AK-MOB10-CLM001-2022</t>
  </si>
  <si>
    <t>AK-MOB10-CLM002-2022</t>
  </si>
  <si>
    <t>AK-MOB10-CLM003-2022</t>
  </si>
  <si>
    <t>AK-MOB10-CLM005-2022</t>
  </si>
  <si>
    <t>AK-MOB10-CLM004-2022</t>
  </si>
  <si>
    <t>AK-MOB10-CLM006-2022</t>
  </si>
  <si>
    <t>AK-MOB10-CLM007-2022</t>
  </si>
  <si>
    <t>AK-MOB10-CLM008-2022</t>
  </si>
  <si>
    <t>AK-MOB10-CLM009-2022</t>
  </si>
  <si>
    <t>AK-MOB10-CLM010-2022</t>
  </si>
  <si>
    <t>AK-MOB10-CLM011-2022</t>
  </si>
  <si>
    <t>AK-MCL001</t>
  </si>
  <si>
    <t>AK-MCL002</t>
  </si>
  <si>
    <t>AK-MCL003</t>
  </si>
  <si>
    <t>AK-MCL004</t>
  </si>
  <si>
    <t>AK-MCL005</t>
  </si>
  <si>
    <t>AK-MCLM001</t>
  </si>
  <si>
    <t>AK-MCLM002</t>
  </si>
  <si>
    <t>AK-MCLM003</t>
  </si>
  <si>
    <t>AK-MCLM005</t>
  </si>
  <si>
    <t>AK-MCLM004</t>
  </si>
  <si>
    <t>AK-MCLM006</t>
  </si>
  <si>
    <t>AK-MCLM007</t>
  </si>
  <si>
    <t>AK-MCLM008</t>
  </si>
  <si>
    <t>AK-MCLM009</t>
  </si>
  <si>
    <t>AK-MCLM010</t>
  </si>
  <si>
    <t>AK-MCLM011</t>
  </si>
  <si>
    <t>AK-MOB10-CLM012-2022</t>
  </si>
  <si>
    <t>AK-MOB10-CLM013-2022</t>
  </si>
  <si>
    <t>AK-MOB10-CLM014-2022</t>
  </si>
  <si>
    <t>AK-MOB10-CLM015-2022</t>
  </si>
  <si>
    <t>AK-MOB11-CO001-2022</t>
  </si>
  <si>
    <t>AK-MOB11-CO002-2022</t>
  </si>
  <si>
    <t>AK-MOB11-CO003-2022</t>
  </si>
  <si>
    <t>AK-MOB11-CO004-2022</t>
  </si>
  <si>
    <t>AK-MOB12-COT001-2022</t>
  </si>
  <si>
    <t>AK-MCLM012</t>
  </si>
  <si>
    <t>AK-MCLM013</t>
  </si>
  <si>
    <t>AK-MCLM014</t>
  </si>
  <si>
    <t>AK-MCLM015</t>
  </si>
  <si>
    <t>AK-MCO001</t>
  </si>
  <si>
    <t>AK-MCO002</t>
  </si>
  <si>
    <t>AK-MCO003</t>
  </si>
  <si>
    <t>AK-MCO004</t>
  </si>
  <si>
    <t>AK-MCOT001</t>
  </si>
  <si>
    <t>AK-MOB13-DE001-2022</t>
  </si>
  <si>
    <t>AK-MOB13-DE002-2022</t>
  </si>
  <si>
    <t>AK-MOB14-EC001-2022</t>
  </si>
  <si>
    <t>AK-MOB14-EC002-2022</t>
  </si>
  <si>
    <t>AK-MOB14-EC003-2022</t>
  </si>
  <si>
    <t>AK-MOB14-EC004-2022</t>
  </si>
  <si>
    <t>AK-MOB14-EC005-2022</t>
  </si>
  <si>
    <t>AK-MOB14-EC006-2022</t>
  </si>
  <si>
    <t>AK-MOB14-EC007-2022</t>
  </si>
  <si>
    <t>AK-MOB14-EC008-2022</t>
  </si>
  <si>
    <t>AK-MOB14-EC009-2022</t>
  </si>
  <si>
    <t>AK-MOB14-EC010-2022</t>
  </si>
  <si>
    <t>AK-MOB14-EC011-2022</t>
  </si>
  <si>
    <t>AK-MOB15-FA001-2022</t>
  </si>
  <si>
    <t>AK-MOB15-FA002-2022</t>
  </si>
  <si>
    <t>AK-MDE001</t>
  </si>
  <si>
    <t>AK-MDE002</t>
  </si>
  <si>
    <t>AK-MEC001</t>
  </si>
  <si>
    <t>AK-MEC002</t>
  </si>
  <si>
    <t>AK-MEC003</t>
  </si>
  <si>
    <t>AK-MEC004</t>
  </si>
  <si>
    <t>AK-MEC005</t>
  </si>
  <si>
    <t>AK-MEC006</t>
  </si>
  <si>
    <t>AK-MEC007</t>
  </si>
  <si>
    <t>AK-MEC008</t>
  </si>
  <si>
    <t>AK-MEC009</t>
  </si>
  <si>
    <t>AK-MEC010</t>
  </si>
  <si>
    <t>AK-MEC011</t>
  </si>
  <si>
    <t>AK-MFA001</t>
  </si>
  <si>
    <t>AK-MFA002</t>
  </si>
  <si>
    <t>AK-MFA003</t>
  </si>
  <si>
    <t>AK-MOB15-FA003-2022</t>
  </si>
  <si>
    <t>AK-MOB15-FA004-2022</t>
  </si>
  <si>
    <t>AK-MOB16-GA001-2022</t>
  </si>
  <si>
    <t>AK-MOB17-IM001-2022</t>
  </si>
  <si>
    <t>AK-MOB17-IM002-2022</t>
  </si>
  <si>
    <t>AK-MOB17-IM003-2022</t>
  </si>
  <si>
    <t>AK-MOB17-IM004-2022</t>
  </si>
  <si>
    <t>AK-MOB17-IM005-2022</t>
  </si>
  <si>
    <t>AK-MOB17-IM006-2022</t>
  </si>
  <si>
    <t>AK-MOB17-IM007-2022</t>
  </si>
  <si>
    <t>AK-MOB17-IM008-2022</t>
  </si>
  <si>
    <t>AK-MOB17-IM009-2022</t>
  </si>
  <si>
    <t>AK-MOB18-MI001-2022</t>
  </si>
  <si>
    <t>AK-MOB19-ON001-2022</t>
  </si>
  <si>
    <t>AK-MOB20-OR001-2022</t>
  </si>
  <si>
    <t>AK-MFA004</t>
  </si>
  <si>
    <t>AK-MGA001</t>
  </si>
  <si>
    <t>AK-MIM001</t>
  </si>
  <si>
    <t>AK-MIM002</t>
  </si>
  <si>
    <t>AK-MIM003</t>
  </si>
  <si>
    <t>AK-MIM004</t>
  </si>
  <si>
    <t>AK-MIM005</t>
  </si>
  <si>
    <t>AK-MIM006</t>
  </si>
  <si>
    <t>AK-MIM007</t>
  </si>
  <si>
    <t>AK-MIM008</t>
  </si>
  <si>
    <t>AK-MIM009</t>
  </si>
  <si>
    <t>AK-MMI001</t>
  </si>
  <si>
    <t>AK-MON001</t>
  </si>
  <si>
    <t>AK-MOR001</t>
  </si>
  <si>
    <t>AK-MOB20-OR002-2022</t>
  </si>
  <si>
    <t>AK-MOB20-OR003-2022</t>
  </si>
  <si>
    <t>AK-MOB20-OR004-2022</t>
  </si>
  <si>
    <t>AK-MOB20-OR005-2022</t>
  </si>
  <si>
    <t>AK-MOB20-OR006-2022</t>
  </si>
  <si>
    <t>AK-MOB20-OR007-2022</t>
  </si>
  <si>
    <t>AK-MOB20-OR008-2022</t>
  </si>
  <si>
    <t>AK-MOB20-OR009-2022</t>
  </si>
  <si>
    <t>AK-MOB20-OR010-2022</t>
  </si>
  <si>
    <t>AK-MOB21-PE001-2022</t>
  </si>
  <si>
    <t>AK-MOB21-PE002-2022</t>
  </si>
  <si>
    <t>AK-MOB21-PE003-2022</t>
  </si>
  <si>
    <t>AK-MOB22-PO001-2022</t>
  </si>
  <si>
    <t>AK-MOB23-RE001-2022</t>
  </si>
  <si>
    <t>AK-MOB23-RE002-2022</t>
  </si>
  <si>
    <t>AK-MOB23-RE003-2022</t>
  </si>
  <si>
    <t>AK-MOR002</t>
  </si>
  <si>
    <t>AK-MOR003</t>
  </si>
  <si>
    <t>AK-MOR004</t>
  </si>
  <si>
    <t>AK-MOR005</t>
  </si>
  <si>
    <t>AK-MOR006</t>
  </si>
  <si>
    <t>AK-MOR007</t>
  </si>
  <si>
    <t>AK-MOR008</t>
  </si>
  <si>
    <t>AK-MOR009</t>
  </si>
  <si>
    <t>AK-MOR010</t>
  </si>
  <si>
    <t>AK-MPE001</t>
  </si>
  <si>
    <t>AK-MPE002</t>
  </si>
  <si>
    <t>AK-MPE003</t>
  </si>
  <si>
    <t>AK-MPO001</t>
  </si>
  <si>
    <t>AK-MRE001</t>
  </si>
  <si>
    <t>AK-MRE002</t>
  </si>
  <si>
    <t>AK-MRE003</t>
  </si>
  <si>
    <t>AK-MOB24-TA001-2022</t>
  </si>
  <si>
    <t>AK-MOB24-TA002-2022</t>
  </si>
  <si>
    <t>AK-MOB24-TA003-2022</t>
  </si>
  <si>
    <t>AK-MOB24-TA004-2022</t>
  </si>
  <si>
    <t>AK-MOB24-TA005-2022</t>
  </si>
  <si>
    <t>AK-MOB24-TA006-2022</t>
  </si>
  <si>
    <t>AK-MOB24-TA007-2022</t>
  </si>
  <si>
    <t>AK-MOB24-TA008-2022</t>
  </si>
  <si>
    <t>AK-MOB24-TA009-2022</t>
  </si>
  <si>
    <t>AK-MOB24-TA010-2022</t>
  </si>
  <si>
    <t>AK-MOB24-TA011-2022</t>
  </si>
  <si>
    <t>AK-MOB24-TA012-2022</t>
  </si>
  <si>
    <t>AK-MOB24-TA013-2022</t>
  </si>
  <si>
    <t>AK-MTA001</t>
  </si>
  <si>
    <t>AK-MTA002</t>
  </si>
  <si>
    <t>AK-MTA003</t>
  </si>
  <si>
    <t>AK-MTA004</t>
  </si>
  <si>
    <t>AK-MTA005</t>
  </si>
  <si>
    <t>AK-MTA006</t>
  </si>
  <si>
    <t>AK-MTA007</t>
  </si>
  <si>
    <t>AK-MTA008</t>
  </si>
  <si>
    <t>AK-MTA009</t>
  </si>
  <si>
    <t>AK-MTA010</t>
  </si>
  <si>
    <t>AK-MTA011</t>
  </si>
  <si>
    <t>AK-MTA012</t>
  </si>
  <si>
    <t>AK-MTA013</t>
  </si>
  <si>
    <t>AK-MOB24-TA014-2022</t>
  </si>
  <si>
    <t>AK-MTA014</t>
  </si>
  <si>
    <t>AK-MOB24-TA015-2022</t>
  </si>
  <si>
    <t>AK-MOB24-TA016-2022</t>
  </si>
  <si>
    <t>AK-MOB24-TA017-2022</t>
  </si>
  <si>
    <t>AK-MOB24-TAB001-2022</t>
  </si>
  <si>
    <t>AK-MOB24-TAB002-2022</t>
  </si>
  <si>
    <t>AK-MOB25-TE001-2022</t>
  </si>
  <si>
    <t>AK-MOB25-TE002-2022</t>
  </si>
  <si>
    <t>AK-MOB25-TE003-2022</t>
  </si>
  <si>
    <t>AK-MOB25-TE004-2022</t>
  </si>
  <si>
    <t>AK-MOB25-TE005-2022</t>
  </si>
  <si>
    <t>AK-MOB25-TE006-2022</t>
  </si>
  <si>
    <t>AK-MOB25-TE007-2022</t>
  </si>
  <si>
    <t>AK-MOB26-TV001-2022</t>
  </si>
  <si>
    <t>AK-MOB27-UC001-2022</t>
  </si>
  <si>
    <t>AK-MOB27-UC002-2022</t>
  </si>
  <si>
    <t>AK-MOB27-UC003-2022</t>
  </si>
  <si>
    <t>AK-MTA015</t>
  </si>
  <si>
    <t>AK-MTA016</t>
  </si>
  <si>
    <t>AK-MTA017</t>
  </si>
  <si>
    <t>AK-MTAB001</t>
  </si>
  <si>
    <t>AK-MTAB002</t>
  </si>
  <si>
    <t>AK-MTE001</t>
  </si>
  <si>
    <t>AK-MTE002</t>
  </si>
  <si>
    <t>AK-MTE003</t>
  </si>
  <si>
    <t>AK-MTE004</t>
  </si>
  <si>
    <t>AK-MTE005</t>
  </si>
  <si>
    <t>AK-MTE006</t>
  </si>
  <si>
    <t>AK-MTE007</t>
  </si>
  <si>
    <t>AK-MTV001</t>
  </si>
  <si>
    <t>AK-MUC001</t>
  </si>
  <si>
    <t>AK-MUC002</t>
  </si>
  <si>
    <t>AK-MUC003</t>
  </si>
  <si>
    <t>AK-MOB27-UC004-2022</t>
  </si>
  <si>
    <t>AK-MOB27-UC005-2022</t>
  </si>
  <si>
    <t>AK-MOB27-UC006-2022</t>
  </si>
  <si>
    <t>AK-MOB27-UC007-2022</t>
  </si>
  <si>
    <t>AK-MOB28-VIP001-2022</t>
  </si>
  <si>
    <t>AK-MUC004</t>
  </si>
  <si>
    <t>AK-MUC005</t>
  </si>
  <si>
    <t>AK-MUC006</t>
  </si>
  <si>
    <t>AK-MUC007</t>
  </si>
  <si>
    <t>AK-MVIP001</t>
  </si>
  <si>
    <t>AK-CO001-BU001-2022</t>
  </si>
  <si>
    <t>AK-CO001-BU002-2022</t>
  </si>
  <si>
    <t>AK-CO001-BU003-2022</t>
  </si>
  <si>
    <t>AK-CO001-BU004-2022</t>
  </si>
  <si>
    <t>AK-CO001-BU005-2022</t>
  </si>
  <si>
    <t>AK-CO001-BU006-2022</t>
  </si>
  <si>
    <t>AK-CO002-MA001-2022</t>
  </si>
  <si>
    <t>AK-CO002-MA002-2022</t>
  </si>
  <si>
    <t>AK-CO002-MA003-2022</t>
  </si>
  <si>
    <t>AK-CO003-MA004-2022</t>
  </si>
  <si>
    <t>AK-CO003-MA005-2022</t>
  </si>
  <si>
    <t>AK-CO003-MA006-2022</t>
  </si>
  <si>
    <t>AK-CO003-MA007-2022</t>
  </si>
  <si>
    <t>AK-CO002-MA008-2022</t>
  </si>
  <si>
    <t>AK-CO003-MA009-2022</t>
  </si>
  <si>
    <t>AK-CO003-MA010-2022</t>
  </si>
  <si>
    <t>AK-CO004-TO001-2022</t>
  </si>
  <si>
    <t>AK-CO004-TO002-2022</t>
  </si>
  <si>
    <t>AK-CO004-TO003-2022</t>
  </si>
  <si>
    <t>AK-CO004-TO004-2022</t>
  </si>
  <si>
    <t>AK-CO004-TO005-2022</t>
  </si>
  <si>
    <t>AK-CO004-TO006-2022</t>
  </si>
  <si>
    <t>AK-CO004-TO007-2022</t>
  </si>
  <si>
    <t>AK-CO004-TO008-2022</t>
  </si>
  <si>
    <t>AK-CO004-TO009-2022</t>
  </si>
  <si>
    <t>AK-CO004-TO010-2022</t>
  </si>
  <si>
    <t>AK-CO004-TO011-2022</t>
  </si>
  <si>
    <t>AK-CO005-SR001-2022</t>
  </si>
  <si>
    <t>AK-EN001-BU001-2022</t>
  </si>
  <si>
    <t>AK-EN002-CH001-2022</t>
  </si>
  <si>
    <t>FUT DE 1000L</t>
  </si>
  <si>
    <t>AK-PEM022-FUE002-2022</t>
  </si>
  <si>
    <t>AK-PEM022-FUE003-2022</t>
  </si>
  <si>
    <t>AK-PEM022-FUE004-2022</t>
  </si>
  <si>
    <t>AK-PEM022-FUE005-2022</t>
  </si>
  <si>
    <t>AK-PEM022-FUE006-2022</t>
  </si>
  <si>
    <t>AK-PEM022-FUE007-2022</t>
  </si>
  <si>
    <t>AK-PFUE002</t>
  </si>
  <si>
    <t>AK-PFUE003</t>
  </si>
  <si>
    <t>AK-PFUE004</t>
  </si>
  <si>
    <t>AK-PFUE005</t>
  </si>
  <si>
    <t>AK-PFUE006</t>
  </si>
  <si>
    <t>AK-PFUE007</t>
  </si>
  <si>
    <t>AK-PAI002</t>
  </si>
  <si>
    <t>AK-PFUE008</t>
  </si>
  <si>
    <t>AK-PEM022-FUE008-2022</t>
  </si>
  <si>
    <t>AK-PPOG001</t>
  </si>
  <si>
    <t>AK-PPOG002</t>
  </si>
  <si>
    <t xml:space="preserve">POMPE GAZOLE AVEC COMPTEUR </t>
  </si>
  <si>
    <t>AK-PEM008-PGC001-2022</t>
  </si>
  <si>
    <t>AK-PEM008-POG002-2022</t>
  </si>
  <si>
    <t>AK-PGC001</t>
  </si>
  <si>
    <t>AK-PEM008-PGC003-2022</t>
  </si>
  <si>
    <t xml:space="preserve">FUT DE 1000L GASOIL </t>
  </si>
  <si>
    <t xml:space="preserve">ASSINIE MARINA  </t>
  </si>
  <si>
    <t>BRISE BETON BOSCH ET MOTEUR</t>
  </si>
  <si>
    <t>legende</t>
  </si>
  <si>
    <t>resdance bahia</t>
  </si>
  <si>
    <t>garage</t>
  </si>
  <si>
    <t xml:space="preserve">EKDS/ITA Tafire </t>
  </si>
  <si>
    <t xml:space="preserve">assinie marina </t>
  </si>
  <si>
    <t>assinie marina extansion</t>
  </si>
  <si>
    <t xml:space="preserve">touba </t>
  </si>
  <si>
    <t>AK-PGC002</t>
  </si>
  <si>
    <t>ASSINIE MARINA(reparation)</t>
  </si>
  <si>
    <t>PANNEAUX METALLIQUES DE COFFRAGE DES VOILES ET REGARDS 1,00 X 0,5</t>
  </si>
  <si>
    <t>PANNEAUX METALLIQUES DE COFFRAGE DES VOILES ET REGARDS 2,00 X 0,5</t>
  </si>
  <si>
    <t>PANNEAUX METALLIQUES DE COFFRAGE DES VOILES ET REGARDS 1m50</t>
  </si>
  <si>
    <t>PANNEAUX METALLIQUES DE COFFRAGE DES VOILES ET REGARDS 1m80</t>
  </si>
  <si>
    <t>AK-MOB17-IM010-2022</t>
  </si>
  <si>
    <t>AK-MIM010</t>
  </si>
  <si>
    <t>imprimante canon adminitration MF742CDW</t>
  </si>
  <si>
    <t>GROUPE ELECTROGENE PRIMAC PX500</t>
  </si>
  <si>
    <t>KARTCHER HD8/23G CLASSIC</t>
  </si>
  <si>
    <t xml:space="preserve">date depart </t>
  </si>
  <si>
    <t xml:space="preserve">AIGUILLE VIBRANTE </t>
  </si>
  <si>
    <t xml:space="preserve"> MOTEUR VIBREUR</t>
  </si>
  <si>
    <t xml:space="preserve">MOTO-POMPE </t>
  </si>
  <si>
    <t>N° MATERIEL
CODE</t>
  </si>
  <si>
    <t>MPOUTO</t>
  </si>
  <si>
    <t>ETAT</t>
  </si>
  <si>
    <t>AK-PERC01</t>
  </si>
  <si>
    <t>AK-PERC02</t>
  </si>
  <si>
    <t>AK-PERC03</t>
  </si>
  <si>
    <t>AK-GPE01</t>
  </si>
  <si>
    <t>AK-GPE02</t>
  </si>
  <si>
    <t>AK-GPE03</t>
  </si>
  <si>
    <t>AK-PAG01</t>
  </si>
  <si>
    <t>AK-PAG02</t>
  </si>
  <si>
    <t>AK-PGC02</t>
  </si>
  <si>
    <t>AK-BET01</t>
  </si>
  <si>
    <t>AK-BET02</t>
  </si>
  <si>
    <t>AK-BET03</t>
  </si>
  <si>
    <t>AK-BET04</t>
  </si>
  <si>
    <t>AK-BET05</t>
  </si>
  <si>
    <t>AK-BET06</t>
  </si>
  <si>
    <t>AK-ME01</t>
  </si>
  <si>
    <t>AK-ME02</t>
  </si>
  <si>
    <t>AK-MTP01</t>
  </si>
  <si>
    <t>AK-MTP02</t>
  </si>
  <si>
    <t>AK-MTP03</t>
  </si>
  <si>
    <t>AK-MTP04</t>
  </si>
  <si>
    <t>AK-MTP05</t>
  </si>
  <si>
    <t>AK-MTP06</t>
  </si>
  <si>
    <t>AK-KCH01</t>
  </si>
  <si>
    <t>AK-KCH02</t>
  </si>
  <si>
    <t>EMPLACEMENT</t>
  </si>
  <si>
    <t>OBSERVATION</t>
  </si>
  <si>
    <t>DIRECTION</t>
  </si>
  <si>
    <t>BON</t>
  </si>
  <si>
    <t>AK-MBB01</t>
  </si>
  <si>
    <t xml:space="preserve">BETONNIERE FABRICATION ARTISANALE </t>
  </si>
  <si>
    <t>MOTEUR BRISE BETON</t>
  </si>
  <si>
    <t>AK-MV01</t>
  </si>
  <si>
    <t xml:space="preserve"> MOTEUR VIBREUR PACLITE</t>
  </si>
  <si>
    <t>AK-MV02</t>
  </si>
  <si>
    <t>AK-MV03</t>
  </si>
  <si>
    <t>AK-MV04</t>
  </si>
  <si>
    <t>AK-MV05</t>
  </si>
  <si>
    <t>AK-MV06</t>
  </si>
  <si>
    <t>PANNE</t>
  </si>
  <si>
    <t>AK-AV01</t>
  </si>
  <si>
    <t>MOTO-POMPE YANMAR</t>
  </si>
  <si>
    <t>YANMAR</t>
  </si>
  <si>
    <t>CHANTIER</t>
  </si>
  <si>
    <t>SITE</t>
  </si>
  <si>
    <t>YOP2 BASE CIE</t>
  </si>
  <si>
    <t>MOTO-POMPE EX17 (170DK3572)</t>
  </si>
  <si>
    <t>MEULE ELECTRIQUE BOSCH</t>
  </si>
  <si>
    <t>GROUPE ELECTROGENE KOHLER SDMO Diesel 15000 TAXL</t>
  </si>
  <si>
    <t>KOHLER SDMO</t>
  </si>
  <si>
    <t>ONAD JEAN PAUL 2</t>
  </si>
  <si>
    <t xml:space="preserve"> MOTEUR VIBREUR HONDA</t>
  </si>
  <si>
    <t>GROUPE ELECTROGENE KOHLER SDMO Diesel 6000 E XL</t>
  </si>
  <si>
    <t>PANNE MOTEUR</t>
  </si>
  <si>
    <t>BETONNIERE STAUNCH 21A200750442</t>
  </si>
  <si>
    <t>BETONNIERE STAUNCH 22A20010012</t>
  </si>
  <si>
    <t>BETONNIERE BLEU ARMISTRONG</t>
  </si>
  <si>
    <t xml:space="preserve">BETONNIERE ORANGE 350L COMPLET + CONVOYEUR (accessoires) </t>
  </si>
  <si>
    <t>AK-ME03</t>
  </si>
  <si>
    <t>MOTO-POMPE YANMAR SWT1200</t>
  </si>
  <si>
    <t xml:space="preserve"> MOTEUR VIBREUR </t>
  </si>
  <si>
    <t>AK-PAG03</t>
  </si>
  <si>
    <t>AK-POST01</t>
  </si>
  <si>
    <t>POSTE A SOUDURE - AMELCO IES-60974-1</t>
  </si>
  <si>
    <t>AK-AV02</t>
  </si>
  <si>
    <t>AK-AV03</t>
  </si>
  <si>
    <t>AK-AV04</t>
  </si>
  <si>
    <t>AK-AV05</t>
  </si>
  <si>
    <t>AK-AV06</t>
  </si>
  <si>
    <t>AK-AV07</t>
  </si>
  <si>
    <t>AK-AV08</t>
  </si>
  <si>
    <t>ASSINIE PK3</t>
  </si>
  <si>
    <t>ASSINIE MANGROVE</t>
  </si>
  <si>
    <t>AK-PAE01</t>
  </si>
  <si>
    <t>AK-PAE02</t>
  </si>
  <si>
    <t>AK-PAE03</t>
  </si>
  <si>
    <t>AK-PAE04</t>
  </si>
  <si>
    <t>TOTAL</t>
  </si>
  <si>
    <t>PETITS MATERIELS</t>
  </si>
  <si>
    <t>MAGASIN BUREAU</t>
  </si>
  <si>
    <t>AK-GPE04</t>
  </si>
  <si>
    <t>GROUPE ELECTROGENE WORMS</t>
  </si>
  <si>
    <t>WORMS</t>
  </si>
  <si>
    <t>AK-PERC04</t>
  </si>
  <si>
    <t>SERVICE LOGISTIQUE ITA</t>
  </si>
  <si>
    <t>RAPPORT SYNTHETIQUE D'INVENTAIRE DES MATERIELS ITA</t>
  </si>
  <si>
    <t>TAABO</t>
  </si>
  <si>
    <t>AK-PONC1</t>
  </si>
  <si>
    <t>PONCEUSE</t>
  </si>
  <si>
    <t>AK-MTP07</t>
  </si>
  <si>
    <t>MOTO-POMPE INGCO</t>
  </si>
  <si>
    <t>AK-PAG04</t>
  </si>
  <si>
    <t>MEULE ELECTRIQUE BOSCH 280W GWS 30-230 B BOSCH</t>
  </si>
  <si>
    <t xml:space="preserve">PANNE </t>
  </si>
  <si>
    <t>AK-ME04</t>
  </si>
  <si>
    <t>AGBOVILLE</t>
  </si>
  <si>
    <t>AK-ME05</t>
  </si>
  <si>
    <t>PORTEO</t>
  </si>
  <si>
    <t>AK-SCIEE1</t>
  </si>
  <si>
    <t>SCIE ELECTRIQUE WISEUP 65MM-750W</t>
  </si>
  <si>
    <t>AK-ME06</t>
  </si>
  <si>
    <t>MEULE ELECTRIQUE BOSCH 2200</t>
  </si>
  <si>
    <t>AK-MBB02</t>
  </si>
  <si>
    <t>DATE D'ENTREE</t>
  </si>
  <si>
    <t>AK-MV07</t>
  </si>
  <si>
    <t>BON - NEUF</t>
  </si>
  <si>
    <t>AIGUILLE VIBRANTE MASALTA</t>
  </si>
  <si>
    <t>MASALTA</t>
  </si>
  <si>
    <t>BON-NEUF</t>
  </si>
  <si>
    <t xml:space="preserve"> MOTEUR VIBREUR MASALTA HONDA GX160</t>
  </si>
  <si>
    <t>AK-SCIEE2</t>
  </si>
  <si>
    <t>SCIE ELECTRIQUE 1400W TOTAL</t>
  </si>
  <si>
    <t>YOP2 BASE CIE1</t>
  </si>
  <si>
    <t>AK-SCIEE3</t>
  </si>
  <si>
    <t>SCIE ELECTRIQUE HIKOKI</t>
  </si>
  <si>
    <t>PORTEO PK22</t>
  </si>
  <si>
    <t>AK-AV09</t>
  </si>
  <si>
    <t>AK-AV10</t>
  </si>
  <si>
    <t>AIGUILLE VIBRANTE PACLITE</t>
  </si>
  <si>
    <t>AK-MV08</t>
  </si>
  <si>
    <t xml:space="preserve"> MOTEUR VIBREUR PACLITE SX3 GCAWH-1805932</t>
  </si>
  <si>
    <t>AK-SCIEE4</t>
  </si>
  <si>
    <t>SCIE ELECTRIQUE CIRCULAIRE BOSCH GKS 235 TURBO
331006051</t>
  </si>
  <si>
    <t>AK-PERC05</t>
  </si>
  <si>
    <t>PERCEUSE TOTAL 220-240V -50/60HZ 800W TH308268</t>
  </si>
  <si>
    <t>MEULE ELECTRIQUE</t>
  </si>
  <si>
    <t>HS EN REPARATION</t>
  </si>
  <si>
    <t>AK-MV09</t>
  </si>
  <si>
    <t>AK-MV10</t>
  </si>
  <si>
    <t>AK-AV11</t>
  </si>
  <si>
    <t>AK-AV12</t>
  </si>
  <si>
    <t>NEUF PANNE</t>
  </si>
  <si>
    <t>AK-SCIEE5</t>
  </si>
  <si>
    <t>EN REPARATION</t>
  </si>
  <si>
    <t xml:space="preserve">SCIE ELECTRIQUE </t>
  </si>
  <si>
    <t>YOP CIE 1</t>
  </si>
  <si>
    <t>ASSINIE PK17</t>
  </si>
  <si>
    <t>KARTCHER HD8/23G CLASSIC - Q45-3500 (15W°</t>
  </si>
  <si>
    <t xml:space="preserve"> MOTEUR VIBREUR OHV</t>
  </si>
  <si>
    <t xml:space="preserve"> MOTEUR VIBREUR WARNIIG</t>
  </si>
  <si>
    <t>PERCEUSE BOSCH 3611B67600 230V</t>
  </si>
  <si>
    <t>AK-MV11</t>
  </si>
  <si>
    <t>BUREAU LOGISTIQUE</t>
  </si>
  <si>
    <t>PERCEUSE INCO 23099410468</t>
  </si>
  <si>
    <t>AK-PERC06</t>
  </si>
  <si>
    <t>PERCEUSE TOTAL 220-240V SN-23295620361 PD:112023</t>
  </si>
  <si>
    <t>AK-PIM01</t>
  </si>
  <si>
    <t>POMPE D'IMMERSION WILO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</si>
</sst>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_-"/>
    <numFmt numFmtId="165" formatCode="_-* #,##0\ _€_-;\-* #,##0\ _€_-;_-* &quot;-&quot;??\ _€_-;_-@_-"/>
    <numFmt numFmtId="166" formatCode="0.0"/>
    <numFmt numFmtId="167" formatCode="0.0000"/>
    <numFmt numFmtId="168" formatCode="[$-40C]mmm\-yy;@"/>
  </numFmts>
  <fonts count="5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MS Sans Serif"/>
      <family val="2"/>
    </font>
    <font>
      <sz val="10.55"/>
      <color indexed="8"/>
      <name val="Arial"/>
      <family val="2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7" tint="-0.499984740745262"/>
      <name val="Calibri"/>
      <family val="2"/>
      <scheme val="minor"/>
    </font>
    <font>
      <strike/>
      <sz val="11"/>
      <color theme="1" tint="0.499984740745262"/>
      <name val="Calibri"/>
      <family val="2"/>
      <scheme val="minor"/>
    </font>
    <font>
      <sz val="10"/>
      <color theme="1"/>
      <name val="Arial"/>
      <family val="2"/>
    </font>
    <font>
      <strike/>
      <sz val="11"/>
      <color rgb="FF0070C0"/>
      <name val="Calibri"/>
      <family val="2"/>
      <scheme val="minor"/>
    </font>
    <font>
      <strike/>
      <sz val="11"/>
      <color rgb="FF00B050"/>
      <name val="Calibri"/>
      <family val="2"/>
      <scheme val="minor"/>
    </font>
    <font>
      <sz val="11"/>
      <color rgb="FF806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Garamond"/>
      <family val="1"/>
    </font>
    <font>
      <b/>
      <sz val="11"/>
      <color theme="0"/>
      <name val="Garamond"/>
      <family val="1"/>
    </font>
    <font>
      <sz val="11"/>
      <name val="Garamond"/>
      <family val="1"/>
    </font>
    <font>
      <sz val="11"/>
      <color rgb="FF0070C0"/>
      <name val="Garamond"/>
      <family val="1"/>
    </font>
    <font>
      <b/>
      <sz val="11"/>
      <color theme="1"/>
      <name val="Garamond"/>
      <family val="1"/>
    </font>
    <font>
      <b/>
      <sz val="11"/>
      <color theme="7" tint="-0.499984740745262"/>
      <name val="Garamond"/>
      <family val="1"/>
    </font>
    <font>
      <b/>
      <sz val="11"/>
      <name val="Garamond"/>
      <family val="1"/>
    </font>
    <font>
      <b/>
      <sz val="11"/>
      <color rgb="FF0070C0"/>
      <name val="Garamond"/>
      <family val="1"/>
    </font>
    <font>
      <b/>
      <sz val="11"/>
      <color theme="4" tint="-0.499984740745262"/>
      <name val="Garamond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4"/>
      <color theme="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b/>
      <sz val="11"/>
      <color rgb="FF0070C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theme="4" tint="-0.499984740745262"/>
      </bottom>
      <diagonal/>
    </border>
    <border>
      <left style="thin">
        <color theme="4" tint="-0.499984740745262"/>
      </left>
      <right/>
      <top/>
      <bottom/>
      <diagonal/>
    </border>
  </borders>
  <cellStyleXfs count="30">
    <xf numFmtId="0" fontId="0" fillId="0" borderId="0"/>
    <xf numFmtId="164" fontId="4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</cellStyleXfs>
  <cellXfs count="459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left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5" fontId="2" fillId="0" borderId="0" xfId="1" applyNumberFormat="1" applyFont="1"/>
    <xf numFmtId="165" fontId="2" fillId="0" borderId="4" xfId="1" applyNumberFormat="1" applyFont="1" applyBorder="1" applyAlignment="1">
      <alignment horizontal="center" vertical="center"/>
    </xf>
    <xf numFmtId="165" fontId="0" fillId="0" borderId="1" xfId="1" applyNumberFormat="1" applyFont="1" applyBorder="1"/>
    <xf numFmtId="165" fontId="0" fillId="0" borderId="1" xfId="1" applyNumberFormat="1" applyFont="1" applyFill="1" applyBorder="1" applyAlignment="1"/>
    <xf numFmtId="165" fontId="2" fillId="0" borderId="0" xfId="1" applyNumberFormat="1" applyFont="1" applyAlignment="1">
      <alignment horizontal="left"/>
    </xf>
    <xf numFmtId="165" fontId="5" fillId="0" borderId="0" xfId="0" applyNumberFormat="1" applyFont="1"/>
    <xf numFmtId="0" fontId="1" fillId="0" borderId="1" xfId="0" applyFont="1" applyBorder="1"/>
    <xf numFmtId="0" fontId="6" fillId="0" borderId="0" xfId="0" applyFont="1"/>
    <xf numFmtId="14" fontId="1" fillId="0" borderId="1" xfId="0" applyNumberFormat="1" applyFont="1" applyBorder="1"/>
    <xf numFmtId="0" fontId="1" fillId="3" borderId="1" xfId="0" applyFont="1" applyFill="1" applyBorder="1"/>
    <xf numFmtId="14" fontId="1" fillId="3" borderId="1" xfId="0" applyNumberFormat="1" applyFont="1" applyFill="1" applyBorder="1"/>
    <xf numFmtId="0" fontId="1" fillId="0" borderId="2" xfId="0" applyFont="1" applyBorder="1"/>
    <xf numFmtId="14" fontId="1" fillId="0" borderId="2" xfId="0" applyNumberFormat="1" applyFont="1" applyBorder="1"/>
    <xf numFmtId="14" fontId="1" fillId="0" borderId="7" xfId="0" applyNumberFormat="1" applyFont="1" applyBorder="1"/>
    <xf numFmtId="0" fontId="1" fillId="0" borderId="0" xfId="0" applyFont="1"/>
    <xf numFmtId="14" fontId="2" fillId="0" borderId="0" xfId="0" applyNumberFormat="1" applyFont="1" applyAlignment="1">
      <alignment horizontal="left"/>
    </xf>
    <xf numFmtId="49" fontId="1" fillId="2" borderId="1" xfId="0" applyNumberFormat="1" applyFont="1" applyFill="1" applyBorder="1" applyAlignment="1" applyProtection="1">
      <alignment horizontal="left" vertical="center"/>
      <protection locked="0"/>
    </xf>
    <xf numFmtId="14" fontId="6" fillId="2" borderId="0" xfId="0" applyNumberFormat="1" applyFont="1" applyFill="1"/>
    <xf numFmtId="0" fontId="6" fillId="0" borderId="3" xfId="0" applyFont="1" applyBorder="1"/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4" fontId="1" fillId="3" borderId="2" xfId="0" applyNumberFormat="1" applyFont="1" applyFill="1" applyBorder="1"/>
    <xf numFmtId="14" fontId="1" fillId="2" borderId="2" xfId="0" applyNumberFormat="1" applyFont="1" applyFill="1" applyBorder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165" fontId="1" fillId="0" borderId="1" xfId="1" applyNumberFormat="1" applyFont="1" applyBorder="1"/>
    <xf numFmtId="14" fontId="0" fillId="0" borderId="1" xfId="0" applyNumberFormat="1" applyBorder="1"/>
    <xf numFmtId="14" fontId="0" fillId="3" borderId="1" xfId="0" applyNumberFormat="1" applyFill="1" applyBorder="1"/>
    <xf numFmtId="0" fontId="0" fillId="0" borderId="2" xfId="0" applyBorder="1"/>
    <xf numFmtId="14" fontId="0" fillId="0" borderId="2" xfId="0" applyNumberFormat="1" applyBorder="1"/>
    <xf numFmtId="165" fontId="1" fillId="0" borderId="1" xfId="1" applyNumberFormat="1" applyFont="1" applyFill="1" applyBorder="1" applyAlignment="1"/>
    <xf numFmtId="166" fontId="2" fillId="0" borderId="0" xfId="0" applyNumberFormat="1" applyFont="1"/>
    <xf numFmtId="166" fontId="6" fillId="0" borderId="0" xfId="0" applyNumberFormat="1" applyFont="1"/>
    <xf numFmtId="167" fontId="0" fillId="0" borderId="0" xfId="0" applyNumberFormat="1"/>
    <xf numFmtId="165" fontId="4" fillId="0" borderId="1" xfId="1" applyNumberFormat="1" applyFont="1" applyBorder="1"/>
    <xf numFmtId="165" fontId="1" fillId="0" borderId="0" xfId="0" applyNumberFormat="1" applyFont="1"/>
    <xf numFmtId="14" fontId="1" fillId="0" borderId="4" xfId="0" applyNumberFormat="1" applyFont="1" applyBorder="1"/>
    <xf numFmtId="14" fontId="1" fillId="0" borderId="6" xfId="0" applyNumberFormat="1" applyFont="1" applyBorder="1"/>
    <xf numFmtId="0" fontId="2" fillId="0" borderId="1" xfId="0" applyFont="1" applyBorder="1" applyAlignment="1">
      <alignment horizontal="center" vertical="center"/>
    </xf>
    <xf numFmtId="14" fontId="1" fillId="0" borderId="11" xfId="0" applyNumberFormat="1" applyFont="1" applyBorder="1"/>
    <xf numFmtId="0" fontId="10" fillId="0" borderId="0" xfId="0" applyFont="1"/>
    <xf numFmtId="0" fontId="5" fillId="0" borderId="0" xfId="0" applyFont="1"/>
    <xf numFmtId="0" fontId="10" fillId="0" borderId="1" xfId="0" applyFont="1" applyBorder="1"/>
    <xf numFmtId="165" fontId="2" fillId="0" borderId="1" xfId="1" applyNumberFormat="1" applyFont="1" applyBorder="1"/>
    <xf numFmtId="14" fontId="1" fillId="2" borderId="1" xfId="0" applyNumberFormat="1" applyFont="1" applyFill="1" applyBorder="1"/>
    <xf numFmtId="167" fontId="1" fillId="0" borderId="0" xfId="0" applyNumberFormat="1" applyFont="1"/>
    <xf numFmtId="0" fontId="2" fillId="0" borderId="4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0" borderId="1" xfId="1" applyNumberFormat="1" applyFont="1" applyFill="1" applyBorder="1" applyAlignment="1">
      <alignment horizontal="center"/>
    </xf>
    <xf numFmtId="0" fontId="1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66" fontId="2" fillId="0" borderId="0" xfId="1" applyNumberFormat="1" applyFont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" fillId="0" borderId="10" xfId="0" applyFont="1" applyBorder="1"/>
    <xf numFmtId="0" fontId="15" fillId="0" borderId="0" xfId="0" applyFont="1"/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6" fontId="2" fillId="0" borderId="1" xfId="0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165" fontId="4" fillId="0" borderId="0" xfId="1" applyNumberFormat="1" applyFont="1"/>
    <xf numFmtId="165" fontId="10" fillId="0" borderId="1" xfId="1" applyNumberFormat="1" applyFont="1" applyBorder="1"/>
    <xf numFmtId="168" fontId="4" fillId="0" borderId="1" xfId="1" applyNumberFormat="1" applyFont="1" applyBorder="1"/>
    <xf numFmtId="168" fontId="0" fillId="0" borderId="1" xfId="1" applyNumberFormat="1" applyFont="1" applyBorder="1"/>
    <xf numFmtId="165" fontId="4" fillId="0" borderId="1" xfId="1" applyNumberFormat="1" applyFont="1" applyBorder="1" applyAlignment="1">
      <alignment horizontal="right"/>
    </xf>
    <xf numFmtId="165" fontId="1" fillId="0" borderId="1" xfId="1" applyNumberFormat="1" applyFont="1" applyBorder="1" applyAlignment="1">
      <alignment horizontal="right"/>
    </xf>
    <xf numFmtId="165" fontId="0" fillId="0" borderId="0" xfId="1" applyNumberFormat="1" applyFont="1"/>
    <xf numFmtId="168" fontId="1" fillId="0" borderId="1" xfId="1" applyNumberFormat="1" applyFont="1" applyBorder="1"/>
    <xf numFmtId="165" fontId="6" fillId="0" borderId="1" xfId="1" applyNumberFormat="1" applyFont="1" applyBorder="1"/>
    <xf numFmtId="14" fontId="1" fillId="3" borderId="4" xfId="0" applyNumberFormat="1" applyFont="1" applyFill="1" applyBorder="1"/>
    <xf numFmtId="0" fontId="0" fillId="0" borderId="4" xfId="0" applyBorder="1"/>
    <xf numFmtId="168" fontId="10" fillId="0" borderId="1" xfId="1" applyNumberFormat="1" applyFont="1" applyBorder="1"/>
    <xf numFmtId="14" fontId="1" fillId="5" borderId="1" xfId="0" applyNumberFormat="1" applyFont="1" applyFill="1" applyBorder="1"/>
    <xf numFmtId="0" fontId="9" fillId="0" borderId="0" xfId="0" applyFont="1"/>
    <xf numFmtId="0" fontId="1" fillId="0" borderId="0" xfId="0" applyFont="1" applyAlignment="1">
      <alignment horizontal="center"/>
    </xf>
    <xf numFmtId="168" fontId="4" fillId="0" borderId="4" xfId="1" applyNumberFormat="1" applyFont="1" applyBorder="1"/>
    <xf numFmtId="14" fontId="0" fillId="5" borderId="1" xfId="0" applyNumberFormat="1" applyFill="1" applyBorder="1"/>
    <xf numFmtId="167" fontId="12" fillId="0" borderId="0" xfId="0" applyNumberFormat="1" applyFont="1"/>
    <xf numFmtId="0" fontId="1" fillId="0" borderId="4" xfId="0" applyFont="1" applyBorder="1"/>
    <xf numFmtId="14" fontId="6" fillId="2" borderId="1" xfId="0" applyNumberFormat="1" applyFont="1" applyFill="1" applyBorder="1" applyAlignment="1">
      <alignment horizontal="center"/>
    </xf>
    <xf numFmtId="165" fontId="2" fillId="0" borderId="4" xfId="1" applyNumberFormat="1" applyFont="1" applyBorder="1"/>
    <xf numFmtId="14" fontId="1" fillId="0" borderId="5" xfId="0" applyNumberFormat="1" applyFont="1" applyBorder="1"/>
    <xf numFmtId="168" fontId="10" fillId="0" borderId="1" xfId="0" applyNumberFormat="1" applyFont="1" applyBorder="1"/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14" fontId="10" fillId="0" borderId="0" xfId="1" applyNumberFormat="1" applyFont="1"/>
    <xf numFmtId="168" fontId="10" fillId="0" borderId="0" xfId="0" applyNumberFormat="1" applyFont="1"/>
    <xf numFmtId="168" fontId="10" fillId="0" borderId="0" xfId="1" applyNumberFormat="1" applyFont="1"/>
    <xf numFmtId="168" fontId="14" fillId="0" borderId="1" xfId="1" applyNumberFormat="1" applyFont="1" applyBorder="1" applyAlignment="1">
      <alignment horizontal="center" vertical="center" wrapText="1"/>
    </xf>
    <xf numFmtId="17" fontId="10" fillId="0" borderId="1" xfId="0" applyNumberFormat="1" applyFont="1" applyBorder="1"/>
    <xf numFmtId="0" fontId="1" fillId="0" borderId="12" xfId="0" applyFont="1" applyBorder="1" applyAlignment="1">
      <alignment horizontal="center"/>
    </xf>
    <xf numFmtId="165" fontId="0" fillId="0" borderId="12" xfId="1" applyNumberFormat="1" applyFont="1" applyFill="1" applyBorder="1" applyAlignment="1"/>
    <xf numFmtId="0" fontId="15" fillId="0" borderId="1" xfId="0" applyFont="1" applyBorder="1"/>
    <xf numFmtId="165" fontId="1" fillId="0" borderId="4" xfId="1" applyNumberFormat="1" applyFont="1" applyBorder="1" applyAlignment="1">
      <alignment horizontal="right"/>
    </xf>
    <xf numFmtId="165" fontId="1" fillId="0" borderId="15" xfId="1" applyNumberFormat="1" applyFont="1" applyBorder="1"/>
    <xf numFmtId="165" fontId="1" fillId="0" borderId="12" xfId="1" applyNumberFormat="1" applyFont="1" applyBorder="1"/>
    <xf numFmtId="0" fontId="1" fillId="0" borderId="4" xfId="0" applyFont="1" applyBorder="1" applyAlignment="1">
      <alignment horizontal="center"/>
    </xf>
    <xf numFmtId="168" fontId="10" fillId="0" borderId="4" xfId="0" applyNumberFormat="1" applyFont="1" applyBorder="1"/>
    <xf numFmtId="14" fontId="1" fillId="0" borderId="16" xfId="0" applyNumberFormat="1" applyFont="1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25" fillId="2" borderId="4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 applyAlignment="1" applyProtection="1">
      <alignment horizontal="left" vertical="center"/>
      <protection locked="0"/>
    </xf>
    <xf numFmtId="0" fontId="0" fillId="2" borderId="1" xfId="0" applyFill="1" applyBorder="1"/>
    <xf numFmtId="0" fontId="0" fillId="2" borderId="0" xfId="0" applyFill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left" vertical="center" shrinkToFit="1"/>
      <protection locked="0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65" fontId="1" fillId="2" borderId="1" xfId="1" applyNumberFormat="1" applyFont="1" applyFill="1" applyBorder="1" applyAlignment="1"/>
    <xf numFmtId="0" fontId="1" fillId="2" borderId="1" xfId="1" applyNumberFormat="1" applyFont="1" applyFill="1" applyBorder="1" applyAlignment="1">
      <alignment horizontal="center"/>
    </xf>
    <xf numFmtId="168" fontId="1" fillId="2" borderId="1" xfId="1" applyNumberFormat="1" applyFont="1" applyFill="1" applyBorder="1"/>
    <xf numFmtId="168" fontId="10" fillId="2" borderId="1" xfId="1" applyNumberFormat="1" applyFont="1" applyFill="1" applyBorder="1"/>
    <xf numFmtId="165" fontId="1" fillId="2" borderId="1" xfId="1" applyNumberFormat="1" applyFont="1" applyFill="1" applyBorder="1"/>
    <xf numFmtId="165" fontId="6" fillId="2" borderId="1" xfId="1" applyNumberFormat="1" applyFont="1" applyFill="1" applyBorder="1"/>
    <xf numFmtId="165" fontId="1" fillId="2" borderId="1" xfId="1" applyNumberFormat="1" applyFont="1" applyFill="1" applyBorder="1" applyAlignment="1">
      <alignment horizontal="right"/>
    </xf>
    <xf numFmtId="14" fontId="1" fillId="2" borderId="11" xfId="0" applyNumberFormat="1" applyFont="1" applyFill="1" applyBorder="1"/>
    <xf numFmtId="0" fontId="1" fillId="2" borderId="0" xfId="0" applyFont="1" applyFill="1"/>
    <xf numFmtId="167" fontId="1" fillId="2" borderId="0" xfId="0" applyNumberFormat="1" applyFont="1" applyFill="1"/>
    <xf numFmtId="165" fontId="1" fillId="2" borderId="0" xfId="0" applyNumberFormat="1" applyFont="1" applyFill="1"/>
    <xf numFmtId="0" fontId="15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165" fontId="0" fillId="2" borderId="1" xfId="1" applyNumberFormat="1" applyFont="1" applyFill="1" applyBorder="1"/>
    <xf numFmtId="0" fontId="0" fillId="2" borderId="1" xfId="1" applyNumberFormat="1" applyFont="1" applyFill="1" applyBorder="1" applyAlignment="1">
      <alignment horizontal="center"/>
    </xf>
    <xf numFmtId="168" fontId="0" fillId="2" borderId="1" xfId="1" applyNumberFormat="1" applyFont="1" applyFill="1" applyBorder="1"/>
    <xf numFmtId="165" fontId="4" fillId="2" borderId="1" xfId="1" applyNumberFormat="1" applyFont="1" applyFill="1" applyBorder="1"/>
    <xf numFmtId="165" fontId="2" fillId="2" borderId="1" xfId="1" applyNumberFormat="1" applyFont="1" applyFill="1" applyBorder="1"/>
    <xf numFmtId="165" fontId="4" fillId="2" borderId="1" xfId="1" applyNumberFormat="1" applyFont="1" applyFill="1" applyBorder="1" applyAlignment="1">
      <alignment horizontal="right"/>
    </xf>
    <xf numFmtId="167" fontId="0" fillId="2" borderId="0" xfId="0" applyNumberFormat="1" applyFill="1"/>
    <xf numFmtId="165" fontId="5" fillId="2" borderId="0" xfId="0" applyNumberFormat="1" applyFont="1" applyFill="1"/>
    <xf numFmtId="165" fontId="0" fillId="2" borderId="1" xfId="1" applyNumberFormat="1" applyFont="1" applyFill="1" applyBorder="1" applyAlignment="1"/>
    <xf numFmtId="168" fontId="4" fillId="2" borderId="1" xfId="1" applyNumberFormat="1" applyFont="1" applyFill="1" applyBorder="1"/>
    <xf numFmtId="0" fontId="17" fillId="2" borderId="0" xfId="0" applyFont="1" applyFill="1"/>
    <xf numFmtId="14" fontId="1" fillId="2" borderId="1" xfId="0" applyNumberFormat="1" applyFont="1" applyFill="1" applyBorder="1" applyAlignment="1">
      <alignment horizontal="center"/>
    </xf>
    <xf numFmtId="0" fontId="10" fillId="2" borderId="1" xfId="0" applyFont="1" applyFill="1" applyBorder="1"/>
    <xf numFmtId="17" fontId="10" fillId="2" borderId="1" xfId="0" applyNumberFormat="1" applyFont="1" applyFill="1" applyBorder="1"/>
    <xf numFmtId="0" fontId="9" fillId="2" borderId="0" xfId="0" applyFont="1" applyFill="1"/>
    <xf numFmtId="0" fontId="10" fillId="2" borderId="0" xfId="0" applyFont="1" applyFill="1"/>
    <xf numFmtId="165" fontId="1" fillId="2" borderId="1" xfId="1" applyNumberFormat="1" applyFont="1" applyFill="1" applyBorder="1" applyAlignment="1">
      <alignment horizontal="center"/>
    </xf>
    <xf numFmtId="168" fontId="10" fillId="2" borderId="1" xfId="0" applyNumberFormat="1" applyFont="1" applyFill="1" applyBorder="1"/>
    <xf numFmtId="14" fontId="9" fillId="2" borderId="2" xfId="0" applyNumberFormat="1" applyFont="1" applyFill="1" applyBorder="1"/>
    <xf numFmtId="14" fontId="1" fillId="2" borderId="0" xfId="0" applyNumberFormat="1" applyFont="1" applyFill="1" applyAlignment="1">
      <alignment horizontal="center"/>
    </xf>
    <xf numFmtId="0" fontId="0" fillId="2" borderId="9" xfId="0" applyFill="1" applyBorder="1"/>
    <xf numFmtId="14" fontId="9" fillId="2" borderId="1" xfId="0" applyNumberFormat="1" applyFont="1" applyFill="1" applyBorder="1"/>
    <xf numFmtId="0" fontId="1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14" fontId="10" fillId="2" borderId="1" xfId="0" applyNumberFormat="1" applyFont="1" applyFill="1" applyBorder="1" applyAlignment="1">
      <alignment horizontal="center"/>
    </xf>
    <xf numFmtId="165" fontId="10" fillId="2" borderId="1" xfId="1" applyNumberFormat="1" applyFont="1" applyFill="1" applyBorder="1" applyAlignment="1"/>
    <xf numFmtId="0" fontId="10" fillId="2" borderId="1" xfId="0" applyFont="1" applyFill="1" applyBorder="1" applyAlignment="1">
      <alignment horizontal="center"/>
    </xf>
    <xf numFmtId="14" fontId="10" fillId="2" borderId="1" xfId="0" applyNumberFormat="1" applyFont="1" applyFill="1" applyBorder="1"/>
    <xf numFmtId="14" fontId="10" fillId="2" borderId="2" xfId="0" applyNumberFormat="1" applyFont="1" applyFill="1" applyBorder="1"/>
    <xf numFmtId="0" fontId="10" fillId="2" borderId="0" xfId="0" applyFont="1" applyFill="1" applyAlignment="1">
      <alignment horizontal="center" vertical="center"/>
    </xf>
    <xf numFmtId="0" fontId="10" fillId="2" borderId="1" xfId="0" applyFont="1" applyFill="1" applyBorder="1" applyAlignment="1" applyProtection="1">
      <alignment horizontal="left" vertical="center" shrinkToFit="1"/>
      <protection locked="0"/>
    </xf>
    <xf numFmtId="0" fontId="1" fillId="2" borderId="10" xfId="0" applyFont="1" applyFill="1" applyBorder="1"/>
    <xf numFmtId="0" fontId="22" fillId="2" borderId="1" xfId="0" applyFont="1" applyFill="1" applyBorder="1"/>
    <xf numFmtId="0" fontId="17" fillId="2" borderId="1" xfId="0" applyFont="1" applyFill="1" applyBorder="1" applyAlignment="1">
      <alignment horizontal="left"/>
    </xf>
    <xf numFmtId="0" fontId="17" fillId="2" borderId="1" xfId="0" applyFont="1" applyFill="1" applyBorder="1"/>
    <xf numFmtId="0" fontId="18" fillId="2" borderId="1" xfId="0" applyFont="1" applyFill="1" applyBorder="1" applyAlignment="1">
      <alignment horizontal="left"/>
    </xf>
    <xf numFmtId="49" fontId="18" fillId="2" borderId="1" xfId="0" applyNumberFormat="1" applyFont="1" applyFill="1" applyBorder="1" applyAlignment="1" applyProtection="1">
      <alignment horizontal="center" vertical="center"/>
      <protection locked="0"/>
    </xf>
    <xf numFmtId="14" fontId="17" fillId="2" borderId="1" xfId="0" applyNumberFormat="1" applyFont="1" applyFill="1" applyBorder="1" applyAlignment="1">
      <alignment horizontal="center"/>
    </xf>
    <xf numFmtId="165" fontId="17" fillId="2" borderId="1" xfId="1" applyNumberFormat="1" applyFont="1" applyFill="1" applyBorder="1"/>
    <xf numFmtId="0" fontId="17" fillId="2" borderId="1" xfId="1" applyNumberFormat="1" applyFont="1" applyFill="1" applyBorder="1" applyAlignment="1">
      <alignment horizontal="center"/>
    </xf>
    <xf numFmtId="168" fontId="17" fillId="2" borderId="1" xfId="1" applyNumberFormat="1" applyFont="1" applyFill="1" applyBorder="1"/>
    <xf numFmtId="168" fontId="23" fillId="2" borderId="1" xfId="1" applyNumberFormat="1" applyFont="1" applyFill="1" applyBorder="1"/>
    <xf numFmtId="165" fontId="19" fillId="2" borderId="1" xfId="1" applyNumberFormat="1" applyFont="1" applyFill="1" applyBorder="1"/>
    <xf numFmtId="165" fontId="17" fillId="2" borderId="1" xfId="1" applyNumberFormat="1" applyFont="1" applyFill="1" applyBorder="1" applyAlignment="1">
      <alignment horizontal="right"/>
    </xf>
    <xf numFmtId="14" fontId="18" fillId="2" borderId="1" xfId="0" applyNumberFormat="1" applyFont="1" applyFill="1" applyBorder="1"/>
    <xf numFmtId="0" fontId="18" fillId="2" borderId="1" xfId="0" applyFont="1" applyFill="1" applyBorder="1"/>
    <xf numFmtId="14" fontId="18" fillId="2" borderId="2" xfId="0" applyNumberFormat="1" applyFont="1" applyFill="1" applyBorder="1"/>
    <xf numFmtId="14" fontId="24" fillId="2" borderId="1" xfId="0" applyNumberFormat="1" applyFont="1" applyFill="1" applyBorder="1"/>
    <xf numFmtId="14" fontId="18" fillId="2" borderId="11" xfId="0" applyNumberFormat="1" applyFont="1" applyFill="1" applyBorder="1"/>
    <xf numFmtId="0" fontId="18" fillId="2" borderId="0" xfId="0" applyFont="1" applyFill="1"/>
    <xf numFmtId="167" fontId="17" fillId="2" borderId="0" xfId="0" applyNumberFormat="1" applyFont="1" applyFill="1"/>
    <xf numFmtId="165" fontId="20" fillId="2" borderId="0" xfId="0" applyNumberFormat="1" applyFont="1" applyFill="1"/>
    <xf numFmtId="0" fontId="21" fillId="2" borderId="0" xfId="0" applyFont="1" applyFill="1"/>
    <xf numFmtId="0" fontId="18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0" fillId="2" borderId="4" xfId="0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2" borderId="4" xfId="0" applyFill="1" applyBorder="1"/>
    <xf numFmtId="49" fontId="1" fillId="2" borderId="4" xfId="0" applyNumberFormat="1" applyFont="1" applyFill="1" applyBorder="1" applyAlignment="1" applyProtection="1">
      <alignment horizontal="center" vertical="center"/>
      <protection locked="0"/>
    </xf>
    <xf numFmtId="14" fontId="0" fillId="2" borderId="4" xfId="0" applyNumberFormat="1" applyFill="1" applyBorder="1" applyAlignment="1">
      <alignment horizontal="center"/>
    </xf>
    <xf numFmtId="165" fontId="0" fillId="2" borderId="4" xfId="1" applyNumberFormat="1" applyFont="1" applyFill="1" applyBorder="1"/>
    <xf numFmtId="0" fontId="0" fillId="2" borderId="4" xfId="1" applyNumberFormat="1" applyFont="1" applyFill="1" applyBorder="1" applyAlignment="1">
      <alignment horizontal="center"/>
    </xf>
    <xf numFmtId="14" fontId="1" fillId="2" borderId="4" xfId="0" applyNumberFormat="1" applyFont="1" applyFill="1" applyBorder="1"/>
    <xf numFmtId="14" fontId="1" fillId="2" borderId="5" xfId="0" applyNumberFormat="1" applyFont="1" applyFill="1" applyBorder="1"/>
    <xf numFmtId="14" fontId="9" fillId="2" borderId="5" xfId="0" applyNumberFormat="1" applyFont="1" applyFill="1" applyBorder="1"/>
    <xf numFmtId="165" fontId="0" fillId="2" borderId="4" xfId="1" applyNumberFormat="1" applyFont="1" applyFill="1" applyBorder="1" applyAlignment="1"/>
    <xf numFmtId="0" fontId="5" fillId="2" borderId="0" xfId="0" applyFont="1" applyFill="1"/>
    <xf numFmtId="0" fontId="2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65" fontId="5" fillId="2" borderId="1" xfId="1" applyNumberFormat="1" applyFont="1" applyFill="1" applyBorder="1" applyAlignment="1"/>
    <xf numFmtId="0" fontId="5" fillId="2" borderId="1" xfId="1" applyNumberFormat="1" applyFont="1" applyFill="1" applyBorder="1" applyAlignment="1">
      <alignment horizontal="center"/>
    </xf>
    <xf numFmtId="168" fontId="5" fillId="2" borderId="1" xfId="1" applyNumberFormat="1" applyFont="1" applyFill="1" applyBorder="1"/>
    <xf numFmtId="165" fontId="5" fillId="2" borderId="1" xfId="1" applyNumberFormat="1" applyFont="1" applyFill="1" applyBorder="1"/>
    <xf numFmtId="165" fontId="13" fillId="2" borderId="1" xfId="1" applyNumberFormat="1" applyFont="1" applyFill="1" applyBorder="1"/>
    <xf numFmtId="165" fontId="5" fillId="2" borderId="1" xfId="1" applyNumberFormat="1" applyFont="1" applyFill="1" applyBorder="1" applyAlignment="1">
      <alignment horizontal="right"/>
    </xf>
    <xf numFmtId="14" fontId="5" fillId="2" borderId="1" xfId="0" applyNumberFormat="1" applyFont="1" applyFill="1" applyBorder="1"/>
    <xf numFmtId="14" fontId="5" fillId="2" borderId="2" xfId="0" applyNumberFormat="1" applyFont="1" applyFill="1" applyBorder="1"/>
    <xf numFmtId="14" fontId="5" fillId="2" borderId="11" xfId="0" applyNumberFormat="1" applyFont="1" applyFill="1" applyBorder="1"/>
    <xf numFmtId="167" fontId="5" fillId="2" borderId="0" xfId="0" applyNumberFormat="1" applyFont="1" applyFill="1"/>
    <xf numFmtId="0" fontId="5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left"/>
    </xf>
    <xf numFmtId="167" fontId="12" fillId="2" borderId="0" xfId="0" applyNumberFormat="1" applyFont="1" applyFill="1"/>
    <xf numFmtId="0" fontId="0" fillId="2" borderId="1" xfId="0" applyFill="1" applyBorder="1" applyAlignment="1">
      <alignment horizontal="center"/>
    </xf>
    <xf numFmtId="0" fontId="11" fillId="2" borderId="0" xfId="0" applyFont="1" applyFill="1"/>
    <xf numFmtId="168" fontId="1" fillId="2" borderId="1" xfId="0" applyNumberFormat="1" applyFont="1" applyFill="1" applyBorder="1"/>
    <xf numFmtId="0" fontId="10" fillId="2" borderId="1" xfId="1" applyNumberFormat="1" applyFont="1" applyFill="1" applyBorder="1" applyAlignment="1">
      <alignment horizontal="center"/>
    </xf>
    <xf numFmtId="165" fontId="14" fillId="2" borderId="1" xfId="1" applyNumberFormat="1" applyFont="1" applyFill="1" applyBorder="1"/>
    <xf numFmtId="165" fontId="10" fillId="2" borderId="1" xfId="1" applyNumberFormat="1" applyFont="1" applyFill="1" applyBorder="1" applyAlignment="1">
      <alignment horizontal="right"/>
    </xf>
    <xf numFmtId="167" fontId="10" fillId="2" borderId="0" xfId="0" applyNumberFormat="1" applyFont="1" applyFill="1"/>
    <xf numFmtId="17" fontId="1" fillId="2" borderId="1" xfId="0" applyNumberFormat="1" applyFont="1" applyFill="1" applyBorder="1"/>
    <xf numFmtId="0" fontId="1" fillId="2" borderId="1" xfId="0" quotePrefix="1" applyFont="1" applyFill="1" applyBorder="1" applyAlignment="1">
      <alignment horizontal="left"/>
    </xf>
    <xf numFmtId="0" fontId="11" fillId="2" borderId="0" xfId="0" applyFont="1" applyFill="1" applyAlignment="1">
      <alignment horizontal="center" vertical="center"/>
    </xf>
    <xf numFmtId="0" fontId="4" fillId="2" borderId="1" xfId="0" applyFont="1" applyFill="1" applyBorder="1"/>
    <xf numFmtId="14" fontId="0" fillId="2" borderId="1" xfId="0" applyNumberFormat="1" applyFill="1" applyBorder="1"/>
    <xf numFmtId="14" fontId="0" fillId="2" borderId="2" xfId="0" applyNumberFormat="1" applyFill="1" applyBorder="1"/>
    <xf numFmtId="0" fontId="0" fillId="2" borderId="1" xfId="0" quotePrefix="1" applyFill="1" applyBorder="1" applyAlignment="1">
      <alignment horizontal="left"/>
    </xf>
    <xf numFmtId="168" fontId="10" fillId="2" borderId="1" xfId="1" applyNumberFormat="1" applyFont="1" applyFill="1" applyBorder="1" applyAlignment="1">
      <alignment horizontal="right"/>
    </xf>
    <xf numFmtId="0" fontId="12" fillId="2" borderId="0" xfId="0" applyFont="1" applyFill="1"/>
    <xf numFmtId="165" fontId="1" fillId="2" borderId="1" xfId="1" quotePrefix="1" applyNumberFormat="1" applyFont="1" applyFill="1" applyBorder="1" applyAlignment="1">
      <alignment horizontal="left"/>
    </xf>
    <xf numFmtId="165" fontId="10" fillId="2" borderId="1" xfId="1" applyNumberFormat="1" applyFont="1" applyFill="1" applyBorder="1"/>
    <xf numFmtId="0" fontId="4" fillId="2" borderId="1" xfId="1" applyNumberFormat="1" applyFont="1" applyFill="1" applyBorder="1" applyAlignment="1">
      <alignment horizontal="center"/>
    </xf>
    <xf numFmtId="0" fontId="1" fillId="2" borderId="13" xfId="0" applyFont="1" applyFill="1" applyBorder="1" applyAlignment="1">
      <alignment horizontal="left"/>
    </xf>
    <xf numFmtId="0" fontId="4" fillId="2" borderId="1" xfId="0" applyFont="1" applyFill="1" applyBorder="1" applyAlignment="1" applyProtection="1">
      <alignment horizontal="left"/>
      <protection locked="0"/>
    </xf>
    <xf numFmtId="0" fontId="0" fillId="2" borderId="2" xfId="0" applyFill="1" applyBorder="1"/>
    <xf numFmtId="0" fontId="1" fillId="2" borderId="4" xfId="0" quotePrefix="1" applyFont="1" applyFill="1" applyBorder="1" applyAlignment="1">
      <alignment horizontal="left"/>
    </xf>
    <xf numFmtId="165" fontId="1" fillId="2" borderId="4" xfId="1" applyNumberFormat="1" applyFont="1" applyFill="1" applyBorder="1"/>
    <xf numFmtId="168" fontId="4" fillId="2" borderId="4" xfId="1" applyNumberFormat="1" applyFont="1" applyFill="1" applyBorder="1"/>
    <xf numFmtId="168" fontId="10" fillId="2" borderId="4" xfId="0" applyNumberFormat="1" applyFont="1" applyFill="1" applyBorder="1"/>
    <xf numFmtId="165" fontId="2" fillId="2" borderId="4" xfId="1" applyNumberFormat="1" applyFont="1" applyFill="1" applyBorder="1"/>
    <xf numFmtId="165" fontId="1" fillId="2" borderId="4" xfId="1" applyNumberFormat="1" applyFont="1" applyFill="1" applyBorder="1" applyAlignment="1">
      <alignment horizontal="right"/>
    </xf>
    <xf numFmtId="14" fontId="1" fillId="2" borderId="14" xfId="0" applyNumberFormat="1" applyFont="1" applyFill="1" applyBorder="1"/>
    <xf numFmtId="0" fontId="0" fillId="2" borderId="0" xfId="0" applyFill="1" applyAlignment="1">
      <alignment horizontal="left"/>
    </xf>
    <xf numFmtId="14" fontId="1" fillId="2" borderId="0" xfId="0" applyNumberFormat="1" applyFont="1" applyFill="1"/>
    <xf numFmtId="14" fontId="1" fillId="2" borderId="15" xfId="0" applyNumberFormat="1" applyFont="1" applyFill="1" applyBorder="1"/>
    <xf numFmtId="0" fontId="0" fillId="2" borderId="2" xfId="0" applyFill="1" applyBorder="1" applyAlignment="1">
      <alignment horizontal="left"/>
    </xf>
    <xf numFmtId="14" fontId="1" fillId="2" borderId="12" xfId="0" applyNumberFormat="1" applyFont="1" applyFill="1" applyBorder="1"/>
    <xf numFmtId="1" fontId="0" fillId="2" borderId="1" xfId="0" applyNumberFormat="1" applyFill="1" applyBorder="1" applyAlignment="1">
      <alignment horizontal="left"/>
    </xf>
    <xf numFmtId="0" fontId="0" fillId="7" borderId="1" xfId="0" applyFill="1" applyBorder="1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1" xfId="0" applyFill="1" applyBorder="1"/>
    <xf numFmtId="1" fontId="1" fillId="2" borderId="1" xfId="0" applyNumberFormat="1" applyFont="1" applyFill="1" applyBorder="1" applyAlignment="1">
      <alignment horizontal="left"/>
    </xf>
    <xf numFmtId="0" fontId="6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0" fillId="0" borderId="11" xfId="0" applyBorder="1"/>
    <xf numFmtId="0" fontId="0" fillId="2" borderId="1" xfId="0" applyFill="1" applyBorder="1" applyAlignment="1">
      <alignment horizontal="right" vertical="center" wrapText="1"/>
    </xf>
    <xf numFmtId="0" fontId="12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5" fillId="2" borderId="1" xfId="0" applyFont="1" applyFill="1" applyBorder="1"/>
    <xf numFmtId="0" fontId="25" fillId="2" borderId="1" xfId="0" applyFont="1" applyFill="1" applyBorder="1" applyAlignment="1">
      <alignment horizontal="left"/>
    </xf>
    <xf numFmtId="14" fontId="25" fillId="2" borderId="1" xfId="0" applyNumberFormat="1" applyFont="1" applyFill="1" applyBorder="1"/>
    <xf numFmtId="0" fontId="25" fillId="0" borderId="1" xfId="0" applyFont="1" applyBorder="1"/>
    <xf numFmtId="14" fontId="25" fillId="0" borderId="1" xfId="0" applyNumberFormat="1" applyFont="1" applyBorder="1"/>
    <xf numFmtId="14" fontId="25" fillId="0" borderId="2" xfId="0" applyNumberFormat="1" applyFont="1" applyBorder="1"/>
    <xf numFmtId="14" fontId="25" fillId="0" borderId="11" xfId="0" applyNumberFormat="1" applyFont="1" applyBorder="1"/>
    <xf numFmtId="0" fontId="25" fillId="0" borderId="11" xfId="0" applyFont="1" applyBorder="1"/>
    <xf numFmtId="0" fontId="25" fillId="7" borderId="1" xfId="0" applyFont="1" applyFill="1" applyBorder="1"/>
    <xf numFmtId="1" fontId="0" fillId="7" borderId="1" xfId="0" applyNumberFormat="1" applyFill="1" applyBorder="1" applyAlignment="1">
      <alignment horizontal="left"/>
    </xf>
    <xf numFmtId="14" fontId="1" fillId="7" borderId="1" xfId="0" applyNumberFormat="1" applyFont="1" applyFill="1" applyBorder="1"/>
    <xf numFmtId="0" fontId="1" fillId="7" borderId="1" xfId="0" applyFont="1" applyFill="1" applyBorder="1"/>
    <xf numFmtId="0" fontId="0" fillId="7" borderId="0" xfId="0" applyFill="1"/>
    <xf numFmtId="0" fontId="6" fillId="2" borderId="4" xfId="0" applyFont="1" applyFill="1" applyBorder="1" applyAlignment="1">
      <alignment horizontal="center" vertical="center" wrapText="1"/>
    </xf>
    <xf numFmtId="0" fontId="28" fillId="8" borderId="1" xfId="0" applyFont="1" applyFill="1" applyBorder="1"/>
    <xf numFmtId="0" fontId="12" fillId="8" borderId="1" xfId="0" applyFont="1" applyFill="1" applyBorder="1"/>
    <xf numFmtId="0" fontId="25" fillId="8" borderId="1" xfId="0" applyFont="1" applyFill="1" applyBorder="1"/>
    <xf numFmtId="1" fontId="28" fillId="8" borderId="1" xfId="0" applyNumberFormat="1" applyFont="1" applyFill="1" applyBorder="1" applyAlignment="1">
      <alignment horizontal="left"/>
    </xf>
    <xf numFmtId="0" fontId="2" fillId="2" borderId="4" xfId="0" applyFont="1" applyFill="1" applyBorder="1" applyAlignment="1">
      <alignment horizontal="left" vertical="center"/>
    </xf>
    <xf numFmtId="0" fontId="0" fillId="2" borderId="18" xfId="0" applyFill="1" applyBorder="1"/>
    <xf numFmtId="0" fontId="0" fillId="2" borderId="19" xfId="0" applyFill="1" applyBorder="1"/>
    <xf numFmtId="0" fontId="33" fillId="0" borderId="0" xfId="0" applyFont="1"/>
    <xf numFmtId="0" fontId="0" fillId="0" borderId="0" xfId="0" applyAlignment="1">
      <alignment vertical="center"/>
    </xf>
    <xf numFmtId="0" fontId="34" fillId="0" borderId="0" xfId="0" applyFont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 wrapText="1"/>
    </xf>
    <xf numFmtId="49" fontId="31" fillId="0" borderId="40" xfId="0" applyNumberFormat="1" applyFont="1" applyBorder="1" applyAlignment="1">
      <alignment horizontal="center" vertical="center"/>
    </xf>
    <xf numFmtId="0" fontId="0" fillId="2" borderId="32" xfId="0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0" fillId="2" borderId="36" xfId="0" applyFill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49" fontId="31" fillId="0" borderId="41" xfId="0" applyNumberFormat="1" applyFont="1" applyBorder="1" applyAlignment="1">
      <alignment horizontal="center" vertical="center"/>
    </xf>
    <xf numFmtId="0" fontId="0" fillId="2" borderId="27" xfId="0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0" fillId="2" borderId="29" xfId="0" applyFill="1" applyBorder="1" applyAlignment="1">
      <alignment vertical="center"/>
    </xf>
    <xf numFmtId="0" fontId="0" fillId="2" borderId="30" xfId="0" applyFill="1" applyBorder="1" applyAlignment="1">
      <alignment vertical="center"/>
    </xf>
    <xf numFmtId="0" fontId="0" fillId="2" borderId="31" xfId="0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49" fontId="32" fillId="0" borderId="41" xfId="0" applyNumberFormat="1" applyFont="1" applyBorder="1" applyAlignment="1">
      <alignment horizontal="center" vertical="center"/>
    </xf>
    <xf numFmtId="49" fontId="31" fillId="0" borderId="42" xfId="0" applyNumberFormat="1" applyFont="1" applyBorder="1" applyAlignment="1">
      <alignment horizontal="center" vertical="center"/>
    </xf>
    <xf numFmtId="0" fontId="34" fillId="2" borderId="44" xfId="0" applyFont="1" applyFill="1" applyBorder="1" applyAlignment="1">
      <alignment horizontal="center" vertical="center"/>
    </xf>
    <xf numFmtId="0" fontId="34" fillId="2" borderId="45" xfId="0" applyFont="1" applyFill="1" applyBorder="1" applyAlignment="1">
      <alignment horizontal="center" vertical="center"/>
    </xf>
    <xf numFmtId="0" fontId="34" fillId="2" borderId="46" xfId="0" applyFont="1" applyFill="1" applyBorder="1" applyAlignment="1">
      <alignment horizontal="center" vertical="center"/>
    </xf>
    <xf numFmtId="0" fontId="34" fillId="2" borderId="47" xfId="0" applyFont="1" applyFill="1" applyBorder="1" applyAlignment="1">
      <alignment horizontal="center" vertical="center"/>
    </xf>
    <xf numFmtId="0" fontId="34" fillId="2" borderId="48" xfId="0" applyFont="1" applyFill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/>
    </xf>
    <xf numFmtId="17" fontId="2" fillId="0" borderId="44" xfId="0" applyNumberFormat="1" applyFont="1" applyBorder="1" applyAlignment="1">
      <alignment vertical="center"/>
    </xf>
    <xf numFmtId="17" fontId="2" fillId="0" borderId="45" xfId="0" applyNumberFormat="1" applyFont="1" applyBorder="1" applyAlignment="1">
      <alignment vertical="center"/>
    </xf>
    <xf numFmtId="17" fontId="2" fillId="0" borderId="46" xfId="0" applyNumberFormat="1" applyFont="1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7" fontId="1" fillId="2" borderId="18" xfId="0" applyNumberFormat="1" applyFont="1" applyFill="1" applyBorder="1"/>
    <xf numFmtId="17" fontId="1" fillId="2" borderId="19" xfId="0" applyNumberFormat="1" applyFont="1" applyFill="1" applyBorder="1"/>
    <xf numFmtId="0" fontId="0" fillId="7" borderId="4" xfId="0" applyFill="1" applyBorder="1"/>
    <xf numFmtId="0" fontId="0" fillId="7" borderId="19" xfId="0" applyFill="1" applyBorder="1"/>
    <xf numFmtId="0" fontId="35" fillId="2" borderId="1" xfId="0" applyFont="1" applyFill="1" applyBorder="1"/>
    <xf numFmtId="0" fontId="35" fillId="2" borderId="1" xfId="0" applyFont="1" applyFill="1" applyBorder="1" applyAlignment="1">
      <alignment horizontal="left"/>
    </xf>
    <xf numFmtId="0" fontId="12" fillId="7" borderId="1" xfId="0" applyFont="1" applyFill="1" applyBorder="1"/>
    <xf numFmtId="0" fontId="0" fillId="7" borderId="49" xfId="0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0" fillId="7" borderId="50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5" fillId="7" borderId="1" xfId="0" applyFont="1" applyFill="1" applyBorder="1"/>
    <xf numFmtId="0" fontId="30" fillId="0" borderId="38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6" fillId="0" borderId="0" xfId="0" applyFont="1"/>
    <xf numFmtId="0" fontId="37" fillId="0" borderId="0" xfId="0" applyFont="1"/>
    <xf numFmtId="0" fontId="0" fillId="10" borderId="0" xfId="0" applyFill="1"/>
    <xf numFmtId="0" fontId="0" fillId="9" borderId="0" xfId="0" applyFill="1"/>
    <xf numFmtId="0" fontId="0" fillId="6" borderId="0" xfId="0" applyFill="1"/>
    <xf numFmtId="0" fontId="0" fillId="11" borderId="0" xfId="0" applyFill="1"/>
    <xf numFmtId="0" fontId="0" fillId="12" borderId="0" xfId="0" applyFill="1"/>
    <xf numFmtId="0" fontId="30" fillId="0" borderId="38" xfId="0" applyFont="1" applyBorder="1" applyAlignment="1">
      <alignment vertical="center"/>
    </xf>
    <xf numFmtId="0" fontId="30" fillId="0" borderId="43" xfId="0" applyFont="1" applyBorder="1" applyAlignment="1">
      <alignment vertical="center"/>
    </xf>
    <xf numFmtId="0" fontId="12" fillId="6" borderId="27" xfId="0" applyFont="1" applyFill="1" applyBorder="1" applyAlignment="1">
      <alignment vertical="center"/>
    </xf>
    <xf numFmtId="0" fontId="12" fillId="6" borderId="28" xfId="0" applyFont="1" applyFill="1" applyBorder="1" applyAlignment="1">
      <alignment vertical="center"/>
    </xf>
    <xf numFmtId="0" fontId="12" fillId="6" borderId="29" xfId="0" applyFont="1" applyFill="1" applyBorder="1" applyAlignment="1">
      <alignment vertical="center"/>
    </xf>
    <xf numFmtId="0" fontId="0" fillId="6" borderId="27" xfId="0" applyFill="1" applyBorder="1" applyAlignment="1">
      <alignment vertical="center"/>
    </xf>
    <xf numFmtId="0" fontId="0" fillId="6" borderId="28" xfId="0" applyFill="1" applyBorder="1" applyAlignment="1">
      <alignment vertical="center"/>
    </xf>
    <xf numFmtId="0" fontId="0" fillId="6" borderId="29" xfId="0" applyFill="1" applyBorder="1" applyAlignment="1">
      <alignment vertical="center"/>
    </xf>
    <xf numFmtId="0" fontId="0" fillId="12" borderId="27" xfId="0" applyFill="1" applyBorder="1" applyAlignment="1">
      <alignment vertical="center"/>
    </xf>
    <xf numFmtId="0" fontId="0" fillId="12" borderId="28" xfId="0" applyFill="1" applyBorder="1" applyAlignment="1">
      <alignment vertical="center"/>
    </xf>
    <xf numFmtId="0" fontId="0" fillId="12" borderId="29" xfId="0" applyFill="1" applyBorder="1" applyAlignment="1">
      <alignment vertical="center"/>
    </xf>
    <xf numFmtId="17" fontId="1" fillId="2" borderId="4" xfId="0" applyNumberFormat="1" applyFont="1" applyFill="1" applyBorder="1"/>
    <xf numFmtId="0" fontId="0" fillId="2" borderId="5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7" borderId="52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7" borderId="10" xfId="0" applyFill="1" applyBorder="1"/>
    <xf numFmtId="0" fontId="0" fillId="2" borderId="10" xfId="0" applyFill="1" applyBorder="1"/>
    <xf numFmtId="0" fontId="0" fillId="2" borderId="23" xfId="0" applyFill="1" applyBorder="1"/>
    <xf numFmtId="0" fontId="38" fillId="0" borderId="0" xfId="0" applyFont="1"/>
    <xf numFmtId="0" fontId="38" fillId="2" borderId="0" xfId="0" applyFont="1" applyFill="1" applyAlignment="1">
      <alignment horizontal="left"/>
    </xf>
    <xf numFmtId="0" fontId="40" fillId="2" borderId="0" xfId="0" applyFont="1" applyFill="1" applyAlignment="1">
      <alignment horizontal="center"/>
    </xf>
    <xf numFmtId="0" fontId="43" fillId="2" borderId="0" xfId="0" applyFont="1" applyFill="1" applyAlignment="1">
      <alignment horizontal="left"/>
    </xf>
    <xf numFmtId="0" fontId="42" fillId="2" borderId="0" xfId="0" applyFont="1" applyFill="1"/>
    <xf numFmtId="14" fontId="44" fillId="2" borderId="1" xfId="0" applyNumberFormat="1" applyFont="1" applyFill="1" applyBorder="1" applyAlignment="1">
      <alignment horizontal="center"/>
    </xf>
    <xf numFmtId="168" fontId="41" fillId="2" borderId="0" xfId="1" applyNumberFormat="1" applyFont="1" applyFill="1"/>
    <xf numFmtId="165" fontId="38" fillId="2" borderId="0" xfId="1" applyNumberFormat="1" applyFont="1" applyFill="1"/>
    <xf numFmtId="0" fontId="45" fillId="2" borderId="0" xfId="0" applyFont="1" applyFill="1" applyAlignment="1">
      <alignment horizontal="left"/>
    </xf>
    <xf numFmtId="14" fontId="41" fillId="2" borderId="0" xfId="1" applyNumberFormat="1" applyFont="1" applyFill="1"/>
    <xf numFmtId="0" fontId="38" fillId="7" borderId="0" xfId="0" applyFont="1" applyFill="1"/>
    <xf numFmtId="0" fontId="39" fillId="11" borderId="1" xfId="0" applyFont="1" applyFill="1" applyBorder="1" applyAlignment="1">
      <alignment horizontal="center" vertical="center"/>
    </xf>
    <xf numFmtId="0" fontId="39" fillId="11" borderId="21" xfId="0" applyFont="1" applyFill="1" applyBorder="1" applyAlignment="1">
      <alignment horizontal="center" vertical="center"/>
    </xf>
    <xf numFmtId="0" fontId="39" fillId="11" borderId="23" xfId="0" applyFont="1" applyFill="1" applyBorder="1" applyAlignment="1">
      <alignment horizontal="center" vertical="center"/>
    </xf>
    <xf numFmtId="0" fontId="39" fillId="11" borderId="10" xfId="0" applyFont="1" applyFill="1" applyBorder="1" applyAlignment="1">
      <alignment horizontal="center" vertical="center"/>
    </xf>
    <xf numFmtId="14" fontId="42" fillId="2" borderId="0" xfId="0" applyNumberFormat="1" applyFont="1" applyFill="1" applyAlignment="1">
      <alignment horizontal="center" vertical="center"/>
    </xf>
    <xf numFmtId="0" fontId="42" fillId="2" borderId="0" xfId="0" applyFont="1" applyFill="1" applyAlignment="1">
      <alignment horizontal="center"/>
    </xf>
    <xf numFmtId="0" fontId="46" fillId="0" borderId="0" xfId="0" applyFont="1" applyAlignment="1">
      <alignment horizontal="left"/>
    </xf>
    <xf numFmtId="0" fontId="42" fillId="7" borderId="0" xfId="0" applyFont="1" applyFill="1" applyAlignment="1">
      <alignment horizontal="center"/>
    </xf>
    <xf numFmtId="0" fontId="47" fillId="0" borderId="0" xfId="0" applyFont="1"/>
    <xf numFmtId="0" fontId="46" fillId="0" borderId="0" xfId="0" applyFont="1" applyAlignment="1">
      <alignment horizontal="center"/>
    </xf>
    <xf numFmtId="0" fontId="48" fillId="0" borderId="0" xfId="0" applyFont="1" applyAlignment="1">
      <alignment horizontal="center" vertical="center"/>
    </xf>
    <xf numFmtId="0" fontId="47" fillId="0" borderId="53" xfId="0" applyFont="1" applyBorder="1"/>
    <xf numFmtId="0" fontId="48" fillId="0" borderId="0" xfId="0" applyFont="1" applyAlignment="1">
      <alignment horizontal="center"/>
    </xf>
    <xf numFmtId="0" fontId="48" fillId="0" borderId="53" xfId="0" applyFont="1" applyBorder="1" applyAlignment="1">
      <alignment horizontal="center"/>
    </xf>
    <xf numFmtId="0" fontId="47" fillId="2" borderId="0" xfId="0" applyFont="1" applyFill="1"/>
    <xf numFmtId="0" fontId="45" fillId="2" borderId="0" xfId="0" applyFont="1" applyFill="1" applyAlignment="1">
      <alignment horizontal="center"/>
    </xf>
    <xf numFmtId="0" fontId="47" fillId="2" borderId="1" xfId="0" applyFont="1" applyFill="1" applyBorder="1"/>
    <xf numFmtId="0" fontId="52" fillId="2" borderId="1" xfId="0" applyFont="1" applyFill="1" applyBorder="1"/>
    <xf numFmtId="0" fontId="52" fillId="2" borderId="1" xfId="0" applyFont="1" applyFill="1" applyBorder="1" applyAlignment="1">
      <alignment horizontal="center"/>
    </xf>
    <xf numFmtId="0" fontId="52" fillId="2" borderId="1" xfId="0" applyFont="1" applyFill="1" applyBorder="1" applyAlignment="1">
      <alignment horizontal="left"/>
    </xf>
    <xf numFmtId="168" fontId="53" fillId="2" borderId="1" xfId="0" applyNumberFormat="1" applyFont="1" applyFill="1" applyBorder="1"/>
    <xf numFmtId="0" fontId="47" fillId="2" borderId="1" xfId="0" applyFont="1" applyFill="1" applyBorder="1" applyAlignment="1">
      <alignment horizontal="center"/>
    </xf>
    <xf numFmtId="0" fontId="47" fillId="2" borderId="1" xfId="0" applyFont="1" applyFill="1" applyBorder="1" applyAlignment="1">
      <alignment horizontal="left"/>
    </xf>
    <xf numFmtId="14" fontId="47" fillId="2" borderId="1" xfId="0" applyNumberFormat="1" applyFont="1" applyFill="1" applyBorder="1"/>
    <xf numFmtId="14" fontId="52" fillId="2" borderId="1" xfId="0" applyNumberFormat="1" applyFont="1" applyFill="1" applyBorder="1"/>
    <xf numFmtId="168" fontId="52" fillId="2" borderId="1" xfId="0" applyNumberFormat="1" applyFont="1" applyFill="1" applyBorder="1"/>
    <xf numFmtId="17" fontId="53" fillId="2" borderId="1" xfId="0" applyNumberFormat="1" applyFont="1" applyFill="1" applyBorder="1"/>
    <xf numFmtId="0" fontId="54" fillId="2" borderId="1" xfId="0" applyFont="1" applyFill="1" applyBorder="1" applyAlignment="1">
      <alignment horizontal="left"/>
    </xf>
    <xf numFmtId="0" fontId="54" fillId="2" borderId="1" xfId="0" applyFont="1" applyFill="1" applyBorder="1" applyAlignment="1">
      <alignment horizontal="center"/>
    </xf>
    <xf numFmtId="168" fontId="54" fillId="2" borderId="1" xfId="0" applyNumberFormat="1" applyFont="1" applyFill="1" applyBorder="1"/>
    <xf numFmtId="0" fontId="54" fillId="2" borderId="1" xfId="0" applyFont="1" applyFill="1" applyBorder="1"/>
    <xf numFmtId="168" fontId="52" fillId="2" borderId="1" xfId="1" applyNumberFormat="1" applyFont="1" applyFill="1" applyBorder="1"/>
    <xf numFmtId="165" fontId="52" fillId="2" borderId="1" xfId="1" applyNumberFormat="1" applyFont="1" applyFill="1" applyBorder="1"/>
    <xf numFmtId="14" fontId="52" fillId="2" borderId="1" xfId="0" applyNumberFormat="1" applyFont="1" applyFill="1" applyBorder="1" applyAlignment="1">
      <alignment horizontal="center"/>
    </xf>
    <xf numFmtId="168" fontId="53" fillId="2" borderId="1" xfId="1" applyNumberFormat="1" applyFont="1" applyFill="1" applyBorder="1"/>
    <xf numFmtId="0" fontId="47" fillId="2" borderId="1" xfId="0" applyFont="1" applyFill="1" applyBorder="1" applyAlignment="1">
      <alignment horizontal="center" vertical="center" wrapText="1"/>
    </xf>
    <xf numFmtId="165" fontId="47" fillId="2" borderId="1" xfId="1" applyNumberFormat="1" applyFont="1" applyFill="1" applyBorder="1"/>
    <xf numFmtId="17" fontId="52" fillId="2" borderId="1" xfId="0" applyNumberFormat="1" applyFont="1" applyFill="1" applyBorder="1"/>
    <xf numFmtId="0" fontId="49" fillId="11" borderId="4" xfId="0" applyFont="1" applyFill="1" applyBorder="1" applyAlignment="1">
      <alignment horizontal="center" vertical="center" wrapText="1"/>
    </xf>
    <xf numFmtId="0" fontId="48" fillId="2" borderId="4" xfId="0" applyFont="1" applyFill="1" applyBorder="1" applyAlignment="1">
      <alignment horizontal="left" vertical="center"/>
    </xf>
    <xf numFmtId="0" fontId="48" fillId="2" borderId="4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/>
    </xf>
    <xf numFmtId="0" fontId="55" fillId="2" borderId="4" xfId="0" applyFont="1" applyFill="1" applyBorder="1" applyAlignment="1">
      <alignment horizontal="center" vertical="center" wrapText="1"/>
    </xf>
    <xf numFmtId="168" fontId="56" fillId="2" borderId="1" xfId="1" applyNumberFormat="1" applyFont="1" applyFill="1" applyBorder="1" applyAlignment="1">
      <alignment horizontal="center" vertical="center" wrapText="1"/>
    </xf>
    <xf numFmtId="165" fontId="48" fillId="2" borderId="1" xfId="1" applyNumberFormat="1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wrapText="1"/>
    </xf>
    <xf numFmtId="16" fontId="52" fillId="2" borderId="1" xfId="0" applyNumberFormat="1" applyFont="1" applyFill="1" applyBorder="1"/>
    <xf numFmtId="0" fontId="50" fillId="13" borderId="0" xfId="0" applyFont="1" applyFill="1" applyAlignment="1">
      <alignment horizontal="center" vertical="center"/>
    </xf>
    <xf numFmtId="0" fontId="51" fillId="4" borderId="54" xfId="0" applyFont="1" applyFill="1" applyBorder="1" applyAlignment="1">
      <alignment horizontal="center" vertical="center"/>
    </xf>
    <xf numFmtId="0" fontId="51" fillId="4" borderId="0" xfId="0" applyFont="1" applyFill="1" applyAlignment="1">
      <alignment horizontal="center" vertical="center"/>
    </xf>
    <xf numFmtId="0" fontId="0" fillId="2" borderId="20" xfId="0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7" borderId="21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7" fontId="2" fillId="0" borderId="25" xfId="0" applyNumberFormat="1" applyFont="1" applyBorder="1" applyAlignment="1">
      <alignment horizontal="center" vertical="center"/>
    </xf>
    <xf numFmtId="17" fontId="2" fillId="0" borderId="24" xfId="0" applyNumberFormat="1" applyFont="1" applyBorder="1" applyAlignment="1">
      <alignment horizontal="center" vertical="center"/>
    </xf>
    <xf numFmtId="17" fontId="2" fillId="0" borderId="26" xfId="0" applyNumberFormat="1" applyFont="1" applyBorder="1" applyAlignment="1">
      <alignment horizontal="center" vertical="center"/>
    </xf>
  </cellXfs>
  <cellStyles count="30">
    <cellStyle name="Lien hypertexte" xfId="4" builtinId="8" hidden="1"/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16" builtinId="8" hidden="1"/>
    <cellStyle name="Lien hypertexte" xfId="18" builtinId="8" hidden="1"/>
    <cellStyle name="Lien hypertexte" xfId="20" builtinId="8" hidden="1"/>
    <cellStyle name="Lien hypertexte" xfId="22" builtinId="8" hidden="1"/>
    <cellStyle name="Lien hypertexte" xfId="24" builtinId="8" hidden="1"/>
    <cellStyle name="Lien hypertexte" xfId="26" builtinId="8" hidden="1"/>
    <cellStyle name="Lien hypertexte" xfId="28" builtinId="8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17" builtinId="9" hidden="1"/>
    <cellStyle name="Lien hypertexte visité" xfId="19" builtinId="9" hidden="1"/>
    <cellStyle name="Lien hypertexte visité" xfId="21" builtinId="9" hidden="1"/>
    <cellStyle name="Lien hypertexte visité" xfId="23" builtinId="9" hidden="1"/>
    <cellStyle name="Lien hypertexte visité" xfId="25" builtinId="9" hidden="1"/>
    <cellStyle name="Lien hypertexte visité" xfId="27" builtinId="9" hidden="1"/>
    <cellStyle name="Lien hypertexte visité" xfId="29" builtinId="9" hidden="1"/>
    <cellStyle name="Milliers" xfId="1" builtinId="3"/>
    <cellStyle name="Milliers 2" xfId="3" xr:uid="{00000000-0005-0000-0000-00001B000000}"/>
    <cellStyle name="Normal" xfId="0" builtinId="0"/>
    <cellStyle name="Normal 2 4" xfId="2" xr:uid="{00000000-0005-0000-0000-00001D000000}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 tint="-0.499984740745262"/>
      </font>
      <fill>
        <patternFill>
          <bgColor theme="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 tint="-0.499984740745262"/>
      </font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 tint="-0.499984740745262"/>
      </font>
      <fill>
        <patternFill>
          <bgColor theme="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 tint="-0.499984740745262"/>
      </font>
      <fill>
        <patternFill>
          <bgColor theme="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</dxfs>
  <tableStyles count="0" defaultTableStyle="TableStyleMedium2" defaultPivotStyle="PivotStyleLight16"/>
  <colors>
    <mruColors>
      <color rgb="FF806000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30480</xdr:rowOff>
    </xdr:from>
    <xdr:to>
      <xdr:col>1</xdr:col>
      <xdr:colOff>731519</xdr:colOff>
      <xdr:row>4</xdr:row>
      <xdr:rowOff>0</xdr:rowOff>
    </xdr:to>
    <xdr:pic>
      <xdr:nvPicPr>
        <xdr:cNvPr id="2" name="Image 18">
          <a:extLst>
            <a:ext uri="{FF2B5EF4-FFF2-40B4-BE49-F238E27FC236}">
              <a16:creationId xmlns:a16="http://schemas.microsoft.com/office/drawing/2014/main" id="{62FF85DA-DBF8-4472-9451-3811596CB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480"/>
          <a:ext cx="1135379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U340"/>
  <sheetViews>
    <sheetView zoomScale="80" zoomScaleNormal="80" zoomScalePageLayoutView="80" workbookViewId="0">
      <pane xSplit="12" ySplit="5" topLeftCell="AU135" activePane="bottomRight" state="frozenSplit"/>
      <selection pane="topRight" activeCell="H1" sqref="H1"/>
      <selection pane="bottomLeft" activeCell="A32" sqref="A32"/>
      <selection pane="bottomRight" activeCell="J4" sqref="J4"/>
    </sheetView>
  </sheetViews>
  <sheetFormatPr baseColWidth="10" defaultRowHeight="14.4" x14ac:dyDescent="0.3"/>
  <cols>
    <col min="1" max="1" width="12.88671875" bestFit="1" customWidth="1"/>
    <col min="2" max="2" width="67.6640625" bestFit="1" customWidth="1"/>
    <col min="3" max="3" width="7.33203125" customWidth="1"/>
    <col min="5" max="5" width="14.44140625" bestFit="1" customWidth="1"/>
    <col min="6" max="6" width="26.6640625" style="5" bestFit="1" customWidth="1"/>
    <col min="7" max="7" width="23.6640625" style="90" bestFit="1" customWidth="1"/>
    <col min="8" max="8" width="16.109375" style="64" customWidth="1"/>
    <col min="9" max="9" width="18.88671875" style="82" bestFit="1" customWidth="1"/>
    <col min="10" max="10" width="10.88671875" style="64"/>
    <col min="11" max="11" width="12.6640625" customWidth="1"/>
    <col min="12" max="12" width="12.6640625" style="101" customWidth="1"/>
    <col min="13" max="15" width="12.6640625" customWidth="1"/>
    <col min="20" max="21" width="10.88671875" style="24"/>
    <col min="23" max="23" width="10.88671875" style="24"/>
    <col min="30" max="30" width="2.44140625" customWidth="1"/>
    <col min="37" max="37" width="13.44140625" customWidth="1"/>
    <col min="38" max="38" width="1.33203125" customWidth="1"/>
    <col min="40" max="40" width="3.6640625" customWidth="1"/>
    <col min="42" max="43" width="15.33203125" customWidth="1"/>
    <col min="44" max="44" width="20.109375" bestFit="1" customWidth="1"/>
    <col min="45" max="45" width="25.6640625" customWidth="1"/>
    <col min="46" max="46" width="32.6640625" customWidth="1"/>
    <col min="47" max="47" width="25.6640625" customWidth="1"/>
  </cols>
  <sheetData>
    <row r="2" spans="1:47" x14ac:dyDescent="0.3">
      <c r="B2" s="89"/>
      <c r="H2" s="70"/>
    </row>
    <row r="3" spans="1:47" x14ac:dyDescent="0.3">
      <c r="A3" s="25">
        <v>43892</v>
      </c>
      <c r="B3" s="66" t="s">
        <v>463</v>
      </c>
      <c r="C3" s="66"/>
      <c r="D3" s="1"/>
      <c r="E3" s="1"/>
      <c r="F3" s="95">
        <f ca="1">TODAY()</f>
        <v>45587</v>
      </c>
      <c r="H3" s="71"/>
      <c r="I3" s="10">
        <f>I4/655.957</f>
        <v>26474136.52799961</v>
      </c>
      <c r="J3" s="65">
        <f>-J4+AM3</f>
        <v>3.9124916943521839</v>
      </c>
      <c r="K3" s="76"/>
      <c r="L3" s="102"/>
      <c r="M3" s="76"/>
      <c r="N3" s="10"/>
      <c r="P3" s="17" t="s">
        <v>51</v>
      </c>
      <c r="Q3" s="17"/>
      <c r="R3" s="17"/>
      <c r="U3" s="27"/>
      <c r="V3" s="27"/>
      <c r="W3" s="28" t="s">
        <v>29</v>
      </c>
      <c r="X3" s="17"/>
      <c r="Y3" s="17"/>
      <c r="Z3" s="17"/>
      <c r="AA3" s="17"/>
      <c r="AB3" s="17"/>
      <c r="AC3" s="17"/>
      <c r="AE3" s="1"/>
      <c r="AF3" s="1"/>
      <c r="AG3" s="1"/>
      <c r="AH3" s="1"/>
      <c r="AI3" s="17"/>
      <c r="AJ3" s="17"/>
      <c r="AK3" s="17"/>
      <c r="AL3" s="17"/>
      <c r="AM3" s="44">
        <v>2019.66</v>
      </c>
      <c r="AN3" s="1"/>
    </row>
    <row r="4" spans="1:47" x14ac:dyDescent="0.3">
      <c r="A4" s="5">
        <f>SUBTOTAL(3,A6:A328)</f>
        <v>323</v>
      </c>
      <c r="B4" s="67" t="s">
        <v>464</v>
      </c>
      <c r="C4" s="67"/>
      <c r="D4" s="1"/>
      <c r="E4" s="1"/>
      <c r="H4" s="72"/>
      <c r="I4" s="14">
        <f>SUBTOTAL(9,I6:I316)</f>
        <v>17365895174.49704</v>
      </c>
      <c r="J4" s="65">
        <f>AVERAGE(J6:J316)</f>
        <v>2015.7475083056479</v>
      </c>
      <c r="K4" s="76"/>
      <c r="L4" s="100">
        <v>43847</v>
      </c>
      <c r="M4" s="76"/>
      <c r="N4" s="10"/>
      <c r="O4" s="76" t="s">
        <v>610</v>
      </c>
      <c r="P4" s="28" t="s">
        <v>40</v>
      </c>
      <c r="Q4" s="17" t="s">
        <v>986</v>
      </c>
      <c r="R4" s="17" t="s">
        <v>40</v>
      </c>
      <c r="S4" s="17" t="s">
        <v>41</v>
      </c>
      <c r="T4" s="17" t="s">
        <v>40</v>
      </c>
      <c r="U4" s="17" t="s">
        <v>40</v>
      </c>
      <c r="V4" s="17" t="s">
        <v>181</v>
      </c>
      <c r="W4" s="28" t="s">
        <v>40</v>
      </c>
      <c r="X4" s="17" t="s">
        <v>986</v>
      </c>
      <c r="Y4" s="17" t="s">
        <v>40</v>
      </c>
      <c r="Z4" s="17" t="s">
        <v>41</v>
      </c>
      <c r="AA4" s="17" t="s">
        <v>40</v>
      </c>
      <c r="AB4" s="17" t="s">
        <v>40</v>
      </c>
      <c r="AC4" s="17" t="s">
        <v>181</v>
      </c>
      <c r="AE4" s="1" t="s">
        <v>40</v>
      </c>
      <c r="AF4" s="17" t="s">
        <v>986</v>
      </c>
      <c r="AG4" s="1" t="s">
        <v>40</v>
      </c>
      <c r="AH4" s="1" t="s">
        <v>41</v>
      </c>
      <c r="AI4" s="17" t="s">
        <v>40</v>
      </c>
      <c r="AJ4" s="17" t="s">
        <v>40</v>
      </c>
      <c r="AK4" s="17" t="s">
        <v>181</v>
      </c>
      <c r="AL4" s="17"/>
      <c r="AM4" s="45">
        <f>SUBTOTAL(9,AM6:AM316)</f>
        <v>5.3726852770530815</v>
      </c>
    </row>
    <row r="5" spans="1:47" ht="72" x14ac:dyDescent="0.3">
      <c r="A5" s="6" t="s">
        <v>1055</v>
      </c>
      <c r="B5" s="6" t="s">
        <v>0</v>
      </c>
      <c r="C5" s="6" t="s">
        <v>1516</v>
      </c>
      <c r="D5" s="7" t="s">
        <v>48</v>
      </c>
      <c r="E5" s="7" t="s">
        <v>634</v>
      </c>
      <c r="F5" s="51" t="s">
        <v>1517</v>
      </c>
      <c r="G5" s="29" t="s">
        <v>1518</v>
      </c>
      <c r="H5" s="7" t="s">
        <v>489</v>
      </c>
      <c r="I5" s="11" t="s">
        <v>182</v>
      </c>
      <c r="J5" s="59" t="s">
        <v>183</v>
      </c>
      <c r="K5" s="75" t="s">
        <v>590</v>
      </c>
      <c r="L5" s="103" t="s">
        <v>591</v>
      </c>
      <c r="M5" s="75" t="s">
        <v>592</v>
      </c>
      <c r="N5" s="75" t="s">
        <v>593</v>
      </c>
      <c r="O5" s="75" t="s">
        <v>594</v>
      </c>
      <c r="P5" s="29" t="s">
        <v>27</v>
      </c>
      <c r="Q5" s="29" t="s">
        <v>28</v>
      </c>
      <c r="R5" s="29" t="s">
        <v>26</v>
      </c>
      <c r="S5" s="30" t="s">
        <v>50</v>
      </c>
      <c r="T5" s="31" t="s">
        <v>174</v>
      </c>
      <c r="U5" s="31" t="s">
        <v>175</v>
      </c>
      <c r="V5" s="31" t="s">
        <v>180</v>
      </c>
      <c r="W5" s="32" t="s">
        <v>27</v>
      </c>
      <c r="X5" s="29" t="s">
        <v>28</v>
      </c>
      <c r="Y5" s="29" t="s">
        <v>26</v>
      </c>
      <c r="Z5" s="29" t="s">
        <v>50</v>
      </c>
      <c r="AA5" s="31" t="s">
        <v>174</v>
      </c>
      <c r="AB5" s="31" t="s">
        <v>175</v>
      </c>
      <c r="AC5" s="31" t="s">
        <v>432</v>
      </c>
      <c r="AE5" s="8" t="s">
        <v>27</v>
      </c>
      <c r="AF5" s="8" t="s">
        <v>28</v>
      </c>
      <c r="AG5" s="8" t="s">
        <v>26</v>
      </c>
      <c r="AH5" s="8" t="s">
        <v>50</v>
      </c>
      <c r="AI5" s="35" t="s">
        <v>174</v>
      </c>
      <c r="AJ5" s="36" t="s">
        <v>175</v>
      </c>
      <c r="AK5" s="36" t="s">
        <v>180</v>
      </c>
      <c r="AL5" s="37"/>
      <c r="AM5" s="74" t="s">
        <v>199</v>
      </c>
      <c r="AN5" s="9"/>
      <c r="AO5" t="s">
        <v>395</v>
      </c>
      <c r="AP5" t="s">
        <v>468</v>
      </c>
      <c r="AQ5" t="s">
        <v>641</v>
      </c>
      <c r="AR5" s="64" t="s">
        <v>1154</v>
      </c>
      <c r="AS5" s="64" t="s">
        <v>1157</v>
      </c>
      <c r="AT5" s="64" t="s">
        <v>1158</v>
      </c>
      <c r="AU5" s="64" t="s">
        <v>1159</v>
      </c>
    </row>
    <row r="6" spans="1:47" ht="14.4" customHeight="1" x14ac:dyDescent="0.3">
      <c r="A6" s="3" t="s">
        <v>52</v>
      </c>
      <c r="B6" s="3" t="s">
        <v>1155</v>
      </c>
      <c r="C6" s="3" t="s">
        <v>502</v>
      </c>
      <c r="D6" s="4" t="s">
        <v>49</v>
      </c>
      <c r="E6" s="4"/>
      <c r="F6" s="3" t="s">
        <v>30</v>
      </c>
      <c r="G6" s="60"/>
      <c r="H6" s="73" t="s">
        <v>30</v>
      </c>
      <c r="I6" s="12">
        <v>3000000</v>
      </c>
      <c r="J6" s="61">
        <v>2014</v>
      </c>
      <c r="K6" s="78"/>
      <c r="L6" s="87"/>
      <c r="M6" s="47"/>
      <c r="N6" s="56" t="s">
        <v>596</v>
      </c>
      <c r="O6" s="80"/>
      <c r="P6" s="18" t="s">
        <v>30</v>
      </c>
      <c r="Q6" s="18" t="s">
        <v>30</v>
      </c>
      <c r="R6" s="18" t="s">
        <v>30</v>
      </c>
      <c r="S6" s="22" t="s">
        <v>30</v>
      </c>
      <c r="T6" s="18" t="s">
        <v>30</v>
      </c>
      <c r="U6" s="18" t="s">
        <v>30</v>
      </c>
      <c r="V6" s="22" t="s">
        <v>30</v>
      </c>
      <c r="W6" s="52" t="str">
        <f t="shared" ref="W6:W37" si="0">IF(P6="NC","NC",IF(P6="","erreur",P6+365))</f>
        <v>NC</v>
      </c>
      <c r="X6" s="18" t="str">
        <f t="shared" ref="X6:X37" si="1">IF(Q6="NC","NC",IF(Q6="","erreur",Q6+181))</f>
        <v>NC</v>
      </c>
      <c r="Y6" s="18" t="str">
        <f t="shared" ref="Y6:Y37" si="2">IF(R6="NC","NC",IF(R6="","erreur",R6+365))</f>
        <v>NC</v>
      </c>
      <c r="Z6" s="18" t="str">
        <f t="shared" ref="Z6:Z37" si="3">IF(S6="NC","NC",IF(S6="","erreur",S6+3650))</f>
        <v>NC</v>
      </c>
      <c r="AA6" s="18" t="str">
        <f t="shared" ref="AA6:AA37" si="4">IF(T6="NC","NC",IF(T6="","erreur",T6+365))</f>
        <v>NC</v>
      </c>
      <c r="AB6" s="18" t="str">
        <f t="shared" ref="AB6:AB37" si="5">IF(U6="NC","NC",IF(U6="","erreur",U6+365))</f>
        <v>NC</v>
      </c>
      <c r="AC6" s="18" t="str">
        <f t="shared" ref="AC6:AC37" si="6">IF(V6="NC","NC",IF(V6="","erreur",V6+730))</f>
        <v>NC</v>
      </c>
      <c r="AE6" s="4" t="str">
        <f t="shared" ref="AE6:AE37" si="7">IF(W6="NC","NC",IF(W6="erreur","erreur",W6-$F$3))</f>
        <v>NC</v>
      </c>
      <c r="AF6" s="4" t="str">
        <f t="shared" ref="AF6:AF37" si="8">IF(X6="NC","NC",IF(X6="erreur","erreur",X6-$F$3))</f>
        <v>NC</v>
      </c>
      <c r="AG6" s="4" t="str">
        <f t="shared" ref="AG6:AG37" si="9">IF(Y6="NC","NC",IF(Y6="erreur","erreur",Y6-$F$3))</f>
        <v>NC</v>
      </c>
      <c r="AH6" s="4" t="str">
        <f t="shared" ref="AH6:AH37" si="10">IF(Z6="NC","NC",IF(Z6="erreur","erreur",Z6-$F$3))</f>
        <v>NC</v>
      </c>
      <c r="AI6" s="4" t="str">
        <f t="shared" ref="AI6:AI37" si="11">IF(AA6="NC","NC",IF(AA6="erreur","erreur",AA6-$F$3))</f>
        <v>NC</v>
      </c>
      <c r="AJ6" s="4" t="str">
        <f t="shared" ref="AJ6:AJ37" si="12">IF(AB6="NC","NC",IF(AB6="erreur","erreur",AB6-$F$3))</f>
        <v>NC</v>
      </c>
      <c r="AK6" s="4" t="str">
        <f t="shared" ref="AK6:AK37" si="13">IF(AC6="NC","NC",IF(AC6="erreur","erreur",AC6-$F$3))</f>
        <v>NC</v>
      </c>
      <c r="AL6" s="24"/>
      <c r="AM6" s="46">
        <f t="shared" ref="AM6:AM37" si="14">I6*($AM$3-J6)/$I$4</f>
        <v>9.7777856133420015E-4</v>
      </c>
      <c r="AN6" s="15"/>
      <c r="AP6" s="69" t="s">
        <v>643</v>
      </c>
      <c r="AQ6" s="69" t="s">
        <v>643</v>
      </c>
      <c r="AS6" s="114" t="s">
        <v>1160</v>
      </c>
      <c r="AT6" s="114" t="s">
        <v>940</v>
      </c>
      <c r="AU6" s="114" t="s">
        <v>941</v>
      </c>
    </row>
    <row r="7" spans="1:47" ht="14.4" customHeight="1" x14ac:dyDescent="0.3">
      <c r="A7" s="3" t="s">
        <v>53</v>
      </c>
      <c r="B7" s="3" t="s">
        <v>1155</v>
      </c>
      <c r="C7" s="3" t="s">
        <v>502</v>
      </c>
      <c r="D7" s="4" t="s">
        <v>49</v>
      </c>
      <c r="E7" s="4"/>
      <c r="F7" s="3" t="s">
        <v>30</v>
      </c>
      <c r="G7" s="60"/>
      <c r="H7" s="73" t="s">
        <v>30</v>
      </c>
      <c r="I7" s="12">
        <v>3000000</v>
      </c>
      <c r="J7" s="61">
        <v>2014</v>
      </c>
      <c r="K7" s="78"/>
      <c r="L7" s="87"/>
      <c r="M7" s="47"/>
      <c r="N7" s="56" t="s">
        <v>596</v>
      </c>
      <c r="O7" s="80"/>
      <c r="P7" s="18" t="s">
        <v>30</v>
      </c>
      <c r="Q7" s="18" t="s">
        <v>30</v>
      </c>
      <c r="R7" s="18" t="s">
        <v>30</v>
      </c>
      <c r="S7" s="22" t="s">
        <v>30</v>
      </c>
      <c r="T7" s="18" t="s">
        <v>30</v>
      </c>
      <c r="U7" s="18" t="s">
        <v>30</v>
      </c>
      <c r="V7" s="22" t="s">
        <v>30</v>
      </c>
      <c r="W7" s="52" t="str">
        <f t="shared" si="0"/>
        <v>NC</v>
      </c>
      <c r="X7" s="18" t="str">
        <f t="shared" si="1"/>
        <v>NC</v>
      </c>
      <c r="Y7" s="18" t="str">
        <f t="shared" si="2"/>
        <v>NC</v>
      </c>
      <c r="Z7" s="18" t="str">
        <f t="shared" si="3"/>
        <v>NC</v>
      </c>
      <c r="AA7" s="18" t="str">
        <f t="shared" si="4"/>
        <v>NC</v>
      </c>
      <c r="AB7" s="18" t="str">
        <f t="shared" si="5"/>
        <v>NC</v>
      </c>
      <c r="AC7" s="18" t="str">
        <f t="shared" si="6"/>
        <v>NC</v>
      </c>
      <c r="AE7" s="4" t="str">
        <f t="shared" si="7"/>
        <v>NC</v>
      </c>
      <c r="AF7" s="4" t="str">
        <f t="shared" si="8"/>
        <v>NC</v>
      </c>
      <c r="AG7" s="4" t="str">
        <f t="shared" si="9"/>
        <v>NC</v>
      </c>
      <c r="AH7" s="4" t="str">
        <f t="shared" si="10"/>
        <v>NC</v>
      </c>
      <c r="AI7" s="4" t="str">
        <f t="shared" si="11"/>
        <v>NC</v>
      </c>
      <c r="AJ7" s="4" t="str">
        <f t="shared" si="12"/>
        <v>NC</v>
      </c>
      <c r="AK7" s="4" t="str">
        <f t="shared" si="13"/>
        <v>NC</v>
      </c>
      <c r="AL7" s="24"/>
      <c r="AM7" s="46">
        <f t="shared" si="14"/>
        <v>9.7777856133420015E-4</v>
      </c>
      <c r="AN7" s="15"/>
      <c r="AP7" s="69" t="s">
        <v>643</v>
      </c>
      <c r="AQ7" s="69" t="s">
        <v>643</v>
      </c>
      <c r="AS7" s="114" t="s">
        <v>1160</v>
      </c>
      <c r="AT7" s="114" t="s">
        <v>940</v>
      </c>
      <c r="AU7" s="114" t="s">
        <v>941</v>
      </c>
    </row>
    <row r="8" spans="1:47" ht="14.4" customHeight="1" x14ac:dyDescent="0.3">
      <c r="A8" s="3" t="s">
        <v>54</v>
      </c>
      <c r="B8" s="3" t="s">
        <v>1156</v>
      </c>
      <c r="C8" s="3" t="s">
        <v>502</v>
      </c>
      <c r="D8" s="4" t="s">
        <v>49</v>
      </c>
      <c r="E8" s="4"/>
      <c r="F8" s="3" t="s">
        <v>30</v>
      </c>
      <c r="G8" s="60"/>
      <c r="H8" s="73" t="s">
        <v>30</v>
      </c>
      <c r="I8" s="12">
        <v>3000000</v>
      </c>
      <c r="J8" s="61">
        <v>2016</v>
      </c>
      <c r="K8" s="78"/>
      <c r="L8" s="87"/>
      <c r="M8" s="47"/>
      <c r="N8" s="56" t="s">
        <v>596</v>
      </c>
      <c r="O8" s="80"/>
      <c r="P8" s="18" t="s">
        <v>30</v>
      </c>
      <c r="Q8" s="18" t="s">
        <v>30</v>
      </c>
      <c r="R8" s="18" t="s">
        <v>30</v>
      </c>
      <c r="S8" s="22" t="s">
        <v>30</v>
      </c>
      <c r="T8" s="18" t="s">
        <v>30</v>
      </c>
      <c r="U8" s="18" t="s">
        <v>30</v>
      </c>
      <c r="V8" s="22" t="s">
        <v>30</v>
      </c>
      <c r="W8" s="52" t="str">
        <f t="shared" si="0"/>
        <v>NC</v>
      </c>
      <c r="X8" s="18" t="str">
        <f t="shared" si="1"/>
        <v>NC</v>
      </c>
      <c r="Y8" s="18" t="str">
        <f t="shared" si="2"/>
        <v>NC</v>
      </c>
      <c r="Z8" s="18" t="str">
        <f t="shared" si="3"/>
        <v>NC</v>
      </c>
      <c r="AA8" s="18" t="str">
        <f t="shared" si="4"/>
        <v>NC</v>
      </c>
      <c r="AB8" s="18" t="str">
        <f t="shared" si="5"/>
        <v>NC</v>
      </c>
      <c r="AC8" s="18" t="str">
        <f t="shared" si="6"/>
        <v>NC</v>
      </c>
      <c r="AE8" s="4" t="str">
        <f t="shared" si="7"/>
        <v>NC</v>
      </c>
      <c r="AF8" s="4" t="str">
        <f t="shared" si="8"/>
        <v>NC</v>
      </c>
      <c r="AG8" s="4" t="str">
        <f t="shared" si="9"/>
        <v>NC</v>
      </c>
      <c r="AH8" s="4" t="str">
        <f t="shared" si="10"/>
        <v>NC</v>
      </c>
      <c r="AI8" s="4" t="str">
        <f t="shared" si="11"/>
        <v>NC</v>
      </c>
      <c r="AJ8" s="4" t="str">
        <f t="shared" si="12"/>
        <v>NC</v>
      </c>
      <c r="AK8" s="4" t="str">
        <f t="shared" si="13"/>
        <v>NC</v>
      </c>
      <c r="AL8" s="24"/>
      <c r="AM8" s="46">
        <f t="shared" si="14"/>
        <v>6.3227376934332172E-4</v>
      </c>
      <c r="AN8" s="15"/>
      <c r="AP8" s="69" t="s">
        <v>643</v>
      </c>
      <c r="AQ8" s="69" t="s">
        <v>643</v>
      </c>
      <c r="AS8" s="114" t="s">
        <v>1161</v>
      </c>
      <c r="AT8" s="114" t="s">
        <v>940</v>
      </c>
      <c r="AU8" s="114" t="s">
        <v>942</v>
      </c>
    </row>
    <row r="9" spans="1:47" ht="14.4" customHeight="1" x14ac:dyDescent="0.3">
      <c r="A9" s="3" t="s">
        <v>55</v>
      </c>
      <c r="B9" s="2" t="s">
        <v>1403</v>
      </c>
      <c r="C9" s="3" t="s">
        <v>503</v>
      </c>
      <c r="D9" s="4" t="s">
        <v>357</v>
      </c>
      <c r="E9" s="4"/>
      <c r="F9" s="3" t="s">
        <v>204</v>
      </c>
      <c r="G9" s="60"/>
      <c r="H9" s="73" t="s">
        <v>30</v>
      </c>
      <c r="I9" s="12">
        <v>13578310</v>
      </c>
      <c r="J9" s="61">
        <v>2010</v>
      </c>
      <c r="K9" s="79" t="s">
        <v>609</v>
      </c>
      <c r="L9" s="87">
        <v>43891</v>
      </c>
      <c r="M9" s="47"/>
      <c r="N9" s="56" t="s">
        <v>596</v>
      </c>
      <c r="O9" s="80"/>
      <c r="P9" s="18" t="s">
        <v>30</v>
      </c>
      <c r="Q9" s="18" t="s">
        <v>30</v>
      </c>
      <c r="R9" s="18" t="s">
        <v>30</v>
      </c>
      <c r="S9" s="22" t="s">
        <v>30</v>
      </c>
      <c r="T9" s="18" t="s">
        <v>30</v>
      </c>
      <c r="U9" s="18" t="s">
        <v>30</v>
      </c>
      <c r="V9" s="22" t="s">
        <v>30</v>
      </c>
      <c r="W9" s="52" t="str">
        <f t="shared" si="0"/>
        <v>NC</v>
      </c>
      <c r="X9" s="18" t="str">
        <f t="shared" si="1"/>
        <v>NC</v>
      </c>
      <c r="Y9" s="18" t="str">
        <f t="shared" si="2"/>
        <v>NC</v>
      </c>
      <c r="Z9" s="18" t="str">
        <f t="shared" si="3"/>
        <v>NC</v>
      </c>
      <c r="AA9" s="18" t="str">
        <f t="shared" si="4"/>
        <v>NC</v>
      </c>
      <c r="AB9" s="18" t="str">
        <f t="shared" si="5"/>
        <v>NC</v>
      </c>
      <c r="AC9" s="18" t="str">
        <f t="shared" si="6"/>
        <v>NC</v>
      </c>
      <c r="AE9" s="4" t="str">
        <f t="shared" si="7"/>
        <v>NC</v>
      </c>
      <c r="AF9" s="4" t="str">
        <f t="shared" si="8"/>
        <v>NC</v>
      </c>
      <c r="AG9" s="4" t="str">
        <f t="shared" si="9"/>
        <v>NC</v>
      </c>
      <c r="AH9" s="4" t="str">
        <f t="shared" si="10"/>
        <v>NC</v>
      </c>
      <c r="AI9" s="4" t="str">
        <f t="shared" si="11"/>
        <v>NC</v>
      </c>
      <c r="AJ9" s="4" t="str">
        <f t="shared" si="12"/>
        <v>NC</v>
      </c>
      <c r="AK9" s="4" t="str">
        <f t="shared" si="13"/>
        <v>NC</v>
      </c>
      <c r="AL9" s="24"/>
      <c r="AM9" s="46">
        <f t="shared" si="14"/>
        <v>7.5531075871417049E-3</v>
      </c>
      <c r="AN9" s="15"/>
      <c r="AP9" s="69" t="s">
        <v>643</v>
      </c>
      <c r="AQ9" s="69" t="s">
        <v>643</v>
      </c>
      <c r="AS9" s="114" t="s">
        <v>1162</v>
      </c>
      <c r="AT9" s="114" t="s">
        <v>940</v>
      </c>
      <c r="AU9" s="114" t="s">
        <v>1173</v>
      </c>
    </row>
    <row r="10" spans="1:47" ht="14.4" customHeight="1" x14ac:dyDescent="0.3">
      <c r="A10" s="3" t="s">
        <v>1</v>
      </c>
      <c r="B10" s="2" t="s">
        <v>1401</v>
      </c>
      <c r="C10" s="3" t="s">
        <v>503</v>
      </c>
      <c r="D10" s="4" t="s">
        <v>46</v>
      </c>
      <c r="E10" s="4"/>
      <c r="F10" s="3">
        <v>8281</v>
      </c>
      <c r="G10" s="60"/>
      <c r="H10" s="73" t="s">
        <v>30</v>
      </c>
      <c r="I10" s="13">
        <v>19678710</v>
      </c>
      <c r="J10" s="62">
        <v>2014</v>
      </c>
      <c r="K10" s="78">
        <v>43983</v>
      </c>
      <c r="L10" s="87" t="s">
        <v>1022</v>
      </c>
      <c r="M10" s="47"/>
      <c r="N10" s="56" t="s">
        <v>596</v>
      </c>
      <c r="O10" s="80">
        <v>46</v>
      </c>
      <c r="P10" s="18" t="s">
        <v>30</v>
      </c>
      <c r="Q10" s="18" t="s">
        <v>30</v>
      </c>
      <c r="R10" s="18" t="s">
        <v>30</v>
      </c>
      <c r="S10" s="22" t="s">
        <v>30</v>
      </c>
      <c r="T10" s="18" t="s">
        <v>30</v>
      </c>
      <c r="U10" s="18" t="s">
        <v>30</v>
      </c>
      <c r="V10" s="22" t="s">
        <v>30</v>
      </c>
      <c r="W10" s="52" t="str">
        <f t="shared" si="0"/>
        <v>NC</v>
      </c>
      <c r="X10" s="18" t="str">
        <f t="shared" si="1"/>
        <v>NC</v>
      </c>
      <c r="Y10" s="18" t="str">
        <f t="shared" si="2"/>
        <v>NC</v>
      </c>
      <c r="Z10" s="18" t="str">
        <f t="shared" si="3"/>
        <v>NC</v>
      </c>
      <c r="AA10" s="18" t="str">
        <f t="shared" si="4"/>
        <v>NC</v>
      </c>
      <c r="AB10" s="18" t="str">
        <f t="shared" si="5"/>
        <v>NC</v>
      </c>
      <c r="AC10" s="18" t="str">
        <f t="shared" si="6"/>
        <v>NC</v>
      </c>
      <c r="AE10" s="4" t="str">
        <f t="shared" si="7"/>
        <v>NC</v>
      </c>
      <c r="AF10" s="4" t="str">
        <f t="shared" si="8"/>
        <v>NC</v>
      </c>
      <c r="AG10" s="4" t="str">
        <f t="shared" si="9"/>
        <v>NC</v>
      </c>
      <c r="AH10" s="4" t="str">
        <f t="shared" si="10"/>
        <v>NC</v>
      </c>
      <c r="AI10" s="4" t="str">
        <f t="shared" si="11"/>
        <v>NC</v>
      </c>
      <c r="AJ10" s="4" t="str">
        <f t="shared" si="12"/>
        <v>NC</v>
      </c>
      <c r="AK10" s="4" t="str">
        <f t="shared" si="13"/>
        <v>NC</v>
      </c>
      <c r="AL10" s="24"/>
      <c r="AM10" s="46">
        <f t="shared" si="14"/>
        <v>6.4138069175709795E-3</v>
      </c>
      <c r="AN10" s="15"/>
      <c r="AP10" s="69" t="s">
        <v>643</v>
      </c>
      <c r="AQ10" s="69" t="s">
        <v>643</v>
      </c>
      <c r="AS10" s="114" t="s">
        <v>1162</v>
      </c>
      <c r="AT10" s="114" t="s">
        <v>940</v>
      </c>
      <c r="AU10" s="114" t="s">
        <v>1174</v>
      </c>
    </row>
    <row r="11" spans="1:47" ht="14.4" customHeight="1" x14ac:dyDescent="0.3">
      <c r="A11" s="3" t="s">
        <v>2</v>
      </c>
      <c r="B11" s="2" t="s">
        <v>1401</v>
      </c>
      <c r="C11" s="3" t="s">
        <v>503</v>
      </c>
      <c r="D11" s="4" t="s">
        <v>46</v>
      </c>
      <c r="E11" s="4"/>
      <c r="F11" s="3" t="s">
        <v>205</v>
      </c>
      <c r="G11" s="60"/>
      <c r="H11" s="73" t="s">
        <v>30</v>
      </c>
      <c r="I11" s="13">
        <v>19678710</v>
      </c>
      <c r="J11" s="62">
        <v>2014</v>
      </c>
      <c r="K11" s="78">
        <v>43983</v>
      </c>
      <c r="L11" s="87" t="s">
        <v>1022</v>
      </c>
      <c r="M11" s="47"/>
      <c r="N11" s="56" t="s">
        <v>596</v>
      </c>
      <c r="O11" s="80">
        <v>477</v>
      </c>
      <c r="P11" s="18" t="s">
        <v>30</v>
      </c>
      <c r="Q11" s="18" t="s">
        <v>30</v>
      </c>
      <c r="R11" s="18" t="s">
        <v>30</v>
      </c>
      <c r="S11" s="22" t="s">
        <v>30</v>
      </c>
      <c r="T11" s="18" t="s">
        <v>30</v>
      </c>
      <c r="U11" s="18" t="s">
        <v>30</v>
      </c>
      <c r="V11" s="22" t="s">
        <v>30</v>
      </c>
      <c r="W11" s="52" t="str">
        <f t="shared" si="0"/>
        <v>NC</v>
      </c>
      <c r="X11" s="18" t="str">
        <f t="shared" si="1"/>
        <v>NC</v>
      </c>
      <c r="Y11" s="18" t="str">
        <f t="shared" si="2"/>
        <v>NC</v>
      </c>
      <c r="Z11" s="18" t="str">
        <f t="shared" si="3"/>
        <v>NC</v>
      </c>
      <c r="AA11" s="18" t="str">
        <f t="shared" si="4"/>
        <v>NC</v>
      </c>
      <c r="AB11" s="18" t="str">
        <f t="shared" si="5"/>
        <v>NC</v>
      </c>
      <c r="AC11" s="18" t="str">
        <f t="shared" si="6"/>
        <v>NC</v>
      </c>
      <c r="AE11" s="4" t="str">
        <f t="shared" si="7"/>
        <v>NC</v>
      </c>
      <c r="AF11" s="4" t="str">
        <f t="shared" si="8"/>
        <v>NC</v>
      </c>
      <c r="AG11" s="4" t="str">
        <f t="shared" si="9"/>
        <v>NC</v>
      </c>
      <c r="AH11" s="4" t="str">
        <f t="shared" si="10"/>
        <v>NC</v>
      </c>
      <c r="AI11" s="4" t="str">
        <f t="shared" si="11"/>
        <v>NC</v>
      </c>
      <c r="AJ11" s="4" t="str">
        <f t="shared" si="12"/>
        <v>NC</v>
      </c>
      <c r="AK11" s="4" t="str">
        <f t="shared" si="13"/>
        <v>NC</v>
      </c>
      <c r="AL11" s="24"/>
      <c r="AM11" s="46">
        <f t="shared" si="14"/>
        <v>6.4138069175709795E-3</v>
      </c>
      <c r="AN11" s="15"/>
      <c r="AP11" s="69" t="s">
        <v>643</v>
      </c>
      <c r="AQ11" s="69" t="s">
        <v>643</v>
      </c>
      <c r="AS11" s="114" t="s">
        <v>1162</v>
      </c>
      <c r="AT11" s="114" t="s">
        <v>940</v>
      </c>
      <c r="AU11" s="114" t="s">
        <v>1174</v>
      </c>
    </row>
    <row r="12" spans="1:47" ht="14.4" customHeight="1" x14ac:dyDescent="0.3">
      <c r="A12" s="16" t="s">
        <v>466</v>
      </c>
      <c r="B12" s="68" t="s">
        <v>1399</v>
      </c>
      <c r="C12" s="3" t="s">
        <v>504</v>
      </c>
      <c r="D12" s="16" t="s">
        <v>46</v>
      </c>
      <c r="E12" s="16"/>
      <c r="F12" s="2" t="s">
        <v>494</v>
      </c>
      <c r="G12" s="60"/>
      <c r="H12" s="73" t="s">
        <v>30</v>
      </c>
      <c r="I12" s="38">
        <v>6860000</v>
      </c>
      <c r="J12" s="60">
        <v>2018</v>
      </c>
      <c r="K12" s="78">
        <v>44896</v>
      </c>
      <c r="L12" s="98">
        <v>43952</v>
      </c>
      <c r="M12" s="16"/>
      <c r="N12" s="56" t="s">
        <v>596</v>
      </c>
      <c r="O12" s="81">
        <v>17</v>
      </c>
      <c r="P12" s="18" t="s">
        <v>30</v>
      </c>
      <c r="Q12" s="18" t="s">
        <v>30</v>
      </c>
      <c r="R12" s="18" t="s">
        <v>30</v>
      </c>
      <c r="S12" s="22" t="s">
        <v>30</v>
      </c>
      <c r="T12" s="18" t="s">
        <v>30</v>
      </c>
      <c r="U12" s="18" t="s">
        <v>30</v>
      </c>
      <c r="V12" s="22" t="s">
        <v>30</v>
      </c>
      <c r="W12" s="52" t="str">
        <f t="shared" si="0"/>
        <v>NC</v>
      </c>
      <c r="X12" s="18" t="str">
        <f t="shared" si="1"/>
        <v>NC</v>
      </c>
      <c r="Y12" s="18" t="str">
        <f t="shared" si="2"/>
        <v>NC</v>
      </c>
      <c r="Z12" s="18" t="str">
        <f t="shared" si="3"/>
        <v>NC</v>
      </c>
      <c r="AA12" s="18" t="str">
        <f t="shared" si="4"/>
        <v>NC</v>
      </c>
      <c r="AB12" s="18" t="str">
        <f t="shared" si="5"/>
        <v>NC</v>
      </c>
      <c r="AC12" s="18" t="str">
        <f t="shared" si="6"/>
        <v>NC</v>
      </c>
      <c r="AD12" s="24"/>
      <c r="AE12" s="4" t="str">
        <f t="shared" si="7"/>
        <v>NC</v>
      </c>
      <c r="AF12" s="4" t="str">
        <f t="shared" si="8"/>
        <v>NC</v>
      </c>
      <c r="AG12" s="4" t="str">
        <f t="shared" si="9"/>
        <v>NC</v>
      </c>
      <c r="AH12" s="4" t="str">
        <f t="shared" si="10"/>
        <v>NC</v>
      </c>
      <c r="AI12" s="4" t="str">
        <f t="shared" si="11"/>
        <v>NC</v>
      </c>
      <c r="AJ12" s="4" t="str">
        <f t="shared" si="12"/>
        <v>NC</v>
      </c>
      <c r="AK12" s="4" t="str">
        <f t="shared" si="13"/>
        <v>NC</v>
      </c>
      <c r="AL12" s="24"/>
      <c r="AM12" s="46">
        <f t="shared" si="14"/>
        <v>6.5574506154592027E-4</v>
      </c>
      <c r="AN12" s="24"/>
      <c r="AO12" s="24"/>
      <c r="AP12" s="69" t="s">
        <v>643</v>
      </c>
      <c r="AQ12" s="69" t="s">
        <v>643</v>
      </c>
      <c r="AR12" s="24"/>
      <c r="AS12" s="115" t="s">
        <v>1170</v>
      </c>
      <c r="AT12" s="114" t="s">
        <v>940</v>
      </c>
      <c r="AU12" s="114" t="s">
        <v>1175</v>
      </c>
    </row>
    <row r="13" spans="1:47" s="24" customFormat="1" ht="14.4" customHeight="1" x14ac:dyDescent="0.3">
      <c r="A13" s="68" t="s">
        <v>467</v>
      </c>
      <c r="B13" s="68" t="s">
        <v>1399</v>
      </c>
      <c r="C13" s="3" t="s">
        <v>504</v>
      </c>
      <c r="D13" s="16" t="s">
        <v>46</v>
      </c>
      <c r="E13" s="16"/>
      <c r="F13" s="2" t="s">
        <v>493</v>
      </c>
      <c r="G13" s="60"/>
      <c r="H13" s="73" t="s">
        <v>30</v>
      </c>
      <c r="I13" s="38">
        <v>6860000</v>
      </c>
      <c r="J13" s="60">
        <v>2018</v>
      </c>
      <c r="K13" s="78">
        <v>44896</v>
      </c>
      <c r="L13" s="98">
        <v>43952</v>
      </c>
      <c r="M13" s="16"/>
      <c r="N13" s="56" t="s">
        <v>596</v>
      </c>
      <c r="O13" s="81"/>
      <c r="P13" s="18" t="s">
        <v>30</v>
      </c>
      <c r="Q13" s="18" t="s">
        <v>30</v>
      </c>
      <c r="R13" s="18" t="s">
        <v>30</v>
      </c>
      <c r="S13" s="22" t="s">
        <v>30</v>
      </c>
      <c r="T13" s="18" t="s">
        <v>30</v>
      </c>
      <c r="U13" s="18" t="s">
        <v>30</v>
      </c>
      <c r="V13" s="22" t="s">
        <v>30</v>
      </c>
      <c r="W13" s="52" t="str">
        <f t="shared" si="0"/>
        <v>NC</v>
      </c>
      <c r="X13" s="18" t="str">
        <f t="shared" si="1"/>
        <v>NC</v>
      </c>
      <c r="Y13" s="18" t="str">
        <f t="shared" si="2"/>
        <v>NC</v>
      </c>
      <c r="Z13" s="18" t="str">
        <f t="shared" si="3"/>
        <v>NC</v>
      </c>
      <c r="AA13" s="18" t="str">
        <f t="shared" si="4"/>
        <v>NC</v>
      </c>
      <c r="AB13" s="18" t="str">
        <f t="shared" si="5"/>
        <v>NC</v>
      </c>
      <c r="AC13" s="18" t="str">
        <f t="shared" si="6"/>
        <v>NC</v>
      </c>
      <c r="AE13" s="4" t="str">
        <f t="shared" si="7"/>
        <v>NC</v>
      </c>
      <c r="AF13" s="4" t="str">
        <f t="shared" si="8"/>
        <v>NC</v>
      </c>
      <c r="AG13" s="4" t="str">
        <f t="shared" si="9"/>
        <v>NC</v>
      </c>
      <c r="AH13" s="4" t="str">
        <f t="shared" si="10"/>
        <v>NC</v>
      </c>
      <c r="AI13" s="4" t="str">
        <f t="shared" si="11"/>
        <v>NC</v>
      </c>
      <c r="AJ13" s="4" t="str">
        <f t="shared" si="12"/>
        <v>NC</v>
      </c>
      <c r="AK13" s="4" t="str">
        <f t="shared" si="13"/>
        <v>NC</v>
      </c>
      <c r="AM13" s="46">
        <f t="shared" si="14"/>
        <v>6.5574506154592027E-4</v>
      </c>
      <c r="AP13" s="69" t="s">
        <v>643</v>
      </c>
      <c r="AQ13" s="69" t="s">
        <v>643</v>
      </c>
      <c r="AS13" s="115" t="s">
        <v>1170</v>
      </c>
      <c r="AT13" s="114" t="s">
        <v>940</v>
      </c>
      <c r="AU13" s="114" t="s">
        <v>1176</v>
      </c>
    </row>
    <row r="14" spans="1:47" s="24" customFormat="1" ht="14.4" customHeight="1" x14ac:dyDescent="0.3">
      <c r="A14" s="68" t="s">
        <v>411</v>
      </c>
      <c r="B14" s="2" t="s">
        <v>1403</v>
      </c>
      <c r="C14" s="2" t="s">
        <v>504</v>
      </c>
      <c r="D14" s="16" t="s">
        <v>145</v>
      </c>
      <c r="E14" s="16"/>
      <c r="F14" s="2">
        <v>8473</v>
      </c>
      <c r="G14" s="60"/>
      <c r="H14" s="73" t="s">
        <v>30</v>
      </c>
      <c r="I14" s="38">
        <v>6900000</v>
      </c>
      <c r="J14" s="60">
        <v>2018</v>
      </c>
      <c r="K14" s="83"/>
      <c r="L14" s="98" t="s">
        <v>1022</v>
      </c>
      <c r="M14" s="16"/>
      <c r="N14" s="84" t="s">
        <v>596</v>
      </c>
      <c r="O14" s="16"/>
      <c r="P14" s="18" t="s">
        <v>30</v>
      </c>
      <c r="Q14" s="18" t="s">
        <v>30</v>
      </c>
      <c r="R14" s="18" t="s">
        <v>30</v>
      </c>
      <c r="S14" s="22" t="s">
        <v>30</v>
      </c>
      <c r="T14" s="18" t="s">
        <v>30</v>
      </c>
      <c r="U14" s="18" t="s">
        <v>30</v>
      </c>
      <c r="V14" s="22" t="s">
        <v>30</v>
      </c>
      <c r="W14" s="52" t="str">
        <f t="shared" si="0"/>
        <v>NC</v>
      </c>
      <c r="X14" s="18" t="str">
        <f t="shared" si="1"/>
        <v>NC</v>
      </c>
      <c r="Y14" s="18" t="str">
        <f t="shared" si="2"/>
        <v>NC</v>
      </c>
      <c r="Z14" s="18" t="str">
        <f t="shared" si="3"/>
        <v>NC</v>
      </c>
      <c r="AA14" s="18" t="str">
        <f t="shared" si="4"/>
        <v>NC</v>
      </c>
      <c r="AB14" s="18" t="str">
        <f t="shared" si="5"/>
        <v>NC</v>
      </c>
      <c r="AC14" s="18" t="str">
        <f t="shared" si="6"/>
        <v>NC</v>
      </c>
      <c r="AE14" s="4" t="str">
        <f t="shared" si="7"/>
        <v>NC</v>
      </c>
      <c r="AF14" s="4" t="str">
        <f t="shared" si="8"/>
        <v>NC</v>
      </c>
      <c r="AG14" s="4" t="str">
        <f t="shared" si="9"/>
        <v>NC</v>
      </c>
      <c r="AH14" s="4" t="str">
        <f t="shared" si="10"/>
        <v>NC</v>
      </c>
      <c r="AI14" s="4" t="str">
        <f t="shared" si="11"/>
        <v>NC</v>
      </c>
      <c r="AJ14" s="4" t="str">
        <f t="shared" si="12"/>
        <v>NC</v>
      </c>
      <c r="AK14" s="4" t="str">
        <f t="shared" si="13"/>
        <v>NC</v>
      </c>
      <c r="AM14" s="58">
        <f t="shared" si="14"/>
        <v>6.5956864791061949E-4</v>
      </c>
      <c r="AP14" s="69" t="s">
        <v>643</v>
      </c>
      <c r="AQ14" s="69" t="s">
        <v>643</v>
      </c>
      <c r="AS14" s="115" t="s">
        <v>1162</v>
      </c>
      <c r="AT14" s="114" t="s">
        <v>940</v>
      </c>
      <c r="AU14" s="114" t="s">
        <v>1173</v>
      </c>
    </row>
    <row r="15" spans="1:47" s="24" customFormat="1" ht="14.4" customHeight="1" x14ac:dyDescent="0.3">
      <c r="A15" s="68" t="s">
        <v>903</v>
      </c>
      <c r="B15" s="68" t="s">
        <v>1397</v>
      </c>
      <c r="C15" s="3" t="s">
        <v>504</v>
      </c>
      <c r="D15" s="16" t="s">
        <v>46</v>
      </c>
      <c r="E15" s="16"/>
      <c r="F15" s="2" t="s">
        <v>905</v>
      </c>
      <c r="G15" s="60"/>
      <c r="H15" s="73" t="s">
        <v>30</v>
      </c>
      <c r="I15" s="38">
        <v>3170000</v>
      </c>
      <c r="J15" s="60">
        <v>2019</v>
      </c>
      <c r="K15" s="78"/>
      <c r="L15" s="98" t="s">
        <v>1022</v>
      </c>
      <c r="M15" s="16"/>
      <c r="N15" s="56" t="s">
        <v>596</v>
      </c>
      <c r="O15" s="81"/>
      <c r="P15" s="18" t="s">
        <v>30</v>
      </c>
      <c r="Q15" s="18" t="s">
        <v>30</v>
      </c>
      <c r="R15" s="18" t="s">
        <v>30</v>
      </c>
      <c r="S15" s="22" t="s">
        <v>30</v>
      </c>
      <c r="T15" s="18" t="s">
        <v>30</v>
      </c>
      <c r="U15" s="18" t="s">
        <v>30</v>
      </c>
      <c r="V15" s="22" t="s">
        <v>30</v>
      </c>
      <c r="W15" s="52" t="str">
        <f t="shared" si="0"/>
        <v>NC</v>
      </c>
      <c r="X15" s="18" t="str">
        <f t="shared" si="1"/>
        <v>NC</v>
      </c>
      <c r="Y15" s="18" t="str">
        <f t="shared" si="2"/>
        <v>NC</v>
      </c>
      <c r="Z15" s="18" t="str">
        <f t="shared" si="3"/>
        <v>NC</v>
      </c>
      <c r="AA15" s="18" t="str">
        <f t="shared" si="4"/>
        <v>NC</v>
      </c>
      <c r="AB15" s="18" t="str">
        <f t="shared" si="5"/>
        <v>NC</v>
      </c>
      <c r="AC15" s="18" t="str">
        <f t="shared" si="6"/>
        <v>NC</v>
      </c>
      <c r="AE15" s="4" t="str">
        <f t="shared" si="7"/>
        <v>NC</v>
      </c>
      <c r="AF15" s="4" t="str">
        <f t="shared" si="8"/>
        <v>NC</v>
      </c>
      <c r="AG15" s="4" t="str">
        <f t="shared" si="9"/>
        <v>NC</v>
      </c>
      <c r="AH15" s="4" t="str">
        <f t="shared" si="10"/>
        <v>NC</v>
      </c>
      <c r="AI15" s="4" t="str">
        <f t="shared" si="11"/>
        <v>NC</v>
      </c>
      <c r="AJ15" s="4" t="str">
        <f t="shared" si="12"/>
        <v>NC</v>
      </c>
      <c r="AK15" s="4" t="str">
        <f t="shared" si="13"/>
        <v>NC</v>
      </c>
      <c r="AM15" s="46">
        <f t="shared" si="14"/>
        <v>1.2047752096723426E-4</v>
      </c>
      <c r="AP15" s="69" t="s">
        <v>643</v>
      </c>
      <c r="AQ15" s="69" t="s">
        <v>643</v>
      </c>
      <c r="AR15"/>
      <c r="AS15" s="114" t="s">
        <v>1170</v>
      </c>
      <c r="AT15" s="114" t="s">
        <v>940</v>
      </c>
      <c r="AU15" s="114" t="s">
        <v>1398</v>
      </c>
    </row>
    <row r="16" spans="1:47" s="24" customFormat="1" ht="14.4" customHeight="1" x14ac:dyDescent="0.3">
      <c r="A16" s="68" t="s">
        <v>904</v>
      </c>
      <c r="B16" s="68" t="s">
        <v>1397</v>
      </c>
      <c r="C16" s="3" t="s">
        <v>504</v>
      </c>
      <c r="D16" s="16" t="s">
        <v>46</v>
      </c>
      <c r="E16" s="16"/>
      <c r="F16" s="2" t="s">
        <v>906</v>
      </c>
      <c r="G16" s="60"/>
      <c r="H16" s="73" t="s">
        <v>30</v>
      </c>
      <c r="I16" s="38">
        <v>3170000</v>
      </c>
      <c r="J16" s="60">
        <v>2019</v>
      </c>
      <c r="K16" s="78"/>
      <c r="L16" s="98" t="s">
        <v>1022</v>
      </c>
      <c r="M16" s="16"/>
      <c r="N16" s="56" t="s">
        <v>596</v>
      </c>
      <c r="O16" s="81"/>
      <c r="P16" s="18" t="s">
        <v>30</v>
      </c>
      <c r="Q16" s="18" t="s">
        <v>30</v>
      </c>
      <c r="R16" s="18" t="s">
        <v>30</v>
      </c>
      <c r="S16" s="22" t="s">
        <v>30</v>
      </c>
      <c r="T16" s="18" t="s">
        <v>30</v>
      </c>
      <c r="U16" s="18" t="s">
        <v>30</v>
      </c>
      <c r="V16" s="22" t="s">
        <v>30</v>
      </c>
      <c r="W16" s="52" t="str">
        <f t="shared" si="0"/>
        <v>NC</v>
      </c>
      <c r="X16" s="18" t="str">
        <f t="shared" si="1"/>
        <v>NC</v>
      </c>
      <c r="Y16" s="18" t="str">
        <f t="shared" si="2"/>
        <v>NC</v>
      </c>
      <c r="Z16" s="18" t="str">
        <f t="shared" si="3"/>
        <v>NC</v>
      </c>
      <c r="AA16" s="18" t="str">
        <f t="shared" si="4"/>
        <v>NC</v>
      </c>
      <c r="AB16" s="18" t="str">
        <f t="shared" si="5"/>
        <v>NC</v>
      </c>
      <c r="AC16" s="18" t="str">
        <f t="shared" si="6"/>
        <v>NC</v>
      </c>
      <c r="AE16" s="4" t="str">
        <f t="shared" si="7"/>
        <v>NC</v>
      </c>
      <c r="AF16" s="4" t="str">
        <f t="shared" si="8"/>
        <v>NC</v>
      </c>
      <c r="AG16" s="4" t="str">
        <f t="shared" si="9"/>
        <v>NC</v>
      </c>
      <c r="AH16" s="4" t="str">
        <f t="shared" si="10"/>
        <v>NC</v>
      </c>
      <c r="AI16" s="4" t="str">
        <f t="shared" si="11"/>
        <v>NC</v>
      </c>
      <c r="AJ16" s="4" t="str">
        <f t="shared" si="12"/>
        <v>NC</v>
      </c>
      <c r="AK16" s="4" t="str">
        <f t="shared" si="13"/>
        <v>NC</v>
      </c>
      <c r="AM16" s="46">
        <f t="shared" si="14"/>
        <v>1.2047752096723426E-4</v>
      </c>
      <c r="AP16" s="69" t="s">
        <v>643</v>
      </c>
      <c r="AQ16" s="69" t="s">
        <v>643</v>
      </c>
      <c r="AS16" s="115" t="s">
        <v>1170</v>
      </c>
      <c r="AT16" s="114" t="s">
        <v>940</v>
      </c>
      <c r="AU16" s="114" t="s">
        <v>1398</v>
      </c>
    </row>
    <row r="17" spans="1:47" s="24" customFormat="1" ht="14.4" customHeight="1" x14ac:dyDescent="0.3">
      <c r="A17" s="16" t="s">
        <v>354</v>
      </c>
      <c r="B17" s="16" t="s">
        <v>1400</v>
      </c>
      <c r="C17" s="3" t="s">
        <v>505</v>
      </c>
      <c r="D17" s="16" t="s">
        <v>46</v>
      </c>
      <c r="E17" s="16"/>
      <c r="F17" s="2">
        <v>4172</v>
      </c>
      <c r="G17" s="60"/>
      <c r="H17" s="73" t="s">
        <v>30</v>
      </c>
      <c r="I17" s="38">
        <v>7871484</v>
      </c>
      <c r="J17" s="60">
        <v>2018</v>
      </c>
      <c r="K17" s="78">
        <v>44927</v>
      </c>
      <c r="L17" s="98" t="s">
        <v>1022</v>
      </c>
      <c r="M17" s="16"/>
      <c r="N17" s="56" t="s">
        <v>596</v>
      </c>
      <c r="O17" s="81"/>
      <c r="P17" s="18" t="s">
        <v>30</v>
      </c>
      <c r="Q17" s="18" t="s">
        <v>30</v>
      </c>
      <c r="R17" s="18" t="s">
        <v>30</v>
      </c>
      <c r="S17" s="22" t="s">
        <v>30</v>
      </c>
      <c r="T17" s="18" t="s">
        <v>30</v>
      </c>
      <c r="U17" s="18" t="s">
        <v>30</v>
      </c>
      <c r="V17" s="22" t="s">
        <v>30</v>
      </c>
      <c r="W17" s="52" t="str">
        <f t="shared" si="0"/>
        <v>NC</v>
      </c>
      <c r="X17" s="18" t="str">
        <f t="shared" si="1"/>
        <v>NC</v>
      </c>
      <c r="Y17" s="18" t="str">
        <f t="shared" si="2"/>
        <v>NC</v>
      </c>
      <c r="Z17" s="18" t="str">
        <f t="shared" si="3"/>
        <v>NC</v>
      </c>
      <c r="AA17" s="18" t="str">
        <f t="shared" si="4"/>
        <v>NC</v>
      </c>
      <c r="AB17" s="18" t="str">
        <f t="shared" si="5"/>
        <v>NC</v>
      </c>
      <c r="AC17" s="18" t="str">
        <f t="shared" si="6"/>
        <v>NC</v>
      </c>
      <c r="AE17" s="4" t="str">
        <f t="shared" si="7"/>
        <v>NC</v>
      </c>
      <c r="AF17" s="4" t="str">
        <f t="shared" si="8"/>
        <v>NC</v>
      </c>
      <c r="AG17" s="4" t="str">
        <f t="shared" si="9"/>
        <v>NC</v>
      </c>
      <c r="AH17" s="4" t="str">
        <f t="shared" si="10"/>
        <v>NC</v>
      </c>
      <c r="AI17" s="4" t="str">
        <f t="shared" si="11"/>
        <v>NC</v>
      </c>
      <c r="AJ17" s="4" t="str">
        <f t="shared" si="12"/>
        <v>NC</v>
      </c>
      <c r="AK17" s="4" t="str">
        <f t="shared" si="13"/>
        <v>NC</v>
      </c>
      <c r="AM17" s="46">
        <f t="shared" si="14"/>
        <v>7.524324723087065E-4</v>
      </c>
      <c r="AP17" s="69" t="s">
        <v>643</v>
      </c>
      <c r="AQ17" s="69" t="s">
        <v>643</v>
      </c>
      <c r="AS17" s="115" t="s">
        <v>1162</v>
      </c>
      <c r="AT17" s="114" t="s">
        <v>940</v>
      </c>
      <c r="AU17" s="114" t="s">
        <v>1177</v>
      </c>
    </row>
    <row r="18" spans="1:47" s="24" customFormat="1" ht="14.4" customHeight="1" x14ac:dyDescent="0.3">
      <c r="A18" s="16" t="s">
        <v>465</v>
      </c>
      <c r="B18" s="16" t="s">
        <v>1400</v>
      </c>
      <c r="C18" s="3" t="s">
        <v>505</v>
      </c>
      <c r="D18" s="16" t="s">
        <v>46</v>
      </c>
      <c r="E18" s="16"/>
      <c r="F18" s="2">
        <v>4173</v>
      </c>
      <c r="G18" s="60"/>
      <c r="H18" s="73" t="s">
        <v>30</v>
      </c>
      <c r="I18" s="38">
        <v>7871484</v>
      </c>
      <c r="J18" s="60">
        <v>2018</v>
      </c>
      <c r="K18" s="78">
        <v>44927</v>
      </c>
      <c r="L18" s="98" t="s">
        <v>1022</v>
      </c>
      <c r="M18" s="16"/>
      <c r="N18" s="56" t="s">
        <v>596</v>
      </c>
      <c r="O18" s="81"/>
      <c r="P18" s="18" t="s">
        <v>30</v>
      </c>
      <c r="Q18" s="18" t="s">
        <v>30</v>
      </c>
      <c r="R18" s="18" t="s">
        <v>30</v>
      </c>
      <c r="S18" s="22" t="s">
        <v>30</v>
      </c>
      <c r="T18" s="18" t="s">
        <v>30</v>
      </c>
      <c r="U18" s="18" t="s">
        <v>30</v>
      </c>
      <c r="V18" s="22" t="s">
        <v>30</v>
      </c>
      <c r="W18" s="52" t="str">
        <f t="shared" si="0"/>
        <v>NC</v>
      </c>
      <c r="X18" s="18" t="str">
        <f t="shared" si="1"/>
        <v>NC</v>
      </c>
      <c r="Y18" s="18" t="str">
        <f t="shared" si="2"/>
        <v>NC</v>
      </c>
      <c r="Z18" s="18" t="str">
        <f t="shared" si="3"/>
        <v>NC</v>
      </c>
      <c r="AA18" s="18" t="str">
        <f t="shared" si="4"/>
        <v>NC</v>
      </c>
      <c r="AB18" s="18" t="str">
        <f t="shared" si="5"/>
        <v>NC</v>
      </c>
      <c r="AC18" s="18" t="str">
        <f t="shared" si="6"/>
        <v>NC</v>
      </c>
      <c r="AE18" s="4" t="str">
        <f t="shared" si="7"/>
        <v>NC</v>
      </c>
      <c r="AF18" s="4" t="str">
        <f t="shared" si="8"/>
        <v>NC</v>
      </c>
      <c r="AG18" s="4" t="str">
        <f t="shared" si="9"/>
        <v>NC</v>
      </c>
      <c r="AH18" s="4" t="str">
        <f t="shared" si="10"/>
        <v>NC</v>
      </c>
      <c r="AI18" s="4" t="str">
        <f t="shared" si="11"/>
        <v>NC</v>
      </c>
      <c r="AJ18" s="4" t="str">
        <f t="shared" si="12"/>
        <v>NC</v>
      </c>
      <c r="AK18" s="4" t="str">
        <f t="shared" si="13"/>
        <v>NC</v>
      </c>
      <c r="AM18" s="46">
        <f t="shared" si="14"/>
        <v>7.524324723087065E-4</v>
      </c>
      <c r="AP18" s="69" t="s">
        <v>643</v>
      </c>
      <c r="AQ18" s="69" t="s">
        <v>643</v>
      </c>
      <c r="AS18" s="115" t="s">
        <v>1162</v>
      </c>
      <c r="AT18" s="114" t="s">
        <v>940</v>
      </c>
      <c r="AU18" s="114" t="s">
        <v>1177</v>
      </c>
    </row>
    <row r="19" spans="1:47" s="24" customFormat="1" ht="14.4" customHeight="1" x14ac:dyDescent="0.3">
      <c r="A19" s="3" t="s">
        <v>56</v>
      </c>
      <c r="B19" s="2" t="s">
        <v>1402</v>
      </c>
      <c r="C19" s="3" t="s">
        <v>506</v>
      </c>
      <c r="D19" s="16" t="s">
        <v>49</v>
      </c>
      <c r="E19" s="16"/>
      <c r="F19" s="3" t="s">
        <v>206</v>
      </c>
      <c r="G19" s="60"/>
      <c r="H19" s="73" t="s">
        <v>30</v>
      </c>
      <c r="I19" s="12">
        <v>20034000</v>
      </c>
      <c r="J19" s="61">
        <v>2016</v>
      </c>
      <c r="K19" s="78">
        <v>44348</v>
      </c>
      <c r="L19" s="87">
        <v>43983</v>
      </c>
      <c r="M19" s="47"/>
      <c r="N19" s="56" t="s">
        <v>596</v>
      </c>
      <c r="O19" s="80"/>
      <c r="P19" s="18" t="s">
        <v>30</v>
      </c>
      <c r="Q19" s="18" t="s">
        <v>30</v>
      </c>
      <c r="R19" s="18" t="s">
        <v>30</v>
      </c>
      <c r="S19" s="22" t="s">
        <v>30</v>
      </c>
      <c r="T19" s="18" t="s">
        <v>30</v>
      </c>
      <c r="U19" s="18" t="s">
        <v>30</v>
      </c>
      <c r="V19" s="22" t="s">
        <v>30</v>
      </c>
      <c r="W19" s="52" t="str">
        <f t="shared" si="0"/>
        <v>NC</v>
      </c>
      <c r="X19" s="18" t="str">
        <f t="shared" si="1"/>
        <v>NC</v>
      </c>
      <c r="Y19" s="18" t="str">
        <f t="shared" si="2"/>
        <v>NC</v>
      </c>
      <c r="Z19" s="18" t="str">
        <f t="shared" si="3"/>
        <v>NC</v>
      </c>
      <c r="AA19" s="18" t="str">
        <f t="shared" si="4"/>
        <v>NC</v>
      </c>
      <c r="AB19" s="18" t="str">
        <f t="shared" si="5"/>
        <v>NC</v>
      </c>
      <c r="AC19" s="18" t="str">
        <f t="shared" si="6"/>
        <v>NC</v>
      </c>
      <c r="AD19"/>
      <c r="AE19" s="4" t="str">
        <f t="shared" si="7"/>
        <v>NC</v>
      </c>
      <c r="AF19" s="4" t="str">
        <f t="shared" si="8"/>
        <v>NC</v>
      </c>
      <c r="AG19" s="4" t="str">
        <f t="shared" si="9"/>
        <v>NC</v>
      </c>
      <c r="AH19" s="4" t="str">
        <f t="shared" si="10"/>
        <v>NC</v>
      </c>
      <c r="AI19" s="4" t="str">
        <f t="shared" si="11"/>
        <v>NC</v>
      </c>
      <c r="AJ19" s="4" t="str">
        <f t="shared" si="12"/>
        <v>NC</v>
      </c>
      <c r="AK19" s="4" t="str">
        <f t="shared" si="13"/>
        <v>NC</v>
      </c>
      <c r="AM19" s="46">
        <f t="shared" si="14"/>
        <v>4.2223242316747024E-3</v>
      </c>
      <c r="AN19" s="15"/>
      <c r="AO19"/>
      <c r="AP19" s="69" t="s">
        <v>643</v>
      </c>
      <c r="AQ19" s="69" t="s">
        <v>643</v>
      </c>
      <c r="AR19"/>
      <c r="AS19" s="114" t="s">
        <v>1163</v>
      </c>
      <c r="AT19" s="114" t="s">
        <v>1171</v>
      </c>
      <c r="AU19" s="114" t="s">
        <v>1172</v>
      </c>
    </row>
    <row r="20" spans="1:47" ht="14.4" customHeight="1" x14ac:dyDescent="0.3">
      <c r="A20" s="16" t="s">
        <v>372</v>
      </c>
      <c r="B20" s="2" t="s">
        <v>1402</v>
      </c>
      <c r="C20" s="2" t="s">
        <v>506</v>
      </c>
      <c r="D20" s="16" t="s">
        <v>357</v>
      </c>
      <c r="E20" s="16" t="s">
        <v>923</v>
      </c>
      <c r="F20" s="2">
        <v>1269</v>
      </c>
      <c r="G20" s="60"/>
      <c r="H20" s="60" t="s">
        <v>30</v>
      </c>
      <c r="I20" s="38">
        <v>5700000</v>
      </c>
      <c r="J20" s="60">
        <v>2016</v>
      </c>
      <c r="K20" s="83"/>
      <c r="L20" s="104">
        <v>43983</v>
      </c>
      <c r="M20" s="16"/>
      <c r="N20" s="84" t="s">
        <v>595</v>
      </c>
      <c r="O20" s="16"/>
      <c r="P20" s="18" t="s">
        <v>30</v>
      </c>
      <c r="Q20" s="18" t="s">
        <v>30</v>
      </c>
      <c r="R20" s="18" t="s">
        <v>30</v>
      </c>
      <c r="S20" s="22" t="s">
        <v>30</v>
      </c>
      <c r="T20" s="18" t="s">
        <v>30</v>
      </c>
      <c r="U20" s="18" t="s">
        <v>30</v>
      </c>
      <c r="V20" s="22" t="s">
        <v>30</v>
      </c>
      <c r="W20" s="52" t="str">
        <f t="shared" si="0"/>
        <v>NC</v>
      </c>
      <c r="X20" s="18" t="str">
        <f t="shared" si="1"/>
        <v>NC</v>
      </c>
      <c r="Y20" s="18" t="str">
        <f t="shared" si="2"/>
        <v>NC</v>
      </c>
      <c r="Z20" s="18" t="str">
        <f t="shared" si="3"/>
        <v>NC</v>
      </c>
      <c r="AA20" s="18" t="str">
        <f t="shared" si="4"/>
        <v>NC</v>
      </c>
      <c r="AB20" s="18" t="str">
        <f t="shared" si="5"/>
        <v>NC</v>
      </c>
      <c r="AC20" s="18" t="str">
        <f t="shared" si="6"/>
        <v>NC</v>
      </c>
      <c r="AD20" s="24"/>
      <c r="AE20" s="4" t="str">
        <f t="shared" si="7"/>
        <v>NC</v>
      </c>
      <c r="AF20" s="4" t="str">
        <f t="shared" si="8"/>
        <v>NC</v>
      </c>
      <c r="AG20" s="4" t="str">
        <f t="shared" si="9"/>
        <v>NC</v>
      </c>
      <c r="AH20" s="4" t="str">
        <f t="shared" si="10"/>
        <v>NC</v>
      </c>
      <c r="AI20" s="4" t="str">
        <f t="shared" si="11"/>
        <v>NC</v>
      </c>
      <c r="AJ20" s="4" t="str">
        <f t="shared" si="12"/>
        <v>NC</v>
      </c>
      <c r="AK20" s="4" t="str">
        <f t="shared" si="13"/>
        <v>NC</v>
      </c>
      <c r="AL20" s="24"/>
      <c r="AM20" s="58">
        <f t="shared" si="14"/>
        <v>1.2013201617523113E-3</v>
      </c>
      <c r="AN20" s="24"/>
      <c r="AO20" s="24"/>
      <c r="AP20" s="69" t="s">
        <v>643</v>
      </c>
      <c r="AQ20" s="69" t="s">
        <v>643</v>
      </c>
      <c r="AR20" s="24"/>
      <c r="AS20" s="115" t="s">
        <v>1163</v>
      </c>
      <c r="AT20" s="114" t="s">
        <v>1171</v>
      </c>
      <c r="AU20" s="114" t="s">
        <v>1172</v>
      </c>
    </row>
    <row r="21" spans="1:47" ht="14.4" customHeight="1" x14ac:dyDescent="0.3">
      <c r="A21" s="16" t="s">
        <v>373</v>
      </c>
      <c r="B21" s="16" t="s">
        <v>1060</v>
      </c>
      <c r="C21" s="3" t="s">
        <v>507</v>
      </c>
      <c r="D21" s="16" t="s">
        <v>145</v>
      </c>
      <c r="E21" s="16"/>
      <c r="F21" s="2" t="s">
        <v>208</v>
      </c>
      <c r="G21" s="60"/>
      <c r="H21" s="73" t="s">
        <v>30</v>
      </c>
      <c r="I21" s="38">
        <v>8400000</v>
      </c>
      <c r="J21" s="60">
        <v>2014</v>
      </c>
      <c r="K21" s="78">
        <v>44378</v>
      </c>
      <c r="L21" s="98">
        <v>43983</v>
      </c>
      <c r="M21" s="16"/>
      <c r="N21" s="56" t="s">
        <v>596</v>
      </c>
      <c r="O21" s="81">
        <v>2170</v>
      </c>
      <c r="P21" s="18" t="s">
        <v>30</v>
      </c>
      <c r="Q21" s="18" t="s">
        <v>30</v>
      </c>
      <c r="R21" s="18" t="s">
        <v>30</v>
      </c>
      <c r="S21" s="33">
        <v>41640</v>
      </c>
      <c r="T21" s="18" t="s">
        <v>30</v>
      </c>
      <c r="U21" s="18" t="s">
        <v>30</v>
      </c>
      <c r="V21" s="22" t="s">
        <v>30</v>
      </c>
      <c r="W21" s="52" t="str">
        <f t="shared" si="0"/>
        <v>NC</v>
      </c>
      <c r="X21" s="18" t="str">
        <f t="shared" si="1"/>
        <v>NC</v>
      </c>
      <c r="Y21" s="18" t="str">
        <f t="shared" si="2"/>
        <v>NC</v>
      </c>
      <c r="Z21" s="18">
        <f t="shared" si="3"/>
        <v>45290</v>
      </c>
      <c r="AA21" s="18" t="str">
        <f t="shared" si="4"/>
        <v>NC</v>
      </c>
      <c r="AB21" s="18" t="str">
        <f t="shared" si="5"/>
        <v>NC</v>
      </c>
      <c r="AC21" s="18" t="str">
        <f t="shared" si="6"/>
        <v>NC</v>
      </c>
      <c r="AD21" s="24"/>
      <c r="AE21" s="4" t="str">
        <f t="shared" si="7"/>
        <v>NC</v>
      </c>
      <c r="AF21" s="4" t="str">
        <f t="shared" si="8"/>
        <v>NC</v>
      </c>
      <c r="AG21" s="4" t="str">
        <f t="shared" si="9"/>
        <v>NC</v>
      </c>
      <c r="AH21" s="4">
        <f t="shared" ca="1" si="10"/>
        <v>-297</v>
      </c>
      <c r="AI21" s="4" t="str">
        <f t="shared" si="11"/>
        <v>NC</v>
      </c>
      <c r="AJ21" s="4" t="str">
        <f t="shared" si="12"/>
        <v>NC</v>
      </c>
      <c r="AK21" s="4" t="str">
        <f t="shared" si="13"/>
        <v>NC</v>
      </c>
      <c r="AL21" s="24"/>
      <c r="AM21" s="46">
        <f t="shared" si="14"/>
        <v>2.7377799717357605E-3</v>
      </c>
      <c r="AN21" s="24"/>
      <c r="AO21" s="24"/>
      <c r="AP21" s="69" t="s">
        <v>643</v>
      </c>
      <c r="AQ21" s="69" t="s">
        <v>643</v>
      </c>
      <c r="AR21" s="24"/>
      <c r="AS21" s="115" t="s">
        <v>1164</v>
      </c>
      <c r="AT21" s="114" t="s">
        <v>943</v>
      </c>
      <c r="AU21" s="114" t="s">
        <v>1178</v>
      </c>
    </row>
    <row r="22" spans="1:47" ht="14.4" customHeight="1" x14ac:dyDescent="0.3">
      <c r="A22" s="2" t="s">
        <v>156</v>
      </c>
      <c r="B22" s="2" t="s">
        <v>1060</v>
      </c>
      <c r="C22" s="3" t="s">
        <v>507</v>
      </c>
      <c r="D22" s="16" t="s">
        <v>145</v>
      </c>
      <c r="E22" s="16"/>
      <c r="F22" s="3" t="s">
        <v>207</v>
      </c>
      <c r="G22" s="60"/>
      <c r="H22" s="73" t="s">
        <v>30</v>
      </c>
      <c r="I22" s="38">
        <v>8400000</v>
      </c>
      <c r="J22" s="63">
        <v>2016</v>
      </c>
      <c r="K22" s="78">
        <v>44136</v>
      </c>
      <c r="L22" s="87">
        <v>43983</v>
      </c>
      <c r="M22" s="38"/>
      <c r="N22" s="56" t="s">
        <v>596</v>
      </c>
      <c r="O22" s="81">
        <v>364</v>
      </c>
      <c r="P22" s="18" t="s">
        <v>30</v>
      </c>
      <c r="Q22" s="18" t="s">
        <v>30</v>
      </c>
      <c r="R22" s="18" t="s">
        <v>30</v>
      </c>
      <c r="S22" s="33">
        <v>42370</v>
      </c>
      <c r="T22" s="18" t="s">
        <v>30</v>
      </c>
      <c r="U22" s="18" t="s">
        <v>30</v>
      </c>
      <c r="V22" s="22" t="s">
        <v>30</v>
      </c>
      <c r="W22" s="52" t="str">
        <f t="shared" si="0"/>
        <v>NC</v>
      </c>
      <c r="X22" s="18" t="str">
        <f t="shared" si="1"/>
        <v>NC</v>
      </c>
      <c r="Y22" s="18" t="str">
        <f t="shared" si="2"/>
        <v>NC</v>
      </c>
      <c r="Z22" s="18">
        <f t="shared" si="3"/>
        <v>46020</v>
      </c>
      <c r="AA22" s="18" t="str">
        <f t="shared" si="4"/>
        <v>NC</v>
      </c>
      <c r="AB22" s="18" t="str">
        <f t="shared" si="5"/>
        <v>NC</v>
      </c>
      <c r="AC22" s="18" t="str">
        <f t="shared" si="6"/>
        <v>NC</v>
      </c>
      <c r="AE22" s="4" t="str">
        <f t="shared" si="7"/>
        <v>NC</v>
      </c>
      <c r="AF22" s="4" t="str">
        <f t="shared" si="8"/>
        <v>NC</v>
      </c>
      <c r="AG22" s="4" t="str">
        <f t="shared" si="9"/>
        <v>NC</v>
      </c>
      <c r="AH22" s="4">
        <f t="shared" ca="1" si="10"/>
        <v>433</v>
      </c>
      <c r="AI22" s="4" t="str">
        <f t="shared" si="11"/>
        <v>NC</v>
      </c>
      <c r="AJ22" s="4" t="str">
        <f t="shared" si="12"/>
        <v>NC</v>
      </c>
      <c r="AK22" s="4" t="str">
        <f t="shared" si="13"/>
        <v>NC</v>
      </c>
      <c r="AL22" s="24"/>
      <c r="AM22" s="46">
        <f t="shared" si="14"/>
        <v>1.770366554161301E-3</v>
      </c>
      <c r="AN22" s="15"/>
      <c r="AP22" s="69" t="s">
        <v>643</v>
      </c>
      <c r="AQ22" s="69" t="s">
        <v>643</v>
      </c>
      <c r="AS22" s="114" t="s">
        <v>1164</v>
      </c>
      <c r="AT22" s="114" t="s">
        <v>943</v>
      </c>
      <c r="AU22" s="114" t="s">
        <v>1178</v>
      </c>
    </row>
    <row r="23" spans="1:47" s="24" customFormat="1" ht="14.4" customHeight="1" x14ac:dyDescent="0.3">
      <c r="A23" s="3" t="s">
        <v>57</v>
      </c>
      <c r="B23" s="2" t="s">
        <v>1478</v>
      </c>
      <c r="C23" s="3" t="s">
        <v>507</v>
      </c>
      <c r="D23" s="4" t="s">
        <v>49</v>
      </c>
      <c r="E23" s="4"/>
      <c r="F23" s="3" t="s">
        <v>208</v>
      </c>
      <c r="G23" s="60"/>
      <c r="H23" s="73" t="s">
        <v>30</v>
      </c>
      <c r="I23" s="12">
        <v>11479248</v>
      </c>
      <c r="J23" s="61">
        <v>2015</v>
      </c>
      <c r="K23" s="78"/>
      <c r="L23" s="87">
        <v>43983</v>
      </c>
      <c r="M23" s="47"/>
      <c r="N23" s="56" t="s">
        <v>596</v>
      </c>
      <c r="O23" s="80"/>
      <c r="P23" s="18" t="s">
        <v>30</v>
      </c>
      <c r="Q23" s="18" t="s">
        <v>30</v>
      </c>
      <c r="R23" s="18" t="s">
        <v>30</v>
      </c>
      <c r="S23" s="33">
        <v>42005</v>
      </c>
      <c r="T23" s="18" t="s">
        <v>30</v>
      </c>
      <c r="U23" s="18" t="s">
        <v>30</v>
      </c>
      <c r="V23" s="22" t="s">
        <v>30</v>
      </c>
      <c r="W23" s="52" t="str">
        <f t="shared" si="0"/>
        <v>NC</v>
      </c>
      <c r="X23" s="18" t="str">
        <f t="shared" si="1"/>
        <v>NC</v>
      </c>
      <c r="Y23" s="18" t="str">
        <f t="shared" si="2"/>
        <v>NC</v>
      </c>
      <c r="Z23" s="18">
        <f t="shared" si="3"/>
        <v>45655</v>
      </c>
      <c r="AA23" s="18" t="str">
        <f t="shared" si="4"/>
        <v>NC</v>
      </c>
      <c r="AB23" s="18" t="str">
        <f t="shared" si="5"/>
        <v>NC</v>
      </c>
      <c r="AC23" s="18" t="str">
        <f t="shared" si="6"/>
        <v>NC</v>
      </c>
      <c r="AD23"/>
      <c r="AE23" s="4" t="str">
        <f t="shared" si="7"/>
        <v>NC</v>
      </c>
      <c r="AF23" s="4" t="str">
        <f t="shared" si="8"/>
        <v>NC</v>
      </c>
      <c r="AG23" s="4" t="str">
        <f t="shared" si="9"/>
        <v>NC</v>
      </c>
      <c r="AH23" s="4">
        <f t="shared" ca="1" si="10"/>
        <v>68</v>
      </c>
      <c r="AI23" s="4" t="str">
        <f t="shared" si="11"/>
        <v>NC</v>
      </c>
      <c r="AJ23" s="4" t="str">
        <f t="shared" si="12"/>
        <v>NC</v>
      </c>
      <c r="AK23" s="4" t="str">
        <f t="shared" si="13"/>
        <v>NC</v>
      </c>
      <c r="AM23" s="46">
        <f t="shared" si="14"/>
        <v>3.0803649994708806E-3</v>
      </c>
      <c r="AN23" s="15"/>
      <c r="AO23"/>
      <c r="AP23" s="69" t="s">
        <v>643</v>
      </c>
      <c r="AQ23" s="69" t="s">
        <v>643</v>
      </c>
      <c r="AR23"/>
      <c r="AS23" s="114" t="s">
        <v>1164</v>
      </c>
      <c r="AT23" s="114" t="s">
        <v>943</v>
      </c>
      <c r="AU23" s="114" t="s">
        <v>1178</v>
      </c>
    </row>
    <row r="24" spans="1:47" s="24" customFormat="1" ht="14.4" customHeight="1" x14ac:dyDescent="0.3">
      <c r="A24" s="3" t="s">
        <v>58</v>
      </c>
      <c r="B24" s="2" t="s">
        <v>1059</v>
      </c>
      <c r="C24" s="3" t="s">
        <v>508</v>
      </c>
      <c r="D24" s="4" t="s">
        <v>49</v>
      </c>
      <c r="E24" s="4"/>
      <c r="F24" s="3" t="s">
        <v>209</v>
      </c>
      <c r="G24" s="60"/>
      <c r="H24" s="73" t="s">
        <v>30</v>
      </c>
      <c r="I24" s="12">
        <v>15000000</v>
      </c>
      <c r="J24" s="61">
        <v>2014</v>
      </c>
      <c r="K24" s="78">
        <v>43800</v>
      </c>
      <c r="L24" s="87">
        <v>43983</v>
      </c>
      <c r="M24" s="47"/>
      <c r="N24" s="56" t="s">
        <v>596</v>
      </c>
      <c r="O24" s="80"/>
      <c r="P24" s="18" t="s">
        <v>30</v>
      </c>
      <c r="Q24" s="18" t="s">
        <v>30</v>
      </c>
      <c r="R24" s="18" t="s">
        <v>30</v>
      </c>
      <c r="S24" s="33">
        <v>41640</v>
      </c>
      <c r="T24" s="18" t="s">
        <v>30</v>
      </c>
      <c r="U24" s="18" t="s">
        <v>30</v>
      </c>
      <c r="V24" s="22" t="s">
        <v>30</v>
      </c>
      <c r="W24" s="52" t="str">
        <f t="shared" si="0"/>
        <v>NC</v>
      </c>
      <c r="X24" s="18" t="str">
        <f t="shared" si="1"/>
        <v>NC</v>
      </c>
      <c r="Y24" s="18" t="str">
        <f t="shared" si="2"/>
        <v>NC</v>
      </c>
      <c r="Z24" s="18">
        <f t="shared" si="3"/>
        <v>45290</v>
      </c>
      <c r="AA24" s="18" t="str">
        <f t="shared" si="4"/>
        <v>NC</v>
      </c>
      <c r="AB24" s="18" t="str">
        <f t="shared" si="5"/>
        <v>NC</v>
      </c>
      <c r="AC24" s="18" t="str">
        <f t="shared" si="6"/>
        <v>NC</v>
      </c>
      <c r="AD24"/>
      <c r="AE24" s="4" t="str">
        <f t="shared" si="7"/>
        <v>NC</v>
      </c>
      <c r="AF24" s="4" t="str">
        <f t="shared" si="8"/>
        <v>NC</v>
      </c>
      <c r="AG24" s="4" t="str">
        <f t="shared" si="9"/>
        <v>NC</v>
      </c>
      <c r="AH24" s="4">
        <f t="shared" ca="1" si="10"/>
        <v>-297</v>
      </c>
      <c r="AI24" s="4" t="str">
        <f t="shared" si="11"/>
        <v>NC</v>
      </c>
      <c r="AJ24" s="4" t="str">
        <f t="shared" si="12"/>
        <v>NC</v>
      </c>
      <c r="AK24" s="4" t="str">
        <f t="shared" si="13"/>
        <v>NC</v>
      </c>
      <c r="AM24" s="46">
        <f t="shared" si="14"/>
        <v>4.8888928066710005E-3</v>
      </c>
      <c r="AN24" s="15"/>
      <c r="AO24"/>
      <c r="AP24" s="69" t="s">
        <v>643</v>
      </c>
      <c r="AQ24" s="69" t="s">
        <v>643</v>
      </c>
      <c r="AR24"/>
      <c r="AS24" s="114" t="s">
        <v>1164</v>
      </c>
      <c r="AT24" s="114" t="s">
        <v>943</v>
      </c>
      <c r="AU24" s="114" t="s">
        <v>1179</v>
      </c>
    </row>
    <row r="25" spans="1:47" s="24" customFormat="1" ht="14.4" customHeight="1" x14ac:dyDescent="0.3">
      <c r="A25" s="16" t="s">
        <v>408</v>
      </c>
      <c r="B25" s="2" t="s">
        <v>1061</v>
      </c>
      <c r="C25" s="2" t="s">
        <v>509</v>
      </c>
      <c r="D25" s="16" t="s">
        <v>145</v>
      </c>
      <c r="E25" s="16"/>
      <c r="F25" s="2" t="s">
        <v>615</v>
      </c>
      <c r="G25" s="60"/>
      <c r="H25" s="73" t="s">
        <v>30</v>
      </c>
      <c r="I25" s="38">
        <v>7550000</v>
      </c>
      <c r="J25" s="60">
        <v>2019</v>
      </c>
      <c r="K25" s="83"/>
      <c r="L25" s="104">
        <v>44166</v>
      </c>
      <c r="M25" s="16"/>
      <c r="N25" s="84" t="s">
        <v>596</v>
      </c>
      <c r="O25" s="16"/>
      <c r="P25" s="18" t="s">
        <v>30</v>
      </c>
      <c r="Q25" s="18" t="s">
        <v>30</v>
      </c>
      <c r="R25" s="18" t="s">
        <v>30</v>
      </c>
      <c r="S25" s="33">
        <v>43466</v>
      </c>
      <c r="T25" s="18" t="s">
        <v>30</v>
      </c>
      <c r="U25" s="18" t="s">
        <v>30</v>
      </c>
      <c r="V25" s="22" t="s">
        <v>30</v>
      </c>
      <c r="W25" s="52" t="str">
        <f t="shared" si="0"/>
        <v>NC</v>
      </c>
      <c r="X25" s="18" t="str">
        <f t="shared" si="1"/>
        <v>NC</v>
      </c>
      <c r="Y25" s="18" t="str">
        <f t="shared" si="2"/>
        <v>NC</v>
      </c>
      <c r="Z25" s="18">
        <f t="shared" si="3"/>
        <v>47116</v>
      </c>
      <c r="AA25" s="18" t="str">
        <f t="shared" si="4"/>
        <v>NC</v>
      </c>
      <c r="AB25" s="18" t="str">
        <f t="shared" si="5"/>
        <v>NC</v>
      </c>
      <c r="AC25" s="18" t="str">
        <f t="shared" si="6"/>
        <v>NC</v>
      </c>
      <c r="AE25" s="4" t="str">
        <f t="shared" si="7"/>
        <v>NC</v>
      </c>
      <c r="AF25" s="4" t="str">
        <f t="shared" si="8"/>
        <v>NC</v>
      </c>
      <c r="AG25" s="4" t="str">
        <f t="shared" si="9"/>
        <v>NC</v>
      </c>
      <c r="AH25" s="4">
        <f t="shared" ca="1" si="10"/>
        <v>1529</v>
      </c>
      <c r="AI25" s="4" t="str">
        <f t="shared" si="11"/>
        <v>NC</v>
      </c>
      <c r="AJ25" s="4" t="str">
        <f t="shared" si="12"/>
        <v>NC</v>
      </c>
      <c r="AK25" s="4" t="str">
        <f t="shared" si="13"/>
        <v>NC</v>
      </c>
      <c r="AM25" s="46">
        <f t="shared" si="14"/>
        <v>2.869417297484602E-4</v>
      </c>
      <c r="AP25" s="69" t="s">
        <v>643</v>
      </c>
      <c r="AQ25" s="69" t="s">
        <v>643</v>
      </c>
      <c r="AS25" s="115" t="s">
        <v>1164</v>
      </c>
      <c r="AT25" s="114" t="s">
        <v>943</v>
      </c>
      <c r="AU25" s="114" t="s">
        <v>1180</v>
      </c>
    </row>
    <row r="26" spans="1:47" s="24" customFormat="1" ht="14.4" customHeight="1" x14ac:dyDescent="0.3">
      <c r="A26" s="16" t="s">
        <v>409</v>
      </c>
      <c r="B26" s="2" t="s">
        <v>1061</v>
      </c>
      <c r="C26" s="2" t="s">
        <v>509</v>
      </c>
      <c r="D26" s="16" t="s">
        <v>145</v>
      </c>
      <c r="E26" s="16"/>
      <c r="F26" s="2" t="s">
        <v>616</v>
      </c>
      <c r="G26" s="60"/>
      <c r="H26" s="73" t="s">
        <v>30</v>
      </c>
      <c r="I26" s="38">
        <v>7550000</v>
      </c>
      <c r="J26" s="60">
        <v>2019</v>
      </c>
      <c r="K26" s="83"/>
      <c r="L26" s="104">
        <v>44166</v>
      </c>
      <c r="M26" s="16"/>
      <c r="N26" s="84" t="s">
        <v>596</v>
      </c>
      <c r="O26" s="16"/>
      <c r="P26" s="18" t="s">
        <v>30</v>
      </c>
      <c r="Q26" s="18" t="s">
        <v>30</v>
      </c>
      <c r="R26" s="18" t="s">
        <v>30</v>
      </c>
      <c r="S26" s="33">
        <v>43466</v>
      </c>
      <c r="T26" s="18" t="s">
        <v>30</v>
      </c>
      <c r="U26" s="18" t="s">
        <v>30</v>
      </c>
      <c r="V26" s="22" t="s">
        <v>30</v>
      </c>
      <c r="W26" s="52" t="str">
        <f t="shared" si="0"/>
        <v>NC</v>
      </c>
      <c r="X26" s="18" t="str">
        <f t="shared" si="1"/>
        <v>NC</v>
      </c>
      <c r="Y26" s="18" t="str">
        <f t="shared" si="2"/>
        <v>NC</v>
      </c>
      <c r="Z26" s="18">
        <f t="shared" si="3"/>
        <v>47116</v>
      </c>
      <c r="AA26" s="18" t="str">
        <f t="shared" si="4"/>
        <v>NC</v>
      </c>
      <c r="AB26" s="18" t="str">
        <f t="shared" si="5"/>
        <v>NC</v>
      </c>
      <c r="AC26" s="18" t="str">
        <f t="shared" si="6"/>
        <v>NC</v>
      </c>
      <c r="AE26" s="4" t="str">
        <f t="shared" si="7"/>
        <v>NC</v>
      </c>
      <c r="AF26" s="4" t="str">
        <f t="shared" si="8"/>
        <v>NC</v>
      </c>
      <c r="AG26" s="4" t="str">
        <f t="shared" si="9"/>
        <v>NC</v>
      </c>
      <c r="AH26" s="4">
        <f t="shared" ca="1" si="10"/>
        <v>1529</v>
      </c>
      <c r="AI26" s="4" t="str">
        <f t="shared" si="11"/>
        <v>NC</v>
      </c>
      <c r="AJ26" s="4" t="str">
        <f t="shared" si="12"/>
        <v>NC</v>
      </c>
      <c r="AK26" s="4" t="str">
        <f t="shared" si="13"/>
        <v>NC</v>
      </c>
      <c r="AM26" s="46">
        <f t="shared" si="14"/>
        <v>2.869417297484602E-4</v>
      </c>
      <c r="AP26" s="69" t="s">
        <v>643</v>
      </c>
      <c r="AQ26" s="69" t="s">
        <v>643</v>
      </c>
      <c r="AS26" s="115" t="s">
        <v>1164</v>
      </c>
      <c r="AT26" s="114" t="s">
        <v>943</v>
      </c>
      <c r="AU26" s="114" t="s">
        <v>1180</v>
      </c>
    </row>
    <row r="27" spans="1:47" s="24" customFormat="1" ht="14.4" customHeight="1" x14ac:dyDescent="0.3">
      <c r="A27" s="16" t="s">
        <v>406</v>
      </c>
      <c r="B27" s="2" t="s">
        <v>1061</v>
      </c>
      <c r="C27" s="2" t="s">
        <v>509</v>
      </c>
      <c r="D27" s="16" t="s">
        <v>46</v>
      </c>
      <c r="E27" s="16"/>
      <c r="F27" s="2" t="s">
        <v>617</v>
      </c>
      <c r="G27" s="60"/>
      <c r="H27" s="73" t="s">
        <v>30</v>
      </c>
      <c r="I27" s="38">
        <v>7550000</v>
      </c>
      <c r="J27" s="60">
        <v>2018</v>
      </c>
      <c r="K27" s="83"/>
      <c r="L27" s="55" t="s">
        <v>1022</v>
      </c>
      <c r="M27" s="16"/>
      <c r="N27" s="84" t="s">
        <v>596</v>
      </c>
      <c r="O27" s="16"/>
      <c r="P27" s="18" t="s">
        <v>30</v>
      </c>
      <c r="Q27" s="18" t="s">
        <v>30</v>
      </c>
      <c r="R27" s="18" t="s">
        <v>30</v>
      </c>
      <c r="S27" s="33">
        <v>43101</v>
      </c>
      <c r="T27" s="18" t="s">
        <v>30</v>
      </c>
      <c r="U27" s="18" t="s">
        <v>30</v>
      </c>
      <c r="V27" s="22" t="s">
        <v>30</v>
      </c>
      <c r="W27" s="52" t="str">
        <f t="shared" si="0"/>
        <v>NC</v>
      </c>
      <c r="X27" s="18" t="str">
        <f t="shared" si="1"/>
        <v>NC</v>
      </c>
      <c r="Y27" s="18" t="str">
        <f t="shared" si="2"/>
        <v>NC</v>
      </c>
      <c r="Z27" s="18">
        <f t="shared" si="3"/>
        <v>46751</v>
      </c>
      <c r="AA27" s="18" t="str">
        <f t="shared" si="4"/>
        <v>NC</v>
      </c>
      <c r="AB27" s="18" t="str">
        <f t="shared" si="5"/>
        <v>NC</v>
      </c>
      <c r="AC27" s="18" t="str">
        <f t="shared" si="6"/>
        <v>NC</v>
      </c>
      <c r="AE27" s="4" t="str">
        <f t="shared" si="7"/>
        <v>NC</v>
      </c>
      <c r="AF27" s="4" t="str">
        <f t="shared" si="8"/>
        <v>NC</v>
      </c>
      <c r="AG27" s="4" t="str">
        <f t="shared" si="9"/>
        <v>NC</v>
      </c>
      <c r="AH27" s="4">
        <f t="shared" ca="1" si="10"/>
        <v>1164</v>
      </c>
      <c r="AI27" s="4" t="str">
        <f t="shared" si="11"/>
        <v>NC</v>
      </c>
      <c r="AJ27" s="4" t="str">
        <f t="shared" si="12"/>
        <v>NC</v>
      </c>
      <c r="AK27" s="4" t="str">
        <f t="shared" si="13"/>
        <v>NC</v>
      </c>
      <c r="AM27" s="46">
        <f t="shared" si="14"/>
        <v>7.2170192633698221E-4</v>
      </c>
      <c r="AP27" s="69" t="s">
        <v>643</v>
      </c>
      <c r="AQ27" s="69" t="s">
        <v>643</v>
      </c>
      <c r="AS27" s="115" t="s">
        <v>1164</v>
      </c>
      <c r="AT27" s="114" t="s">
        <v>943</v>
      </c>
      <c r="AU27" s="114" t="s">
        <v>1180</v>
      </c>
    </row>
    <row r="28" spans="1:47" ht="14.4" customHeight="1" x14ac:dyDescent="0.3">
      <c r="A28" s="16" t="s">
        <v>407</v>
      </c>
      <c r="B28" s="2" t="s">
        <v>1061</v>
      </c>
      <c r="C28" s="2" t="s">
        <v>509</v>
      </c>
      <c r="D28" s="16" t="s">
        <v>46</v>
      </c>
      <c r="E28" s="16"/>
      <c r="F28" s="2" t="s">
        <v>618</v>
      </c>
      <c r="G28" s="60"/>
      <c r="H28" s="73" t="s">
        <v>30</v>
      </c>
      <c r="I28" s="38">
        <v>7550000</v>
      </c>
      <c r="J28" s="60">
        <v>2018</v>
      </c>
      <c r="K28" s="83"/>
      <c r="L28" s="104">
        <v>43952</v>
      </c>
      <c r="M28" s="16"/>
      <c r="N28" s="84" t="s">
        <v>596</v>
      </c>
      <c r="O28" s="16"/>
      <c r="P28" s="18" t="s">
        <v>30</v>
      </c>
      <c r="Q28" s="18" t="s">
        <v>30</v>
      </c>
      <c r="R28" s="18" t="s">
        <v>30</v>
      </c>
      <c r="S28" s="33">
        <v>43101</v>
      </c>
      <c r="T28" s="18" t="s">
        <v>30</v>
      </c>
      <c r="U28" s="18" t="s">
        <v>30</v>
      </c>
      <c r="V28" s="22" t="s">
        <v>30</v>
      </c>
      <c r="W28" s="52" t="str">
        <f t="shared" si="0"/>
        <v>NC</v>
      </c>
      <c r="X28" s="18" t="str">
        <f t="shared" si="1"/>
        <v>NC</v>
      </c>
      <c r="Y28" s="18" t="str">
        <f t="shared" si="2"/>
        <v>NC</v>
      </c>
      <c r="Z28" s="18">
        <f t="shared" si="3"/>
        <v>46751</v>
      </c>
      <c r="AA28" s="18" t="str">
        <f t="shared" si="4"/>
        <v>NC</v>
      </c>
      <c r="AB28" s="18" t="str">
        <f t="shared" si="5"/>
        <v>NC</v>
      </c>
      <c r="AC28" s="18" t="str">
        <f t="shared" si="6"/>
        <v>NC</v>
      </c>
      <c r="AD28" s="24"/>
      <c r="AE28" s="4" t="str">
        <f t="shared" si="7"/>
        <v>NC</v>
      </c>
      <c r="AF28" s="4" t="str">
        <f t="shared" si="8"/>
        <v>NC</v>
      </c>
      <c r="AG28" s="4" t="str">
        <f t="shared" si="9"/>
        <v>NC</v>
      </c>
      <c r="AH28" s="4">
        <f t="shared" ca="1" si="10"/>
        <v>1164</v>
      </c>
      <c r="AI28" s="4" t="str">
        <f t="shared" si="11"/>
        <v>NC</v>
      </c>
      <c r="AJ28" s="4" t="str">
        <f t="shared" si="12"/>
        <v>NC</v>
      </c>
      <c r="AK28" s="4" t="str">
        <f t="shared" si="13"/>
        <v>NC</v>
      </c>
      <c r="AL28" s="24"/>
      <c r="AM28" s="46">
        <f t="shared" si="14"/>
        <v>7.2170192633698221E-4</v>
      </c>
      <c r="AN28" s="24"/>
      <c r="AO28" s="24"/>
      <c r="AP28" s="69" t="s">
        <v>643</v>
      </c>
      <c r="AQ28" s="69" t="s">
        <v>643</v>
      </c>
      <c r="AR28" s="24"/>
      <c r="AS28" s="115" t="s">
        <v>1164</v>
      </c>
      <c r="AT28" s="114" t="s">
        <v>943</v>
      </c>
      <c r="AU28" s="114" t="s">
        <v>1180</v>
      </c>
    </row>
    <row r="29" spans="1:47" s="24" customFormat="1" ht="14.4" customHeight="1" x14ac:dyDescent="0.3">
      <c r="A29" s="16" t="s">
        <v>897</v>
      </c>
      <c r="B29" s="16" t="s">
        <v>1479</v>
      </c>
      <c r="C29" s="2" t="s">
        <v>509</v>
      </c>
      <c r="D29" s="16" t="s">
        <v>46</v>
      </c>
      <c r="E29" s="16" t="s">
        <v>927</v>
      </c>
      <c r="F29" s="2" t="s">
        <v>928</v>
      </c>
      <c r="G29" s="60"/>
      <c r="H29" s="60" t="s">
        <v>30</v>
      </c>
      <c r="I29" s="38">
        <v>6000000</v>
      </c>
      <c r="J29" s="60">
        <v>2019</v>
      </c>
      <c r="K29" s="83"/>
      <c r="L29" s="104">
        <v>43952</v>
      </c>
      <c r="M29" s="16"/>
      <c r="N29" s="84" t="s">
        <v>596</v>
      </c>
      <c r="O29" s="16"/>
      <c r="P29" s="18" t="s">
        <v>30</v>
      </c>
      <c r="Q29" s="18" t="s">
        <v>30</v>
      </c>
      <c r="R29" s="18" t="s">
        <v>30</v>
      </c>
      <c r="S29" s="33">
        <v>43466</v>
      </c>
      <c r="T29" s="18" t="s">
        <v>30</v>
      </c>
      <c r="U29" s="18" t="s">
        <v>30</v>
      </c>
      <c r="V29" s="22" t="s">
        <v>30</v>
      </c>
      <c r="W29" s="52" t="str">
        <f t="shared" si="0"/>
        <v>NC</v>
      </c>
      <c r="X29" s="18" t="str">
        <f t="shared" si="1"/>
        <v>NC</v>
      </c>
      <c r="Y29" s="18" t="str">
        <f t="shared" si="2"/>
        <v>NC</v>
      </c>
      <c r="Z29" s="18">
        <f t="shared" si="3"/>
        <v>47116</v>
      </c>
      <c r="AA29" s="18" t="str">
        <f t="shared" si="4"/>
        <v>NC</v>
      </c>
      <c r="AB29" s="18" t="str">
        <f t="shared" si="5"/>
        <v>NC</v>
      </c>
      <c r="AC29" s="18" t="str">
        <f t="shared" si="6"/>
        <v>NC</v>
      </c>
      <c r="AE29" s="4" t="str">
        <f t="shared" si="7"/>
        <v>NC</v>
      </c>
      <c r="AF29" s="4" t="str">
        <f t="shared" si="8"/>
        <v>NC</v>
      </c>
      <c r="AG29" s="4" t="str">
        <f t="shared" si="9"/>
        <v>NC</v>
      </c>
      <c r="AH29" s="4">
        <f t="shared" ca="1" si="10"/>
        <v>1529</v>
      </c>
      <c r="AI29" s="4" t="str">
        <f t="shared" si="11"/>
        <v>NC</v>
      </c>
      <c r="AJ29" s="4" t="str">
        <f t="shared" si="12"/>
        <v>NC</v>
      </c>
      <c r="AK29" s="4" t="str">
        <f t="shared" si="13"/>
        <v>NC</v>
      </c>
      <c r="AM29" s="46">
        <f t="shared" si="14"/>
        <v>2.2803316271400808E-4</v>
      </c>
      <c r="AP29" s="69" t="s">
        <v>643</v>
      </c>
      <c r="AQ29" s="69" t="s">
        <v>643</v>
      </c>
      <c r="AS29" s="115" t="s">
        <v>1165</v>
      </c>
      <c r="AT29" s="114" t="s">
        <v>943</v>
      </c>
      <c r="AU29" s="114" t="s">
        <v>1181</v>
      </c>
    </row>
    <row r="30" spans="1:47" s="53" customFormat="1" ht="14.4" customHeight="1" x14ac:dyDescent="0.3">
      <c r="A30" s="3" t="s">
        <v>59</v>
      </c>
      <c r="B30" s="3" t="s">
        <v>1062</v>
      </c>
      <c r="C30" s="3" t="s">
        <v>510</v>
      </c>
      <c r="D30" s="4" t="s">
        <v>49</v>
      </c>
      <c r="E30" s="4"/>
      <c r="F30" s="3" t="s">
        <v>210</v>
      </c>
      <c r="G30" s="60"/>
      <c r="H30" s="73" t="s">
        <v>30</v>
      </c>
      <c r="I30" s="12">
        <v>5000000</v>
      </c>
      <c r="J30" s="61">
        <v>2014</v>
      </c>
      <c r="K30" s="78"/>
      <c r="L30" s="87"/>
      <c r="M30" s="47"/>
      <c r="N30" s="56" t="s">
        <v>596</v>
      </c>
      <c r="O30" s="80"/>
      <c r="P30" s="18" t="s">
        <v>30</v>
      </c>
      <c r="Q30" s="18" t="s">
        <v>30</v>
      </c>
      <c r="R30" s="18" t="s">
        <v>30</v>
      </c>
      <c r="S30" s="33">
        <v>41640</v>
      </c>
      <c r="T30" s="18" t="s">
        <v>30</v>
      </c>
      <c r="U30" s="18" t="s">
        <v>30</v>
      </c>
      <c r="V30" s="22" t="s">
        <v>30</v>
      </c>
      <c r="W30" s="52" t="str">
        <f t="shared" si="0"/>
        <v>NC</v>
      </c>
      <c r="X30" s="18" t="str">
        <f t="shared" si="1"/>
        <v>NC</v>
      </c>
      <c r="Y30" s="18" t="str">
        <f t="shared" si="2"/>
        <v>NC</v>
      </c>
      <c r="Z30" s="18">
        <f t="shared" si="3"/>
        <v>45290</v>
      </c>
      <c r="AA30" s="18" t="str">
        <f t="shared" si="4"/>
        <v>NC</v>
      </c>
      <c r="AB30" s="18" t="str">
        <f t="shared" si="5"/>
        <v>NC</v>
      </c>
      <c r="AC30" s="18" t="str">
        <f t="shared" si="6"/>
        <v>NC</v>
      </c>
      <c r="AD30"/>
      <c r="AE30" s="4" t="str">
        <f t="shared" si="7"/>
        <v>NC</v>
      </c>
      <c r="AF30" s="4" t="str">
        <f t="shared" si="8"/>
        <v>NC</v>
      </c>
      <c r="AG30" s="4" t="str">
        <f t="shared" si="9"/>
        <v>NC</v>
      </c>
      <c r="AH30" s="4">
        <f t="shared" ca="1" si="10"/>
        <v>-297</v>
      </c>
      <c r="AI30" s="4" t="str">
        <f t="shared" si="11"/>
        <v>NC</v>
      </c>
      <c r="AJ30" s="4" t="str">
        <f t="shared" si="12"/>
        <v>NC</v>
      </c>
      <c r="AK30" s="4" t="str">
        <f t="shared" si="13"/>
        <v>NC</v>
      </c>
      <c r="AL30" s="24"/>
      <c r="AM30" s="46">
        <f t="shared" si="14"/>
        <v>1.6296309355570003E-3</v>
      </c>
      <c r="AN30" s="15"/>
      <c r="AO30"/>
      <c r="AP30" s="69" t="s">
        <v>643</v>
      </c>
      <c r="AQ30" s="69" t="s">
        <v>643</v>
      </c>
      <c r="AR30"/>
      <c r="AS30" s="114" t="s">
        <v>1166</v>
      </c>
      <c r="AT30" s="114" t="s">
        <v>943</v>
      </c>
      <c r="AU30" s="114" t="s">
        <v>944</v>
      </c>
    </row>
    <row r="31" spans="1:47" s="24" customFormat="1" ht="14.4" customHeight="1" x14ac:dyDescent="0.3">
      <c r="A31" s="16" t="s">
        <v>355</v>
      </c>
      <c r="B31" s="116" t="s">
        <v>1063</v>
      </c>
      <c r="C31" s="2" t="s">
        <v>511</v>
      </c>
      <c r="D31" s="16" t="s">
        <v>145</v>
      </c>
      <c r="E31" s="16"/>
      <c r="F31" s="2" t="s">
        <v>865</v>
      </c>
      <c r="G31" s="60"/>
      <c r="H31" s="73" t="s">
        <v>30</v>
      </c>
      <c r="I31" s="38">
        <v>4650000</v>
      </c>
      <c r="J31" s="60">
        <v>2018</v>
      </c>
      <c r="K31" s="83"/>
      <c r="L31" s="104">
        <v>43983</v>
      </c>
      <c r="M31" s="16"/>
      <c r="N31" s="84" t="s">
        <v>596</v>
      </c>
      <c r="O31" s="16"/>
      <c r="P31" s="18" t="s">
        <v>30</v>
      </c>
      <c r="Q31" s="18" t="s">
        <v>30</v>
      </c>
      <c r="R31" s="18" t="s">
        <v>30</v>
      </c>
      <c r="S31" s="22" t="s">
        <v>30</v>
      </c>
      <c r="T31" s="18" t="s">
        <v>30</v>
      </c>
      <c r="U31" s="18" t="s">
        <v>30</v>
      </c>
      <c r="V31" s="22" t="s">
        <v>30</v>
      </c>
      <c r="W31" s="52" t="str">
        <f t="shared" si="0"/>
        <v>NC</v>
      </c>
      <c r="X31" s="18" t="str">
        <f t="shared" si="1"/>
        <v>NC</v>
      </c>
      <c r="Y31" s="18" t="str">
        <f t="shared" si="2"/>
        <v>NC</v>
      </c>
      <c r="Z31" s="18" t="str">
        <f t="shared" si="3"/>
        <v>NC</v>
      </c>
      <c r="AA31" s="18" t="str">
        <f t="shared" si="4"/>
        <v>NC</v>
      </c>
      <c r="AB31" s="18" t="str">
        <f t="shared" si="5"/>
        <v>NC</v>
      </c>
      <c r="AC31" s="18" t="str">
        <f t="shared" si="6"/>
        <v>NC</v>
      </c>
      <c r="AE31" s="4" t="str">
        <f t="shared" si="7"/>
        <v>NC</v>
      </c>
      <c r="AF31" s="4" t="str">
        <f t="shared" si="8"/>
        <v>NC</v>
      </c>
      <c r="AG31" s="4" t="str">
        <f t="shared" si="9"/>
        <v>NC</v>
      </c>
      <c r="AH31" s="4" t="str">
        <f t="shared" si="10"/>
        <v>NC</v>
      </c>
      <c r="AI31" s="4" t="str">
        <f t="shared" si="11"/>
        <v>NC</v>
      </c>
      <c r="AJ31" s="4" t="str">
        <f t="shared" si="12"/>
        <v>NC</v>
      </c>
      <c r="AK31" s="4" t="str">
        <f t="shared" si="13"/>
        <v>NC</v>
      </c>
      <c r="AM31" s="46">
        <f t="shared" si="14"/>
        <v>4.4449191489628708E-4</v>
      </c>
      <c r="AP31" s="69" t="s">
        <v>643</v>
      </c>
      <c r="AQ31" s="69" t="s">
        <v>643</v>
      </c>
      <c r="AS31" s="115" t="s">
        <v>1167</v>
      </c>
      <c r="AT31" s="114" t="s">
        <v>1396</v>
      </c>
      <c r="AU31" s="114" t="s">
        <v>1182</v>
      </c>
    </row>
    <row r="32" spans="1:47" s="24" customFormat="1" ht="14.4" customHeight="1" x14ac:dyDescent="0.3">
      <c r="A32" s="16" t="s">
        <v>784</v>
      </c>
      <c r="B32" s="16" t="s">
        <v>1064</v>
      </c>
      <c r="C32" s="2" t="s">
        <v>511</v>
      </c>
      <c r="D32" s="16" t="s">
        <v>46</v>
      </c>
      <c r="E32" s="16" t="s">
        <v>1004</v>
      </c>
      <c r="F32" s="2" t="s">
        <v>1003</v>
      </c>
      <c r="G32" s="60"/>
      <c r="H32" s="60" t="s">
        <v>30</v>
      </c>
      <c r="I32" s="38">
        <v>46550000</v>
      </c>
      <c r="J32" s="60">
        <v>2019</v>
      </c>
      <c r="K32" s="83"/>
      <c r="L32" s="55" t="s">
        <v>1022</v>
      </c>
      <c r="M32" s="16"/>
      <c r="N32" s="84" t="s">
        <v>596</v>
      </c>
      <c r="O32" s="16"/>
      <c r="P32" s="18" t="s">
        <v>30</v>
      </c>
      <c r="Q32" s="18" t="s">
        <v>30</v>
      </c>
      <c r="R32" s="18" t="s">
        <v>30</v>
      </c>
      <c r="S32" s="22" t="s">
        <v>30</v>
      </c>
      <c r="T32" s="18" t="s">
        <v>30</v>
      </c>
      <c r="U32" s="18" t="s">
        <v>30</v>
      </c>
      <c r="V32" s="22" t="s">
        <v>30</v>
      </c>
      <c r="W32" s="52" t="str">
        <f t="shared" si="0"/>
        <v>NC</v>
      </c>
      <c r="X32" s="18" t="str">
        <f t="shared" si="1"/>
        <v>NC</v>
      </c>
      <c r="Y32" s="18" t="str">
        <f t="shared" si="2"/>
        <v>NC</v>
      </c>
      <c r="Z32" s="18" t="str">
        <f t="shared" si="3"/>
        <v>NC</v>
      </c>
      <c r="AA32" s="18" t="str">
        <f t="shared" si="4"/>
        <v>NC</v>
      </c>
      <c r="AB32" s="18" t="str">
        <f t="shared" si="5"/>
        <v>NC</v>
      </c>
      <c r="AC32" s="18" t="str">
        <f t="shared" si="6"/>
        <v>NC</v>
      </c>
      <c r="AE32" s="16" t="str">
        <f t="shared" si="7"/>
        <v>NC</v>
      </c>
      <c r="AF32" s="16" t="str">
        <f t="shared" si="8"/>
        <v>NC</v>
      </c>
      <c r="AG32" s="16" t="str">
        <f t="shared" si="9"/>
        <v>NC</v>
      </c>
      <c r="AH32" s="16" t="str">
        <f t="shared" si="10"/>
        <v>NC</v>
      </c>
      <c r="AI32" s="16" t="str">
        <f t="shared" si="11"/>
        <v>NC</v>
      </c>
      <c r="AJ32" s="16" t="str">
        <f t="shared" si="12"/>
        <v>NC</v>
      </c>
      <c r="AK32" s="16" t="str">
        <f t="shared" si="13"/>
        <v>NC</v>
      </c>
      <c r="AM32" s="58">
        <f t="shared" si="14"/>
        <v>1.7691572873895127E-3</v>
      </c>
      <c r="AP32" s="69" t="s">
        <v>643</v>
      </c>
      <c r="AQ32" s="69" t="s">
        <v>643</v>
      </c>
      <c r="AS32" s="115" t="s">
        <v>1168</v>
      </c>
      <c r="AT32" s="115"/>
      <c r="AU32" s="115"/>
    </row>
    <row r="33" spans="1:47" ht="14.4" customHeight="1" x14ac:dyDescent="0.3">
      <c r="A33" s="3" t="s">
        <v>177</v>
      </c>
      <c r="B33" s="2" t="s">
        <v>1065</v>
      </c>
      <c r="C33" s="3" t="s">
        <v>512</v>
      </c>
      <c r="D33" s="4" t="s">
        <v>46</v>
      </c>
      <c r="E33" s="4"/>
      <c r="F33" s="3" t="s">
        <v>211</v>
      </c>
      <c r="G33" s="60"/>
      <c r="H33" s="73" t="s">
        <v>30</v>
      </c>
      <c r="I33" s="12">
        <v>48232518.210000001</v>
      </c>
      <c r="J33" s="61">
        <v>2018</v>
      </c>
      <c r="K33" s="78">
        <v>45139</v>
      </c>
      <c r="L33" s="87">
        <v>43952</v>
      </c>
      <c r="M33" s="47"/>
      <c r="N33" s="56" t="s">
        <v>596</v>
      </c>
      <c r="O33" s="80">
        <v>293</v>
      </c>
      <c r="P33" s="18" t="s">
        <v>30</v>
      </c>
      <c r="Q33" s="20">
        <v>43818</v>
      </c>
      <c r="R33" s="20">
        <v>43881</v>
      </c>
      <c r="S33" s="21" t="s">
        <v>30</v>
      </c>
      <c r="T33" s="18" t="s">
        <v>30</v>
      </c>
      <c r="U33" s="18" t="s">
        <v>30</v>
      </c>
      <c r="V33" s="22" t="s">
        <v>30</v>
      </c>
      <c r="W33" s="52" t="str">
        <f t="shared" si="0"/>
        <v>NC</v>
      </c>
      <c r="X33" s="18">
        <f t="shared" si="1"/>
        <v>43999</v>
      </c>
      <c r="Y33" s="18">
        <f t="shared" si="2"/>
        <v>44246</v>
      </c>
      <c r="Z33" s="18" t="str">
        <f t="shared" si="3"/>
        <v>NC</v>
      </c>
      <c r="AA33" s="18" t="str">
        <f t="shared" si="4"/>
        <v>NC</v>
      </c>
      <c r="AB33" s="18" t="str">
        <f t="shared" si="5"/>
        <v>NC</v>
      </c>
      <c r="AC33" s="18" t="str">
        <f t="shared" si="6"/>
        <v>NC</v>
      </c>
      <c r="AE33" s="4" t="str">
        <f t="shared" si="7"/>
        <v>NC</v>
      </c>
      <c r="AF33" s="4">
        <f ca="1">IF(X33="NC","NC",IF(X33="erreur","erreur",X33-$F$3))</f>
        <v>-1588</v>
      </c>
      <c r="AG33" s="4">
        <f t="shared" ca="1" si="9"/>
        <v>-1341</v>
      </c>
      <c r="AH33" s="4" t="str">
        <f t="shared" si="10"/>
        <v>NC</v>
      </c>
      <c r="AI33" s="4" t="str">
        <f t="shared" si="11"/>
        <v>NC</v>
      </c>
      <c r="AJ33" s="4" t="str">
        <f t="shared" si="12"/>
        <v>NC</v>
      </c>
      <c r="AK33" s="4" t="str">
        <f t="shared" si="13"/>
        <v>NC</v>
      </c>
      <c r="AL33" s="24"/>
      <c r="AM33" s="46">
        <f t="shared" si="14"/>
        <v>4.6105299740715989E-3</v>
      </c>
      <c r="AN33" s="15"/>
      <c r="AP33" s="69" t="s">
        <v>643</v>
      </c>
      <c r="AQ33" s="69" t="s">
        <v>643</v>
      </c>
      <c r="AS33" s="114" t="s">
        <v>1169</v>
      </c>
      <c r="AT33" s="114" t="s">
        <v>1183</v>
      </c>
      <c r="AU33" s="114" t="s">
        <v>1184</v>
      </c>
    </row>
    <row r="34" spans="1:47" s="24" customFormat="1" x14ac:dyDescent="0.3">
      <c r="A34" s="3" t="s">
        <v>176</v>
      </c>
      <c r="B34" s="2" t="s">
        <v>1065</v>
      </c>
      <c r="C34" s="3" t="s">
        <v>512</v>
      </c>
      <c r="D34" s="4" t="s">
        <v>145</v>
      </c>
      <c r="E34" s="4"/>
      <c r="F34" s="3" t="s">
        <v>212</v>
      </c>
      <c r="G34" s="60"/>
      <c r="H34" s="73" t="s">
        <v>30</v>
      </c>
      <c r="I34" s="12">
        <v>48232518.210000001</v>
      </c>
      <c r="J34" s="61">
        <v>2018</v>
      </c>
      <c r="K34" s="78">
        <v>45170</v>
      </c>
      <c r="L34" s="87">
        <v>43983</v>
      </c>
      <c r="M34" s="47"/>
      <c r="N34" s="56" t="s">
        <v>596</v>
      </c>
      <c r="O34" s="80">
        <v>277</v>
      </c>
      <c r="P34" s="18" t="s">
        <v>30</v>
      </c>
      <c r="Q34" s="20">
        <v>43844</v>
      </c>
      <c r="R34" s="20">
        <v>43704</v>
      </c>
      <c r="S34" s="21" t="s">
        <v>30</v>
      </c>
      <c r="T34" s="18" t="s">
        <v>30</v>
      </c>
      <c r="U34" s="18" t="s">
        <v>30</v>
      </c>
      <c r="V34" s="22" t="s">
        <v>30</v>
      </c>
      <c r="W34" s="52" t="str">
        <f t="shared" si="0"/>
        <v>NC</v>
      </c>
      <c r="X34" s="18">
        <f t="shared" si="1"/>
        <v>44025</v>
      </c>
      <c r="Y34" s="18">
        <f t="shared" si="2"/>
        <v>44069</v>
      </c>
      <c r="Z34" s="18" t="str">
        <f t="shared" si="3"/>
        <v>NC</v>
      </c>
      <c r="AA34" s="18" t="str">
        <f t="shared" si="4"/>
        <v>NC</v>
      </c>
      <c r="AB34" s="18" t="str">
        <f t="shared" si="5"/>
        <v>NC</v>
      </c>
      <c r="AC34" s="18" t="str">
        <f t="shared" si="6"/>
        <v>NC</v>
      </c>
      <c r="AD34"/>
      <c r="AE34" s="4" t="str">
        <f t="shared" si="7"/>
        <v>NC</v>
      </c>
      <c r="AF34" s="4">
        <f t="shared" ca="1" si="8"/>
        <v>-1562</v>
      </c>
      <c r="AG34" s="4">
        <f t="shared" ca="1" si="9"/>
        <v>-1518</v>
      </c>
      <c r="AH34" s="4" t="str">
        <f t="shared" si="10"/>
        <v>NC</v>
      </c>
      <c r="AI34" s="4" t="str">
        <f t="shared" si="11"/>
        <v>NC</v>
      </c>
      <c r="AJ34" s="4" t="str">
        <f t="shared" si="12"/>
        <v>NC</v>
      </c>
      <c r="AK34" s="4" t="str">
        <f t="shared" si="13"/>
        <v>NC</v>
      </c>
      <c r="AM34" s="46">
        <f t="shared" si="14"/>
        <v>4.6105299740715989E-3</v>
      </c>
      <c r="AN34" s="15"/>
      <c r="AO34"/>
      <c r="AP34" s="69" t="s">
        <v>643</v>
      </c>
      <c r="AQ34" s="69" t="s">
        <v>643</v>
      </c>
      <c r="AR34"/>
      <c r="AS34" s="114" t="s">
        <v>1169</v>
      </c>
      <c r="AT34" s="114" t="s">
        <v>1183</v>
      </c>
      <c r="AU34" s="114" t="s">
        <v>1184</v>
      </c>
    </row>
    <row r="35" spans="1:47" s="24" customFormat="1" ht="14.4" customHeight="1" x14ac:dyDescent="0.3">
      <c r="A35" s="3" t="s">
        <v>60</v>
      </c>
      <c r="B35" s="2" t="s">
        <v>1066</v>
      </c>
      <c r="C35" s="3" t="s">
        <v>513</v>
      </c>
      <c r="D35" s="4" t="s">
        <v>357</v>
      </c>
      <c r="E35" s="4"/>
      <c r="F35" s="3" t="s">
        <v>213</v>
      </c>
      <c r="G35" s="60"/>
      <c r="H35" s="73" t="s">
        <v>30</v>
      </c>
      <c r="I35" s="12">
        <v>48232518.210000001</v>
      </c>
      <c r="J35" s="61">
        <v>2011</v>
      </c>
      <c r="K35" s="78">
        <v>44013</v>
      </c>
      <c r="L35" s="87">
        <v>43983</v>
      </c>
      <c r="M35" s="47"/>
      <c r="N35" s="56" t="s">
        <v>596</v>
      </c>
      <c r="O35" s="80"/>
      <c r="P35" s="18" t="s">
        <v>30</v>
      </c>
      <c r="Q35" s="19" t="s">
        <v>30</v>
      </c>
      <c r="R35" s="20">
        <v>43854</v>
      </c>
      <c r="S35" s="21" t="s">
        <v>30</v>
      </c>
      <c r="T35" s="18" t="s">
        <v>30</v>
      </c>
      <c r="U35" s="18" t="s">
        <v>30</v>
      </c>
      <c r="V35" s="22" t="s">
        <v>30</v>
      </c>
      <c r="W35" s="52" t="str">
        <f t="shared" si="0"/>
        <v>NC</v>
      </c>
      <c r="X35" s="18" t="str">
        <f t="shared" si="1"/>
        <v>NC</v>
      </c>
      <c r="Y35" s="18">
        <f t="shared" si="2"/>
        <v>44219</v>
      </c>
      <c r="Z35" s="18" t="str">
        <f t="shared" si="3"/>
        <v>NC</v>
      </c>
      <c r="AA35" s="18" t="str">
        <f t="shared" si="4"/>
        <v>NC</v>
      </c>
      <c r="AB35" s="18" t="str">
        <f t="shared" si="5"/>
        <v>NC</v>
      </c>
      <c r="AC35" s="18" t="str">
        <f t="shared" si="6"/>
        <v>NC</v>
      </c>
      <c r="AD35"/>
      <c r="AE35" s="4" t="str">
        <f t="shared" si="7"/>
        <v>NC</v>
      </c>
      <c r="AF35" s="4" t="str">
        <f t="shared" si="8"/>
        <v>NC</v>
      </c>
      <c r="AG35" s="4">
        <f t="shared" ca="1" si="9"/>
        <v>-1368</v>
      </c>
      <c r="AH35" s="4" t="str">
        <f t="shared" si="10"/>
        <v>NC</v>
      </c>
      <c r="AI35" s="4" t="str">
        <f t="shared" si="11"/>
        <v>NC</v>
      </c>
      <c r="AJ35" s="4" t="str">
        <f t="shared" si="12"/>
        <v>NC</v>
      </c>
      <c r="AK35" s="4" t="str">
        <f t="shared" si="13"/>
        <v>NC</v>
      </c>
      <c r="AM35" s="46">
        <f t="shared" si="14"/>
        <v>2.4052523840637625E-2</v>
      </c>
      <c r="AN35" s="15"/>
      <c r="AO35"/>
      <c r="AP35" s="69" t="s">
        <v>643</v>
      </c>
      <c r="AQ35" s="69" t="s">
        <v>643</v>
      </c>
      <c r="AR35"/>
      <c r="AS35" s="114" t="s">
        <v>1169</v>
      </c>
      <c r="AT35" s="114" t="s">
        <v>1183</v>
      </c>
      <c r="AU35" s="114" t="s">
        <v>1185</v>
      </c>
    </row>
    <row r="36" spans="1:47" x14ac:dyDescent="0.3">
      <c r="A36" s="16" t="s">
        <v>374</v>
      </c>
      <c r="B36" s="2" t="s">
        <v>1066</v>
      </c>
      <c r="C36" s="2" t="s">
        <v>513</v>
      </c>
      <c r="D36" s="16" t="s">
        <v>145</v>
      </c>
      <c r="E36" s="16"/>
      <c r="F36" s="2" t="s">
        <v>685</v>
      </c>
      <c r="G36" s="60"/>
      <c r="H36" s="73" t="s">
        <v>30</v>
      </c>
      <c r="I36" s="12">
        <v>48232518.210000001</v>
      </c>
      <c r="J36" s="60">
        <v>2015</v>
      </c>
      <c r="K36" s="83"/>
      <c r="L36" s="104">
        <v>44166</v>
      </c>
      <c r="M36" s="16"/>
      <c r="N36" s="84" t="s">
        <v>596</v>
      </c>
      <c r="O36" s="16"/>
      <c r="P36" s="18" t="s">
        <v>30</v>
      </c>
      <c r="Q36" s="20">
        <v>43886</v>
      </c>
      <c r="R36" s="20">
        <v>43714</v>
      </c>
      <c r="S36" s="22" t="s">
        <v>30</v>
      </c>
      <c r="T36" s="18" t="s">
        <v>30</v>
      </c>
      <c r="U36" s="18" t="s">
        <v>30</v>
      </c>
      <c r="V36" s="22" t="s">
        <v>30</v>
      </c>
      <c r="W36" s="52" t="str">
        <f t="shared" si="0"/>
        <v>NC</v>
      </c>
      <c r="X36" s="18">
        <f t="shared" si="1"/>
        <v>44067</v>
      </c>
      <c r="Y36" s="18">
        <f t="shared" si="2"/>
        <v>44079</v>
      </c>
      <c r="Z36" s="18" t="str">
        <f t="shared" si="3"/>
        <v>NC</v>
      </c>
      <c r="AA36" s="18" t="str">
        <f t="shared" si="4"/>
        <v>NC</v>
      </c>
      <c r="AB36" s="18" t="str">
        <f t="shared" si="5"/>
        <v>NC</v>
      </c>
      <c r="AC36" s="18" t="str">
        <f t="shared" si="6"/>
        <v>NC</v>
      </c>
      <c r="AD36" s="24"/>
      <c r="AE36" s="4" t="str">
        <f t="shared" si="7"/>
        <v>NC</v>
      </c>
      <c r="AF36" s="4">
        <f t="shared" ca="1" si="8"/>
        <v>-1520</v>
      </c>
      <c r="AG36" s="4">
        <f t="shared" ca="1" si="9"/>
        <v>-1508</v>
      </c>
      <c r="AH36" s="4" t="str">
        <f t="shared" si="10"/>
        <v>NC</v>
      </c>
      <c r="AI36" s="4" t="str">
        <f t="shared" si="11"/>
        <v>NC</v>
      </c>
      <c r="AJ36" s="4" t="str">
        <f t="shared" si="12"/>
        <v>NC</v>
      </c>
      <c r="AK36" s="4" t="str">
        <f t="shared" si="13"/>
        <v>NC</v>
      </c>
      <c r="AL36" s="24"/>
      <c r="AM36" s="46">
        <f t="shared" si="14"/>
        <v>1.2942813059742753E-2</v>
      </c>
      <c r="AN36" s="24"/>
      <c r="AO36" s="24"/>
      <c r="AP36" s="69" t="s">
        <v>643</v>
      </c>
      <c r="AQ36" s="69" t="s">
        <v>643</v>
      </c>
      <c r="AR36" s="24"/>
      <c r="AS36" s="115" t="s">
        <v>1169</v>
      </c>
      <c r="AT36" s="114" t="s">
        <v>1183</v>
      </c>
      <c r="AU36" s="114" t="s">
        <v>1186</v>
      </c>
    </row>
    <row r="37" spans="1:47" s="24" customFormat="1" ht="14.4" customHeight="1" x14ac:dyDescent="0.3">
      <c r="A37" s="3" t="s">
        <v>178</v>
      </c>
      <c r="B37" s="2" t="s">
        <v>1067</v>
      </c>
      <c r="C37" s="3" t="s">
        <v>514</v>
      </c>
      <c r="D37" s="4" t="s">
        <v>46</v>
      </c>
      <c r="E37" s="4"/>
      <c r="F37" s="3" t="s">
        <v>214</v>
      </c>
      <c r="G37" s="60"/>
      <c r="H37" s="73" t="s">
        <v>30</v>
      </c>
      <c r="I37" s="12">
        <v>95900913.400000006</v>
      </c>
      <c r="J37" s="61">
        <v>2018</v>
      </c>
      <c r="K37" s="78">
        <v>45139</v>
      </c>
      <c r="L37" s="87">
        <v>43922</v>
      </c>
      <c r="M37" s="47"/>
      <c r="N37" s="56" t="s">
        <v>596</v>
      </c>
      <c r="O37" s="80">
        <v>548</v>
      </c>
      <c r="P37" s="18" t="s">
        <v>30</v>
      </c>
      <c r="Q37" s="20">
        <v>43818</v>
      </c>
      <c r="R37" s="20">
        <v>43752</v>
      </c>
      <c r="S37" s="21" t="s">
        <v>30</v>
      </c>
      <c r="T37" s="18" t="s">
        <v>30</v>
      </c>
      <c r="U37" s="18" t="s">
        <v>30</v>
      </c>
      <c r="V37" s="22" t="s">
        <v>30</v>
      </c>
      <c r="W37" s="52" t="str">
        <f t="shared" si="0"/>
        <v>NC</v>
      </c>
      <c r="X37" s="18">
        <f t="shared" si="1"/>
        <v>43999</v>
      </c>
      <c r="Y37" s="18">
        <f t="shared" si="2"/>
        <v>44117</v>
      </c>
      <c r="Z37" s="18" t="str">
        <f t="shared" si="3"/>
        <v>NC</v>
      </c>
      <c r="AA37" s="18" t="str">
        <f t="shared" si="4"/>
        <v>NC</v>
      </c>
      <c r="AB37" s="18" t="str">
        <f t="shared" si="5"/>
        <v>NC</v>
      </c>
      <c r="AC37" s="18" t="str">
        <f t="shared" si="6"/>
        <v>NC</v>
      </c>
      <c r="AD37"/>
      <c r="AE37" s="4" t="str">
        <f t="shared" si="7"/>
        <v>NC</v>
      </c>
      <c r="AF37" s="4">
        <f t="shared" ca="1" si="8"/>
        <v>-1588</v>
      </c>
      <c r="AG37" s="4">
        <f t="shared" ca="1" si="9"/>
        <v>-1470</v>
      </c>
      <c r="AH37" s="4" t="str">
        <f t="shared" si="10"/>
        <v>NC</v>
      </c>
      <c r="AI37" s="4" t="str">
        <f t="shared" si="11"/>
        <v>NC</v>
      </c>
      <c r="AJ37" s="4" t="str">
        <f t="shared" si="12"/>
        <v>NC</v>
      </c>
      <c r="AK37" s="4" t="str">
        <f t="shared" si="13"/>
        <v>NC</v>
      </c>
      <c r="AM37" s="46">
        <f t="shared" si="14"/>
        <v>9.1671356209610741E-3</v>
      </c>
      <c r="AN37" s="15"/>
      <c r="AO37"/>
      <c r="AP37" s="69" t="s">
        <v>643</v>
      </c>
      <c r="AQ37" s="69" t="s">
        <v>643</v>
      </c>
      <c r="AR37"/>
      <c r="AS37" s="114" t="s">
        <v>1169</v>
      </c>
      <c r="AT37" s="114" t="s">
        <v>1187</v>
      </c>
      <c r="AU37" s="114" t="s">
        <v>1188</v>
      </c>
    </row>
    <row r="38" spans="1:47" ht="14.4" customHeight="1" x14ac:dyDescent="0.3">
      <c r="A38" s="2" t="s">
        <v>179</v>
      </c>
      <c r="B38" s="2" t="s">
        <v>1067</v>
      </c>
      <c r="C38" s="3" t="s">
        <v>514</v>
      </c>
      <c r="D38" s="16" t="s">
        <v>46</v>
      </c>
      <c r="E38" s="16"/>
      <c r="F38" s="3" t="s">
        <v>646</v>
      </c>
      <c r="G38" s="60"/>
      <c r="H38" s="73" t="s">
        <v>30</v>
      </c>
      <c r="I38" s="12">
        <v>95900913.400000006</v>
      </c>
      <c r="J38" s="61">
        <v>2018</v>
      </c>
      <c r="K38" s="78">
        <v>45292</v>
      </c>
      <c r="L38" s="87">
        <v>43952</v>
      </c>
      <c r="M38" s="38"/>
      <c r="N38" s="56" t="s">
        <v>596</v>
      </c>
      <c r="O38" s="81">
        <v>21</v>
      </c>
      <c r="P38" s="18" t="s">
        <v>30</v>
      </c>
      <c r="Q38" s="20">
        <v>43818</v>
      </c>
      <c r="R38" s="20">
        <v>43813</v>
      </c>
      <c r="S38" s="21" t="s">
        <v>30</v>
      </c>
      <c r="T38" s="18" t="s">
        <v>30</v>
      </c>
      <c r="U38" s="18" t="s">
        <v>30</v>
      </c>
      <c r="V38" s="22" t="s">
        <v>30</v>
      </c>
      <c r="W38" s="52" t="str">
        <f t="shared" ref="W38:W69" si="15">IF(P38="NC","NC",IF(P38="","erreur",P38+365))</f>
        <v>NC</v>
      </c>
      <c r="X38" s="18">
        <f t="shared" ref="X38:X69" si="16">IF(Q38="NC","NC",IF(Q38="","erreur",Q38+181))</f>
        <v>43999</v>
      </c>
      <c r="Y38" s="18">
        <f t="shared" ref="Y38:Y69" si="17">IF(R38="NC","NC",IF(R38="","erreur",R38+365))</f>
        <v>44178</v>
      </c>
      <c r="Z38" s="18" t="str">
        <f t="shared" ref="Z38:Z69" si="18">IF(S38="NC","NC",IF(S38="","erreur",S38+3650))</f>
        <v>NC</v>
      </c>
      <c r="AA38" s="18" t="str">
        <f t="shared" ref="AA38:AA69" si="19">IF(T38="NC","NC",IF(T38="","erreur",T38+365))</f>
        <v>NC</v>
      </c>
      <c r="AB38" s="18" t="str">
        <f t="shared" ref="AB38:AB69" si="20">IF(U38="NC","NC",IF(U38="","erreur",U38+365))</f>
        <v>NC</v>
      </c>
      <c r="AC38" s="18" t="str">
        <f t="shared" ref="AC38:AC69" si="21">IF(V38="NC","NC",IF(V38="","erreur",V38+730))</f>
        <v>NC</v>
      </c>
      <c r="AE38" s="4" t="str">
        <f t="shared" ref="AE38:AE69" si="22">IF(W38="NC","NC",IF(W38="erreur","erreur",W38-$F$3))</f>
        <v>NC</v>
      </c>
      <c r="AF38" s="4">
        <f t="shared" ref="AF38:AF69" ca="1" si="23">IF(X38="NC","NC",IF(X38="erreur","erreur",X38-$F$3))</f>
        <v>-1588</v>
      </c>
      <c r="AG38" s="4">
        <f t="shared" ref="AG38:AG69" ca="1" si="24">IF(Y38="NC","NC",IF(Y38="erreur","erreur",Y38-$F$3))</f>
        <v>-1409</v>
      </c>
      <c r="AH38" s="4" t="str">
        <f t="shared" ref="AH38:AH69" si="25">IF(Z38="NC","NC",IF(Z38="erreur","erreur",Z38-$F$3))</f>
        <v>NC</v>
      </c>
      <c r="AI38" s="4" t="str">
        <f t="shared" ref="AI38:AI69" si="26">IF(AA38="NC","NC",IF(AA38="erreur","erreur",AA38-$F$3))</f>
        <v>NC</v>
      </c>
      <c r="AJ38" s="4" t="str">
        <f t="shared" ref="AJ38:AJ69" si="27">IF(AB38="NC","NC",IF(AB38="erreur","erreur",AB38-$F$3))</f>
        <v>NC</v>
      </c>
      <c r="AK38" s="4" t="str">
        <f t="shared" ref="AK38:AK69" si="28">IF(AC38="NC","NC",IF(AC38="erreur","erreur",AC38-$F$3))</f>
        <v>NC</v>
      </c>
      <c r="AL38" s="24"/>
      <c r="AM38" s="46">
        <f t="shared" ref="AM38:AM69" si="29">I38*($AM$3-J38)/$I$4</f>
        <v>9.1671356209610741E-3</v>
      </c>
      <c r="AN38" s="48"/>
      <c r="AP38" s="69" t="s">
        <v>643</v>
      </c>
      <c r="AQ38" s="69" t="s">
        <v>643</v>
      </c>
      <c r="AS38" s="114" t="s">
        <v>1169</v>
      </c>
      <c r="AT38" s="114" t="s">
        <v>1187</v>
      </c>
      <c r="AU38" s="114" t="s">
        <v>1188</v>
      </c>
    </row>
    <row r="39" spans="1:47" s="24" customFormat="1" ht="14.4" customHeight="1" x14ac:dyDescent="0.3">
      <c r="A39" s="3" t="s">
        <v>61</v>
      </c>
      <c r="B39" s="2" t="s">
        <v>1068</v>
      </c>
      <c r="C39" s="3" t="s">
        <v>515</v>
      </c>
      <c r="D39" s="4" t="s">
        <v>145</v>
      </c>
      <c r="E39" s="4"/>
      <c r="F39" s="3" t="s">
        <v>215</v>
      </c>
      <c r="G39" s="60"/>
      <c r="H39" s="73" t="s">
        <v>30</v>
      </c>
      <c r="I39" s="12">
        <v>124631830</v>
      </c>
      <c r="J39" s="61">
        <v>2011</v>
      </c>
      <c r="K39" s="79" t="s">
        <v>609</v>
      </c>
      <c r="L39" s="87">
        <v>43952</v>
      </c>
      <c r="M39" s="47"/>
      <c r="N39" s="56" t="s">
        <v>596</v>
      </c>
      <c r="O39" s="80">
        <v>7554</v>
      </c>
      <c r="P39" s="18" t="s">
        <v>30</v>
      </c>
      <c r="Q39" s="20">
        <v>43851</v>
      </c>
      <c r="R39" s="20">
        <v>43725</v>
      </c>
      <c r="S39" s="21" t="s">
        <v>30</v>
      </c>
      <c r="T39" s="18" t="s">
        <v>30</v>
      </c>
      <c r="U39" s="18" t="s">
        <v>30</v>
      </c>
      <c r="V39" s="22" t="s">
        <v>30</v>
      </c>
      <c r="W39" s="52" t="str">
        <f t="shared" si="15"/>
        <v>NC</v>
      </c>
      <c r="X39" s="18">
        <f t="shared" si="16"/>
        <v>44032</v>
      </c>
      <c r="Y39" s="18">
        <f t="shared" si="17"/>
        <v>44090</v>
      </c>
      <c r="Z39" s="18" t="str">
        <f t="shared" si="18"/>
        <v>NC</v>
      </c>
      <c r="AA39" s="18" t="str">
        <f t="shared" si="19"/>
        <v>NC</v>
      </c>
      <c r="AB39" s="18" t="str">
        <f t="shared" si="20"/>
        <v>NC</v>
      </c>
      <c r="AC39" s="18" t="str">
        <f t="shared" si="21"/>
        <v>NC</v>
      </c>
      <c r="AD39"/>
      <c r="AE39" s="4" t="str">
        <f t="shared" si="22"/>
        <v>NC</v>
      </c>
      <c r="AF39" s="4">
        <f t="shared" ca="1" si="23"/>
        <v>-1555</v>
      </c>
      <c r="AG39" s="4">
        <f t="shared" ca="1" si="24"/>
        <v>-1497</v>
      </c>
      <c r="AH39" s="4" t="str">
        <f t="shared" si="25"/>
        <v>NC</v>
      </c>
      <c r="AI39" s="4" t="str">
        <f t="shared" si="26"/>
        <v>NC</v>
      </c>
      <c r="AJ39" s="4" t="str">
        <f t="shared" si="27"/>
        <v>NC</v>
      </c>
      <c r="AK39" s="4" t="str">
        <f t="shared" si="28"/>
        <v>NC</v>
      </c>
      <c r="AM39" s="46">
        <f t="shared" si="29"/>
        <v>6.2151224394412466E-2</v>
      </c>
      <c r="AN39" s="15"/>
      <c r="AO39"/>
      <c r="AP39" s="69" t="s">
        <v>643</v>
      </c>
      <c r="AQ39" s="69" t="s">
        <v>643</v>
      </c>
      <c r="AR39"/>
      <c r="AS39" s="114" t="s">
        <v>1169</v>
      </c>
      <c r="AT39" s="114" t="s">
        <v>1189</v>
      </c>
      <c r="AU39" s="114" t="s">
        <v>1190</v>
      </c>
    </row>
    <row r="40" spans="1:47" ht="14.4" customHeight="1" x14ac:dyDescent="0.3">
      <c r="A40" s="16" t="s">
        <v>639</v>
      </c>
      <c r="B40" s="16" t="s">
        <v>1069</v>
      </c>
      <c r="C40" s="2" t="s">
        <v>515</v>
      </c>
      <c r="D40" s="16" t="s">
        <v>357</v>
      </c>
      <c r="E40" s="16"/>
      <c r="F40" s="2" t="s">
        <v>860</v>
      </c>
      <c r="G40" s="60"/>
      <c r="H40" s="60" t="s">
        <v>30</v>
      </c>
      <c r="I40" s="12">
        <v>214740761.16226</v>
      </c>
      <c r="J40" s="60">
        <v>2012</v>
      </c>
      <c r="K40" s="83"/>
      <c r="L40" s="104">
        <v>43862</v>
      </c>
      <c r="M40" s="16"/>
      <c r="N40" s="84" t="s">
        <v>595</v>
      </c>
      <c r="O40" s="16"/>
      <c r="P40" s="18" t="s">
        <v>30</v>
      </c>
      <c r="Q40" s="18" t="s">
        <v>30</v>
      </c>
      <c r="R40" s="20">
        <v>43761</v>
      </c>
      <c r="S40" s="22" t="s">
        <v>30</v>
      </c>
      <c r="T40" s="18" t="s">
        <v>30</v>
      </c>
      <c r="U40" s="18" t="s">
        <v>30</v>
      </c>
      <c r="V40" s="22" t="s">
        <v>30</v>
      </c>
      <c r="W40" s="52" t="str">
        <f t="shared" si="15"/>
        <v>NC</v>
      </c>
      <c r="X40" s="18" t="str">
        <f t="shared" si="16"/>
        <v>NC</v>
      </c>
      <c r="Y40" s="18">
        <f t="shared" si="17"/>
        <v>44126</v>
      </c>
      <c r="Z40" s="18" t="str">
        <f t="shared" si="18"/>
        <v>NC</v>
      </c>
      <c r="AA40" s="18" t="str">
        <f t="shared" si="19"/>
        <v>NC</v>
      </c>
      <c r="AB40" s="18" t="str">
        <f t="shared" si="20"/>
        <v>NC</v>
      </c>
      <c r="AC40" s="18" t="str">
        <f t="shared" si="21"/>
        <v>NC</v>
      </c>
      <c r="AD40" s="24"/>
      <c r="AE40" s="4" t="str">
        <f t="shared" si="22"/>
        <v>NC</v>
      </c>
      <c r="AF40" s="4" t="str">
        <f t="shared" si="23"/>
        <v>NC</v>
      </c>
      <c r="AG40" s="4">
        <f t="shared" ca="1" si="24"/>
        <v>-1461</v>
      </c>
      <c r="AH40" s="4" t="str">
        <f t="shared" si="25"/>
        <v>NC</v>
      </c>
      <c r="AI40" s="4" t="str">
        <f t="shared" si="26"/>
        <v>NC</v>
      </c>
      <c r="AJ40" s="4" t="str">
        <f t="shared" si="27"/>
        <v>NC</v>
      </c>
      <c r="AK40" s="4" t="str">
        <f t="shared" si="28"/>
        <v>NC</v>
      </c>
      <c r="AL40" s="24"/>
      <c r="AM40" s="58">
        <f t="shared" si="29"/>
        <v>9.472095817545842E-2</v>
      </c>
      <c r="AN40" s="24"/>
      <c r="AO40" s="24"/>
      <c r="AP40" s="69" t="s">
        <v>643</v>
      </c>
      <c r="AQ40" s="69" t="s">
        <v>643</v>
      </c>
      <c r="AR40" s="24"/>
      <c r="AS40" s="115" t="s">
        <v>1169</v>
      </c>
      <c r="AT40" s="114" t="s">
        <v>1189</v>
      </c>
      <c r="AU40" s="114" t="s">
        <v>1191</v>
      </c>
    </row>
    <row r="41" spans="1:47" ht="14.4" customHeight="1" x14ac:dyDescent="0.3">
      <c r="A41" s="3" t="s">
        <v>62</v>
      </c>
      <c r="B41" s="2" t="s">
        <v>1070</v>
      </c>
      <c r="C41" s="3" t="s">
        <v>515</v>
      </c>
      <c r="D41" s="4" t="s">
        <v>357</v>
      </c>
      <c r="E41" s="4"/>
      <c r="F41" s="3" t="s">
        <v>216</v>
      </c>
      <c r="G41" s="60"/>
      <c r="H41" s="73" t="s">
        <v>30</v>
      </c>
      <c r="I41" s="13">
        <v>124631830</v>
      </c>
      <c r="J41" s="62">
        <v>2014</v>
      </c>
      <c r="K41" s="78">
        <v>43678</v>
      </c>
      <c r="L41" s="87">
        <v>43952</v>
      </c>
      <c r="M41" s="12"/>
      <c r="N41" s="56" t="s">
        <v>596</v>
      </c>
      <c r="O41" s="80">
        <v>4292</v>
      </c>
      <c r="P41" s="18" t="s">
        <v>30</v>
      </c>
      <c r="Q41" s="20">
        <v>43844</v>
      </c>
      <c r="R41" s="20">
        <v>43535</v>
      </c>
      <c r="S41" s="22" t="s">
        <v>30</v>
      </c>
      <c r="T41" s="18" t="s">
        <v>30</v>
      </c>
      <c r="U41" s="18" t="s">
        <v>30</v>
      </c>
      <c r="V41" s="22" t="s">
        <v>30</v>
      </c>
      <c r="W41" s="52" t="str">
        <f t="shared" si="15"/>
        <v>NC</v>
      </c>
      <c r="X41" s="18">
        <f t="shared" si="16"/>
        <v>44025</v>
      </c>
      <c r="Y41" s="18">
        <f t="shared" si="17"/>
        <v>43900</v>
      </c>
      <c r="Z41" s="18" t="str">
        <f t="shared" si="18"/>
        <v>NC</v>
      </c>
      <c r="AA41" s="18" t="str">
        <f t="shared" si="19"/>
        <v>NC</v>
      </c>
      <c r="AB41" s="18" t="str">
        <f t="shared" si="20"/>
        <v>NC</v>
      </c>
      <c r="AC41" s="18" t="str">
        <f t="shared" si="21"/>
        <v>NC</v>
      </c>
      <c r="AE41" s="4" t="str">
        <f t="shared" si="22"/>
        <v>NC</v>
      </c>
      <c r="AF41" s="4">
        <f t="shared" ca="1" si="23"/>
        <v>-1562</v>
      </c>
      <c r="AG41" s="4">
        <f t="shared" ca="1" si="24"/>
        <v>-1687</v>
      </c>
      <c r="AH41" s="4" t="str">
        <f t="shared" si="25"/>
        <v>NC</v>
      </c>
      <c r="AI41" s="4" t="str">
        <f t="shared" si="26"/>
        <v>NC</v>
      </c>
      <c r="AJ41" s="4" t="str">
        <f t="shared" si="27"/>
        <v>NC</v>
      </c>
      <c r="AK41" s="4" t="str">
        <f t="shared" si="28"/>
        <v>NC</v>
      </c>
      <c r="AL41" s="24"/>
      <c r="AM41" s="46">
        <f t="shared" si="29"/>
        <v>4.0620777144616205E-2</v>
      </c>
      <c r="AN41" s="15"/>
      <c r="AP41" s="69" t="s">
        <v>643</v>
      </c>
      <c r="AQ41" s="69" t="s">
        <v>643</v>
      </c>
      <c r="AR41" s="24"/>
      <c r="AS41" s="115" t="s">
        <v>1169</v>
      </c>
      <c r="AT41" s="114" t="s">
        <v>1189</v>
      </c>
      <c r="AU41" s="114" t="s">
        <v>1192</v>
      </c>
    </row>
    <row r="42" spans="1:47" s="24" customFormat="1" ht="14.4" customHeight="1" x14ac:dyDescent="0.3">
      <c r="A42" s="16" t="s">
        <v>356</v>
      </c>
      <c r="B42" s="16" t="s">
        <v>1069</v>
      </c>
      <c r="C42" s="3" t="s">
        <v>515</v>
      </c>
      <c r="D42" s="4" t="s">
        <v>357</v>
      </c>
      <c r="E42" s="16"/>
      <c r="F42" s="2" t="s">
        <v>474</v>
      </c>
      <c r="G42" s="60"/>
      <c r="H42" s="73" t="s">
        <v>30</v>
      </c>
      <c r="I42" s="12">
        <v>214740761.16226</v>
      </c>
      <c r="J42" s="60">
        <v>2014</v>
      </c>
      <c r="K42" s="78"/>
      <c r="L42" s="87">
        <v>44075</v>
      </c>
      <c r="M42" s="16"/>
      <c r="N42" s="56" t="s">
        <v>596</v>
      </c>
      <c r="O42" s="81"/>
      <c r="P42" s="18" t="s">
        <v>30</v>
      </c>
      <c r="Q42" s="20">
        <v>43731</v>
      </c>
      <c r="R42" s="20">
        <v>43762</v>
      </c>
      <c r="S42" s="22" t="s">
        <v>30</v>
      </c>
      <c r="T42" s="18" t="s">
        <v>30</v>
      </c>
      <c r="U42" s="18" t="s">
        <v>30</v>
      </c>
      <c r="V42" s="22" t="s">
        <v>30</v>
      </c>
      <c r="W42" s="52" t="str">
        <f t="shared" si="15"/>
        <v>NC</v>
      </c>
      <c r="X42" s="18">
        <f t="shared" si="16"/>
        <v>43912</v>
      </c>
      <c r="Y42" s="18">
        <f t="shared" si="17"/>
        <v>44127</v>
      </c>
      <c r="Z42" s="18" t="str">
        <f t="shared" si="18"/>
        <v>NC</v>
      </c>
      <c r="AA42" s="18" t="str">
        <f t="shared" si="19"/>
        <v>NC</v>
      </c>
      <c r="AB42" s="18" t="str">
        <f t="shared" si="20"/>
        <v>NC</v>
      </c>
      <c r="AC42" s="18" t="str">
        <f t="shared" si="21"/>
        <v>NC</v>
      </c>
      <c r="AE42" s="4" t="str">
        <f t="shared" si="22"/>
        <v>NC</v>
      </c>
      <c r="AF42" s="4">
        <f t="shared" ca="1" si="23"/>
        <v>-1675</v>
      </c>
      <c r="AG42" s="4">
        <f t="shared" ca="1" si="24"/>
        <v>-1460</v>
      </c>
      <c r="AH42" s="4" t="str">
        <f t="shared" si="25"/>
        <v>NC</v>
      </c>
      <c r="AI42" s="4" t="str">
        <f t="shared" si="26"/>
        <v>NC</v>
      </c>
      <c r="AJ42" s="4" t="str">
        <f t="shared" si="27"/>
        <v>NC</v>
      </c>
      <c r="AK42" s="4" t="str">
        <f t="shared" si="28"/>
        <v>NC</v>
      </c>
      <c r="AM42" s="46">
        <f t="shared" si="29"/>
        <v>6.998963750301522E-2</v>
      </c>
      <c r="AP42" s="69" t="s">
        <v>643</v>
      </c>
      <c r="AQ42" s="69" t="s">
        <v>643</v>
      </c>
      <c r="AR42"/>
      <c r="AS42" s="114" t="s">
        <v>1169</v>
      </c>
      <c r="AT42" s="114" t="s">
        <v>1189</v>
      </c>
      <c r="AU42" s="114" t="s">
        <v>1191</v>
      </c>
    </row>
    <row r="43" spans="1:47" ht="14.4" customHeight="1" x14ac:dyDescent="0.3">
      <c r="A43" s="16" t="s">
        <v>878</v>
      </c>
      <c r="B43" s="16" t="s">
        <v>1071</v>
      </c>
      <c r="C43" s="2" t="s">
        <v>516</v>
      </c>
      <c r="D43" s="16" t="s">
        <v>357</v>
      </c>
      <c r="E43" s="16"/>
      <c r="F43" s="2" t="s">
        <v>917</v>
      </c>
      <c r="G43" s="60"/>
      <c r="H43" s="60" t="s">
        <v>30</v>
      </c>
      <c r="I43" s="12">
        <v>214740761.16226</v>
      </c>
      <c r="J43" s="60">
        <v>2017</v>
      </c>
      <c r="K43" s="83"/>
      <c r="L43" s="98">
        <v>43862</v>
      </c>
      <c r="M43" s="16"/>
      <c r="N43" s="84" t="s">
        <v>596</v>
      </c>
      <c r="O43" s="81"/>
      <c r="P43" s="18" t="s">
        <v>30</v>
      </c>
      <c r="Q43" s="20">
        <v>43735</v>
      </c>
      <c r="R43" s="20">
        <v>43757</v>
      </c>
      <c r="S43" s="22" t="s">
        <v>30</v>
      </c>
      <c r="T43" s="18" t="s">
        <v>30</v>
      </c>
      <c r="U43" s="18" t="s">
        <v>30</v>
      </c>
      <c r="V43" s="22" t="s">
        <v>30</v>
      </c>
      <c r="W43" s="52" t="str">
        <f t="shared" si="15"/>
        <v>NC</v>
      </c>
      <c r="X43" s="18">
        <f t="shared" si="16"/>
        <v>43916</v>
      </c>
      <c r="Y43" s="18">
        <f t="shared" si="17"/>
        <v>44122</v>
      </c>
      <c r="Z43" s="18" t="str">
        <f t="shared" si="18"/>
        <v>NC</v>
      </c>
      <c r="AA43" s="18" t="str">
        <f t="shared" si="19"/>
        <v>NC</v>
      </c>
      <c r="AB43" s="18" t="str">
        <f t="shared" si="20"/>
        <v>NC</v>
      </c>
      <c r="AC43" s="18" t="str">
        <f t="shared" si="21"/>
        <v>NC</v>
      </c>
      <c r="AD43" s="24"/>
      <c r="AE43" s="4" t="str">
        <f t="shared" si="22"/>
        <v>NC</v>
      </c>
      <c r="AF43" s="4">
        <f t="shared" ca="1" si="23"/>
        <v>-1671</v>
      </c>
      <c r="AG43" s="4">
        <f t="shared" ca="1" si="24"/>
        <v>-1465</v>
      </c>
      <c r="AH43" s="4" t="str">
        <f t="shared" si="25"/>
        <v>NC</v>
      </c>
      <c r="AI43" s="4" t="str">
        <f t="shared" si="26"/>
        <v>NC</v>
      </c>
      <c r="AJ43" s="4" t="str">
        <f t="shared" si="27"/>
        <v>NC</v>
      </c>
      <c r="AK43" s="4" t="str">
        <f t="shared" si="28"/>
        <v>NC</v>
      </c>
      <c r="AL43" s="24"/>
      <c r="AM43" s="58">
        <f t="shared" si="29"/>
        <v>3.2892656494350449E-2</v>
      </c>
      <c r="AN43" s="24"/>
      <c r="AO43" s="24"/>
      <c r="AP43" s="69" t="s">
        <v>643</v>
      </c>
      <c r="AQ43" s="69" t="s">
        <v>643</v>
      </c>
      <c r="AR43" s="24"/>
      <c r="AS43" s="115" t="s">
        <v>1169</v>
      </c>
      <c r="AT43" s="114" t="s">
        <v>1189</v>
      </c>
      <c r="AU43" s="114" t="s">
        <v>1193</v>
      </c>
    </row>
    <row r="44" spans="1:47" ht="14.4" customHeight="1" x14ac:dyDescent="0.3">
      <c r="A44" s="3" t="s">
        <v>63</v>
      </c>
      <c r="B44" s="16" t="s">
        <v>1071</v>
      </c>
      <c r="C44" s="3" t="s">
        <v>516</v>
      </c>
      <c r="D44" s="4" t="s">
        <v>46</v>
      </c>
      <c r="E44" s="4"/>
      <c r="F44" s="3" t="s">
        <v>217</v>
      </c>
      <c r="G44" s="60"/>
      <c r="H44" s="73" t="s">
        <v>30</v>
      </c>
      <c r="I44" s="12">
        <v>214740761.16226</v>
      </c>
      <c r="J44" s="61">
        <v>2018</v>
      </c>
      <c r="K44" s="78">
        <v>45231</v>
      </c>
      <c r="L44" s="87">
        <v>43831</v>
      </c>
      <c r="M44" s="47"/>
      <c r="N44" s="56" t="s">
        <v>596</v>
      </c>
      <c r="O44" s="80">
        <v>251</v>
      </c>
      <c r="P44" s="39" t="s">
        <v>30</v>
      </c>
      <c r="Q44" s="16" t="s">
        <v>30</v>
      </c>
      <c r="R44" s="40">
        <v>43707</v>
      </c>
      <c r="S44" s="41" t="s">
        <v>30</v>
      </c>
      <c r="T44" s="18" t="s">
        <v>30</v>
      </c>
      <c r="U44" s="18" t="s">
        <v>30</v>
      </c>
      <c r="V44" s="42" t="s">
        <v>30</v>
      </c>
      <c r="W44" s="52" t="str">
        <f t="shared" si="15"/>
        <v>NC</v>
      </c>
      <c r="X44" s="18" t="str">
        <f t="shared" si="16"/>
        <v>NC</v>
      </c>
      <c r="Y44" s="18">
        <f t="shared" si="17"/>
        <v>44072</v>
      </c>
      <c r="Z44" s="18" t="str">
        <f t="shared" si="18"/>
        <v>NC</v>
      </c>
      <c r="AA44" s="18" t="str">
        <f t="shared" si="19"/>
        <v>NC</v>
      </c>
      <c r="AB44" s="18" t="str">
        <f t="shared" si="20"/>
        <v>NC</v>
      </c>
      <c r="AC44" s="18" t="str">
        <f t="shared" si="21"/>
        <v>NC</v>
      </c>
      <c r="AE44" s="4" t="str">
        <f t="shared" si="22"/>
        <v>NC</v>
      </c>
      <c r="AF44" s="4" t="str">
        <f t="shared" si="23"/>
        <v>NC</v>
      </c>
      <c r="AG44" s="4">
        <f t="shared" ca="1" si="24"/>
        <v>-1515</v>
      </c>
      <c r="AH44" s="4" t="str">
        <f t="shared" si="25"/>
        <v>NC</v>
      </c>
      <c r="AI44" s="4" t="str">
        <f t="shared" si="26"/>
        <v>NC</v>
      </c>
      <c r="AJ44" s="4" t="str">
        <f t="shared" si="27"/>
        <v>NC</v>
      </c>
      <c r="AK44" s="4" t="str">
        <f t="shared" si="28"/>
        <v>NC</v>
      </c>
      <c r="AM44" s="46">
        <f t="shared" si="29"/>
        <v>2.0526996158128856E-2</v>
      </c>
      <c r="AN44" s="15"/>
      <c r="AP44" s="69" t="s">
        <v>643</v>
      </c>
      <c r="AQ44" s="69" t="s">
        <v>643</v>
      </c>
      <c r="AS44" s="114" t="s">
        <v>1169</v>
      </c>
      <c r="AT44" s="114" t="s">
        <v>1189</v>
      </c>
      <c r="AU44" s="114" t="s">
        <v>1193</v>
      </c>
    </row>
    <row r="45" spans="1:47" s="53" customFormat="1" ht="14.4" customHeight="1" x14ac:dyDescent="0.3">
      <c r="A45" s="16" t="s">
        <v>660</v>
      </c>
      <c r="B45" s="16" t="s">
        <v>1072</v>
      </c>
      <c r="C45" s="2" t="s">
        <v>516</v>
      </c>
      <c r="D45" s="16" t="s">
        <v>357</v>
      </c>
      <c r="E45" s="16"/>
      <c r="F45" s="2" t="s">
        <v>818</v>
      </c>
      <c r="G45" s="60"/>
      <c r="H45" s="73" t="s">
        <v>30</v>
      </c>
      <c r="I45" s="38">
        <v>136000000</v>
      </c>
      <c r="J45" s="60">
        <v>2018</v>
      </c>
      <c r="K45" s="83"/>
      <c r="L45" s="104">
        <v>43983</v>
      </c>
      <c r="M45" s="16"/>
      <c r="N45" s="84" t="s">
        <v>596</v>
      </c>
      <c r="O45" s="16"/>
      <c r="P45" s="18" t="s">
        <v>30</v>
      </c>
      <c r="Q45" s="20">
        <v>43796</v>
      </c>
      <c r="R45" s="20">
        <v>43626</v>
      </c>
      <c r="S45" s="22" t="s">
        <v>30</v>
      </c>
      <c r="T45" s="18" t="s">
        <v>30</v>
      </c>
      <c r="U45" s="18" t="s">
        <v>30</v>
      </c>
      <c r="V45" s="22" t="s">
        <v>30</v>
      </c>
      <c r="W45" s="52" t="str">
        <f t="shared" si="15"/>
        <v>NC</v>
      </c>
      <c r="X45" s="18">
        <f t="shared" si="16"/>
        <v>43977</v>
      </c>
      <c r="Y45" s="18">
        <f t="shared" si="17"/>
        <v>43991</v>
      </c>
      <c r="Z45" s="18" t="str">
        <f t="shared" si="18"/>
        <v>NC</v>
      </c>
      <c r="AA45" s="18" t="str">
        <f t="shared" si="19"/>
        <v>NC</v>
      </c>
      <c r="AB45" s="18" t="str">
        <f t="shared" si="20"/>
        <v>NC</v>
      </c>
      <c r="AC45" s="18" t="str">
        <f t="shared" si="21"/>
        <v>NC</v>
      </c>
      <c r="AD45" s="24"/>
      <c r="AE45" s="4" t="str">
        <f t="shared" si="22"/>
        <v>NC</v>
      </c>
      <c r="AF45" s="4">
        <f t="shared" ca="1" si="23"/>
        <v>-1610</v>
      </c>
      <c r="AG45" s="4">
        <f t="shared" ca="1" si="24"/>
        <v>-1596</v>
      </c>
      <c r="AH45" s="4" t="str">
        <f t="shared" si="25"/>
        <v>NC</v>
      </c>
      <c r="AI45" s="4" t="str">
        <f t="shared" si="26"/>
        <v>NC</v>
      </c>
      <c r="AJ45" s="4" t="str">
        <f t="shared" si="27"/>
        <v>NC</v>
      </c>
      <c r="AK45" s="4" t="str">
        <f t="shared" si="28"/>
        <v>NC</v>
      </c>
      <c r="AL45" s="24"/>
      <c r="AM45" s="58">
        <f t="shared" si="29"/>
        <v>1.3000193639977429E-2</v>
      </c>
      <c r="AN45" s="24"/>
      <c r="AO45" s="24"/>
      <c r="AP45" s="69" t="s">
        <v>643</v>
      </c>
      <c r="AQ45" s="69" t="s">
        <v>643</v>
      </c>
      <c r="AR45" s="24"/>
      <c r="AS45" s="115" t="s">
        <v>1169</v>
      </c>
      <c r="AT45" s="114" t="s">
        <v>1189</v>
      </c>
      <c r="AU45" s="114" t="s">
        <v>1194</v>
      </c>
    </row>
    <row r="46" spans="1:47" s="24" customFormat="1" ht="14.4" customHeight="1" x14ac:dyDescent="0.3">
      <c r="A46" s="16" t="s">
        <v>664</v>
      </c>
      <c r="B46" s="16" t="s">
        <v>1073</v>
      </c>
      <c r="C46" s="2" t="s">
        <v>516</v>
      </c>
      <c r="D46" s="16" t="s">
        <v>46</v>
      </c>
      <c r="E46" s="16"/>
      <c r="F46" s="2" t="s">
        <v>666</v>
      </c>
      <c r="G46" s="60"/>
      <c r="H46" s="73" t="s">
        <v>30</v>
      </c>
      <c r="I46" s="38">
        <v>108000000</v>
      </c>
      <c r="J46" s="60">
        <v>2017</v>
      </c>
      <c r="K46" s="83"/>
      <c r="L46" s="104">
        <v>43952</v>
      </c>
      <c r="M46" s="16"/>
      <c r="N46" s="84" t="s">
        <v>596</v>
      </c>
      <c r="O46" s="16"/>
      <c r="P46" s="18" t="s">
        <v>30</v>
      </c>
      <c r="Q46" s="20">
        <v>43818</v>
      </c>
      <c r="R46" s="20">
        <v>43868</v>
      </c>
      <c r="S46" s="22" t="s">
        <v>30</v>
      </c>
      <c r="T46" s="18" t="s">
        <v>30</v>
      </c>
      <c r="U46" s="18" t="s">
        <v>30</v>
      </c>
      <c r="V46" s="22" t="s">
        <v>30</v>
      </c>
      <c r="W46" s="52" t="str">
        <f t="shared" si="15"/>
        <v>NC</v>
      </c>
      <c r="X46" s="18">
        <f t="shared" si="16"/>
        <v>43999</v>
      </c>
      <c r="Y46" s="18">
        <f t="shared" si="17"/>
        <v>44233</v>
      </c>
      <c r="Z46" s="18" t="str">
        <f t="shared" si="18"/>
        <v>NC</v>
      </c>
      <c r="AA46" s="18" t="str">
        <f t="shared" si="19"/>
        <v>NC</v>
      </c>
      <c r="AB46" s="18" t="str">
        <f t="shared" si="20"/>
        <v>NC</v>
      </c>
      <c r="AC46" s="18" t="str">
        <f t="shared" si="21"/>
        <v>NC</v>
      </c>
      <c r="AE46" s="4" t="str">
        <f t="shared" si="22"/>
        <v>NC</v>
      </c>
      <c r="AF46" s="4">
        <f t="shared" ca="1" si="23"/>
        <v>-1588</v>
      </c>
      <c r="AG46" s="4">
        <f t="shared" ca="1" si="24"/>
        <v>-1354</v>
      </c>
      <c r="AH46" s="4" t="str">
        <f t="shared" si="25"/>
        <v>NC</v>
      </c>
      <c r="AI46" s="4" t="str">
        <f t="shared" si="26"/>
        <v>NC</v>
      </c>
      <c r="AJ46" s="4" t="str">
        <f t="shared" si="27"/>
        <v>NC</v>
      </c>
      <c r="AK46" s="4" t="str">
        <f t="shared" si="28"/>
        <v>NC</v>
      </c>
      <c r="AM46" s="46">
        <f t="shared" si="29"/>
        <v>1.6542769440523769E-2</v>
      </c>
      <c r="AP46" s="69" t="s">
        <v>643</v>
      </c>
      <c r="AQ46" s="69" t="s">
        <v>643</v>
      </c>
      <c r="AR46"/>
      <c r="AS46" s="114" t="s">
        <v>1169</v>
      </c>
      <c r="AT46" s="114" t="s">
        <v>1189</v>
      </c>
      <c r="AU46" s="114" t="s">
        <v>1195</v>
      </c>
    </row>
    <row r="47" spans="1:47" s="24" customFormat="1" ht="14.4" customHeight="1" x14ac:dyDescent="0.3">
      <c r="A47" s="16" t="s">
        <v>665</v>
      </c>
      <c r="B47" s="16" t="s">
        <v>1074</v>
      </c>
      <c r="C47" s="2" t="s">
        <v>516</v>
      </c>
      <c r="D47" s="16" t="s">
        <v>46</v>
      </c>
      <c r="E47" s="16"/>
      <c r="F47" s="2" t="s">
        <v>667</v>
      </c>
      <c r="G47" s="60"/>
      <c r="H47" s="73" t="s">
        <v>30</v>
      </c>
      <c r="I47" s="38">
        <v>103000000</v>
      </c>
      <c r="J47" s="60">
        <v>2016</v>
      </c>
      <c r="K47" s="83"/>
      <c r="L47" s="104">
        <v>43952</v>
      </c>
      <c r="M47" s="16"/>
      <c r="N47" s="84" t="s">
        <v>596</v>
      </c>
      <c r="O47" s="16"/>
      <c r="P47" s="18" t="s">
        <v>30</v>
      </c>
      <c r="Q47" s="20">
        <v>43818</v>
      </c>
      <c r="R47" s="20">
        <v>43844</v>
      </c>
      <c r="S47" s="22" t="s">
        <v>30</v>
      </c>
      <c r="T47" s="18" t="s">
        <v>30</v>
      </c>
      <c r="U47" s="18" t="s">
        <v>30</v>
      </c>
      <c r="V47" s="22" t="s">
        <v>30</v>
      </c>
      <c r="W47" s="52" t="str">
        <f t="shared" si="15"/>
        <v>NC</v>
      </c>
      <c r="X47" s="18">
        <f t="shared" si="16"/>
        <v>43999</v>
      </c>
      <c r="Y47" s="18">
        <f t="shared" si="17"/>
        <v>44209</v>
      </c>
      <c r="Z47" s="18" t="str">
        <f t="shared" si="18"/>
        <v>NC</v>
      </c>
      <c r="AA47" s="18" t="str">
        <f t="shared" si="19"/>
        <v>NC</v>
      </c>
      <c r="AB47" s="18" t="str">
        <f t="shared" si="20"/>
        <v>NC</v>
      </c>
      <c r="AC47" s="18" t="str">
        <f t="shared" si="21"/>
        <v>NC</v>
      </c>
      <c r="AE47" s="4" t="str">
        <f t="shared" si="22"/>
        <v>NC</v>
      </c>
      <c r="AF47" s="4">
        <f t="shared" ca="1" si="23"/>
        <v>-1588</v>
      </c>
      <c r="AG47" s="4">
        <f t="shared" ca="1" si="24"/>
        <v>-1378</v>
      </c>
      <c r="AH47" s="4" t="str">
        <f t="shared" si="25"/>
        <v>NC</v>
      </c>
      <c r="AI47" s="4" t="str">
        <f t="shared" si="26"/>
        <v>NC</v>
      </c>
      <c r="AJ47" s="4" t="str">
        <f t="shared" si="27"/>
        <v>NC</v>
      </c>
      <c r="AK47" s="4" t="str">
        <f t="shared" si="28"/>
        <v>NC</v>
      </c>
      <c r="AM47" s="46">
        <f t="shared" si="29"/>
        <v>2.1708066080787378E-2</v>
      </c>
      <c r="AP47" s="69" t="s">
        <v>643</v>
      </c>
      <c r="AQ47" s="69" t="s">
        <v>643</v>
      </c>
      <c r="AR47"/>
      <c r="AS47" s="114" t="s">
        <v>1169</v>
      </c>
      <c r="AT47" s="114" t="s">
        <v>1189</v>
      </c>
      <c r="AU47" s="114" t="s">
        <v>1196</v>
      </c>
    </row>
    <row r="48" spans="1:47" s="24" customFormat="1" ht="14.4" customHeight="1" x14ac:dyDescent="0.3">
      <c r="A48" s="16" t="s">
        <v>691</v>
      </c>
      <c r="B48" s="16" t="s">
        <v>1072</v>
      </c>
      <c r="C48" s="2" t="s">
        <v>516</v>
      </c>
      <c r="D48" s="16" t="s">
        <v>357</v>
      </c>
      <c r="E48" s="16"/>
      <c r="F48" s="2" t="s">
        <v>819</v>
      </c>
      <c r="G48" s="60"/>
      <c r="H48" s="73" t="s">
        <v>30</v>
      </c>
      <c r="I48" s="38">
        <v>136000000</v>
      </c>
      <c r="J48" s="60">
        <v>2018</v>
      </c>
      <c r="K48" s="83"/>
      <c r="L48" s="104">
        <v>43983</v>
      </c>
      <c r="M48" s="16"/>
      <c r="N48" s="84" t="s">
        <v>596</v>
      </c>
      <c r="O48" s="16"/>
      <c r="P48" s="18" t="s">
        <v>30</v>
      </c>
      <c r="Q48" s="20">
        <v>43805</v>
      </c>
      <c r="R48" s="20">
        <v>43626</v>
      </c>
      <c r="S48" s="22" t="s">
        <v>30</v>
      </c>
      <c r="T48" s="18" t="s">
        <v>30</v>
      </c>
      <c r="U48" s="18" t="s">
        <v>30</v>
      </c>
      <c r="V48" s="22" t="s">
        <v>30</v>
      </c>
      <c r="W48" s="52" t="str">
        <f t="shared" si="15"/>
        <v>NC</v>
      </c>
      <c r="X48" s="18">
        <f t="shared" si="16"/>
        <v>43986</v>
      </c>
      <c r="Y48" s="18">
        <f t="shared" si="17"/>
        <v>43991</v>
      </c>
      <c r="Z48" s="18" t="str">
        <f t="shared" si="18"/>
        <v>NC</v>
      </c>
      <c r="AA48" s="18" t="str">
        <f t="shared" si="19"/>
        <v>NC</v>
      </c>
      <c r="AB48" s="18" t="str">
        <f t="shared" si="20"/>
        <v>NC</v>
      </c>
      <c r="AC48" s="18" t="str">
        <f t="shared" si="21"/>
        <v>NC</v>
      </c>
      <c r="AE48" s="4" t="str">
        <f t="shared" si="22"/>
        <v>NC</v>
      </c>
      <c r="AF48" s="4">
        <f t="shared" ca="1" si="23"/>
        <v>-1601</v>
      </c>
      <c r="AG48" s="4">
        <f t="shared" ca="1" si="24"/>
        <v>-1596</v>
      </c>
      <c r="AH48" s="4" t="str">
        <f t="shared" si="25"/>
        <v>NC</v>
      </c>
      <c r="AI48" s="4" t="str">
        <f t="shared" si="26"/>
        <v>NC</v>
      </c>
      <c r="AJ48" s="4" t="str">
        <f t="shared" si="27"/>
        <v>NC</v>
      </c>
      <c r="AK48" s="4" t="str">
        <f t="shared" si="28"/>
        <v>NC</v>
      </c>
      <c r="AM48" s="58">
        <f t="shared" si="29"/>
        <v>1.3000193639977429E-2</v>
      </c>
      <c r="AP48" s="69" t="s">
        <v>643</v>
      </c>
      <c r="AQ48" s="69" t="s">
        <v>643</v>
      </c>
      <c r="AS48" s="115" t="s">
        <v>1169</v>
      </c>
      <c r="AT48" s="114" t="s">
        <v>1189</v>
      </c>
      <c r="AU48" s="114" t="s">
        <v>1194</v>
      </c>
    </row>
    <row r="49" spans="1:47" s="24" customFormat="1" ht="14.4" customHeight="1" x14ac:dyDescent="0.3">
      <c r="A49" s="3" t="s">
        <v>64</v>
      </c>
      <c r="B49" s="2" t="s">
        <v>1075</v>
      </c>
      <c r="C49" s="3" t="s">
        <v>517</v>
      </c>
      <c r="D49" s="4" t="s">
        <v>46</v>
      </c>
      <c r="E49" s="4"/>
      <c r="F49" s="3" t="s">
        <v>218</v>
      </c>
      <c r="G49" s="60"/>
      <c r="H49" s="73" t="s">
        <v>30</v>
      </c>
      <c r="I49" s="12">
        <v>202000000</v>
      </c>
      <c r="J49" s="61">
        <v>2008</v>
      </c>
      <c r="K49" s="79" t="s">
        <v>609</v>
      </c>
      <c r="L49" s="87" t="s">
        <v>1022</v>
      </c>
      <c r="M49" s="47"/>
      <c r="N49" s="56" t="s">
        <v>596</v>
      </c>
      <c r="O49" s="80">
        <v>7199</v>
      </c>
      <c r="P49" s="18" t="s">
        <v>30</v>
      </c>
      <c r="Q49" s="16" t="s">
        <v>30</v>
      </c>
      <c r="R49" s="20">
        <v>43722</v>
      </c>
      <c r="S49" s="21" t="s">
        <v>30</v>
      </c>
      <c r="T49" s="18" t="s">
        <v>30</v>
      </c>
      <c r="U49" s="18" t="s">
        <v>30</v>
      </c>
      <c r="V49" s="22" t="s">
        <v>30</v>
      </c>
      <c r="W49" s="52" t="str">
        <f t="shared" si="15"/>
        <v>NC</v>
      </c>
      <c r="X49" s="18" t="str">
        <f t="shared" si="16"/>
        <v>NC</v>
      </c>
      <c r="Y49" s="18">
        <f t="shared" si="17"/>
        <v>44087</v>
      </c>
      <c r="Z49" s="18" t="str">
        <f t="shared" si="18"/>
        <v>NC</v>
      </c>
      <c r="AA49" s="18" t="str">
        <f t="shared" si="19"/>
        <v>NC</v>
      </c>
      <c r="AB49" s="18" t="str">
        <f t="shared" si="20"/>
        <v>NC</v>
      </c>
      <c r="AC49" s="18" t="str">
        <f t="shared" si="21"/>
        <v>NC</v>
      </c>
      <c r="AD49"/>
      <c r="AE49" s="4" t="str">
        <f t="shared" si="22"/>
        <v>NC</v>
      </c>
      <c r="AF49" s="4" t="str">
        <f t="shared" si="23"/>
        <v>NC</v>
      </c>
      <c r="AG49" s="4">
        <f t="shared" ca="1" si="24"/>
        <v>-1500</v>
      </c>
      <c r="AH49" s="4" t="str">
        <f t="shared" si="25"/>
        <v>NC</v>
      </c>
      <c r="AI49" s="4" t="str">
        <f t="shared" si="26"/>
        <v>NC</v>
      </c>
      <c r="AJ49" s="4" t="str">
        <f t="shared" si="27"/>
        <v>NC</v>
      </c>
      <c r="AK49" s="4" t="str">
        <f t="shared" si="28"/>
        <v>NC</v>
      </c>
      <c r="AM49" s="93">
        <f t="shared" si="29"/>
        <v>0.13562905777866027</v>
      </c>
      <c r="AN49" s="15"/>
      <c r="AO49"/>
      <c r="AP49" s="69" t="s">
        <v>643</v>
      </c>
      <c r="AQ49" s="69" t="s">
        <v>643</v>
      </c>
      <c r="AR49"/>
      <c r="AS49" s="114" t="s">
        <v>1169</v>
      </c>
      <c r="AT49" s="114" t="s">
        <v>1197</v>
      </c>
      <c r="AU49" s="114" t="s">
        <v>1198</v>
      </c>
    </row>
    <row r="50" spans="1:47" ht="14.4" customHeight="1" x14ac:dyDescent="0.3">
      <c r="A50" s="3" t="s">
        <v>65</v>
      </c>
      <c r="B50" s="2" t="s">
        <v>1076</v>
      </c>
      <c r="C50" s="3" t="s">
        <v>517</v>
      </c>
      <c r="D50" s="4" t="s">
        <v>46</v>
      </c>
      <c r="E50" s="4"/>
      <c r="F50" s="3" t="s">
        <v>219</v>
      </c>
      <c r="G50" s="60"/>
      <c r="H50" s="73" t="s">
        <v>30</v>
      </c>
      <c r="I50" s="12">
        <v>86586324</v>
      </c>
      <c r="J50" s="61">
        <v>2014</v>
      </c>
      <c r="K50" s="78">
        <v>44470</v>
      </c>
      <c r="L50" s="87">
        <v>43952</v>
      </c>
      <c r="M50" s="47"/>
      <c r="N50" s="56" t="s">
        <v>596</v>
      </c>
      <c r="O50" s="80">
        <v>3935</v>
      </c>
      <c r="P50" s="18" t="s">
        <v>30</v>
      </c>
      <c r="Q50" s="16" t="s">
        <v>30</v>
      </c>
      <c r="R50" s="20">
        <v>43663</v>
      </c>
      <c r="S50" s="21" t="s">
        <v>30</v>
      </c>
      <c r="T50" s="18" t="s">
        <v>30</v>
      </c>
      <c r="U50" s="18" t="s">
        <v>30</v>
      </c>
      <c r="V50" s="22" t="s">
        <v>30</v>
      </c>
      <c r="W50" s="52" t="str">
        <f t="shared" si="15"/>
        <v>NC</v>
      </c>
      <c r="X50" s="18" t="str">
        <f t="shared" si="16"/>
        <v>NC</v>
      </c>
      <c r="Y50" s="18">
        <f t="shared" si="17"/>
        <v>44028</v>
      </c>
      <c r="Z50" s="18" t="str">
        <f t="shared" si="18"/>
        <v>NC</v>
      </c>
      <c r="AA50" s="18" t="str">
        <f t="shared" si="19"/>
        <v>NC</v>
      </c>
      <c r="AB50" s="18" t="str">
        <f t="shared" si="20"/>
        <v>NC</v>
      </c>
      <c r="AC50" s="18" t="str">
        <f t="shared" si="21"/>
        <v>NC</v>
      </c>
      <c r="AE50" s="4" t="str">
        <f t="shared" si="22"/>
        <v>NC</v>
      </c>
      <c r="AF50" s="4" t="str">
        <f t="shared" si="23"/>
        <v>NC</v>
      </c>
      <c r="AG50" s="4">
        <f t="shared" ca="1" si="24"/>
        <v>-1559</v>
      </c>
      <c r="AH50" s="4" t="str">
        <f t="shared" si="25"/>
        <v>NC</v>
      </c>
      <c r="AI50" s="4" t="str">
        <f t="shared" si="26"/>
        <v>NC</v>
      </c>
      <c r="AJ50" s="4" t="str">
        <f t="shared" si="27"/>
        <v>NC</v>
      </c>
      <c r="AK50" s="4" t="str">
        <f t="shared" si="28"/>
        <v>NC</v>
      </c>
      <c r="AL50" s="24"/>
      <c r="AM50" s="46">
        <f t="shared" si="29"/>
        <v>2.8220750437312311E-2</v>
      </c>
      <c r="AN50" s="15"/>
      <c r="AP50" s="69" t="s">
        <v>643</v>
      </c>
      <c r="AQ50" s="69" t="s">
        <v>643</v>
      </c>
      <c r="AS50" s="114" t="s">
        <v>1169</v>
      </c>
      <c r="AT50" s="114" t="s">
        <v>1197</v>
      </c>
      <c r="AU50" s="114" t="s">
        <v>1199</v>
      </c>
    </row>
    <row r="51" spans="1:47" s="24" customFormat="1" ht="14.4" customHeight="1" x14ac:dyDescent="0.3">
      <c r="A51" s="16" t="s">
        <v>638</v>
      </c>
      <c r="B51" s="16" t="s">
        <v>1076</v>
      </c>
      <c r="C51" s="2" t="s">
        <v>517</v>
      </c>
      <c r="D51" s="16" t="s">
        <v>145</v>
      </c>
      <c r="E51" s="16"/>
      <c r="F51" s="2" t="s">
        <v>637</v>
      </c>
      <c r="G51" s="60"/>
      <c r="H51" s="73" t="s">
        <v>30</v>
      </c>
      <c r="I51" s="38">
        <v>105554000</v>
      </c>
      <c r="J51" s="60">
        <v>2019</v>
      </c>
      <c r="K51" s="83"/>
      <c r="L51" s="104">
        <v>44166</v>
      </c>
      <c r="M51" s="16"/>
      <c r="N51" s="84" t="s">
        <v>596</v>
      </c>
      <c r="O51" s="16"/>
      <c r="P51" s="18" t="s">
        <v>30</v>
      </c>
      <c r="Q51" s="18" t="s">
        <v>30</v>
      </c>
      <c r="R51" s="20">
        <v>43677</v>
      </c>
      <c r="S51" s="22" t="s">
        <v>30</v>
      </c>
      <c r="T51" s="18" t="s">
        <v>30</v>
      </c>
      <c r="U51" s="18" t="s">
        <v>30</v>
      </c>
      <c r="V51" s="22" t="s">
        <v>30</v>
      </c>
      <c r="W51" s="52" t="str">
        <f t="shared" si="15"/>
        <v>NC</v>
      </c>
      <c r="X51" s="18" t="str">
        <f t="shared" si="16"/>
        <v>NC</v>
      </c>
      <c r="Y51" s="18">
        <f t="shared" si="17"/>
        <v>44042</v>
      </c>
      <c r="Z51" s="18" t="str">
        <f t="shared" si="18"/>
        <v>NC</v>
      </c>
      <c r="AA51" s="18" t="str">
        <f t="shared" si="19"/>
        <v>NC</v>
      </c>
      <c r="AB51" s="18" t="str">
        <f t="shared" si="20"/>
        <v>NC</v>
      </c>
      <c r="AC51" s="18" t="str">
        <f t="shared" si="21"/>
        <v>NC</v>
      </c>
      <c r="AE51" s="4" t="str">
        <f t="shared" si="22"/>
        <v>NC</v>
      </c>
      <c r="AF51" s="4" t="str">
        <f t="shared" si="23"/>
        <v>NC</v>
      </c>
      <c r="AG51" s="4">
        <f t="shared" ca="1" si="24"/>
        <v>-1545</v>
      </c>
      <c r="AH51" s="4" t="str">
        <f t="shared" si="25"/>
        <v>NC</v>
      </c>
      <c r="AI51" s="4" t="str">
        <f t="shared" si="26"/>
        <v>NC</v>
      </c>
      <c r="AJ51" s="4" t="str">
        <f t="shared" si="27"/>
        <v>NC</v>
      </c>
      <c r="AK51" s="4" t="str">
        <f t="shared" si="28"/>
        <v>NC</v>
      </c>
      <c r="AM51" s="58">
        <f t="shared" si="29"/>
        <v>4.0116354095190683E-3</v>
      </c>
      <c r="AP51" s="69" t="s">
        <v>643</v>
      </c>
      <c r="AQ51" s="69" t="s">
        <v>643</v>
      </c>
      <c r="AS51" s="115" t="s">
        <v>1169</v>
      </c>
      <c r="AT51" s="114" t="s">
        <v>1197</v>
      </c>
      <c r="AU51" s="114" t="s">
        <v>1199</v>
      </c>
    </row>
    <row r="52" spans="1:47" ht="14.4" customHeight="1" x14ac:dyDescent="0.3">
      <c r="A52" s="16" t="s">
        <v>653</v>
      </c>
      <c r="B52" s="16" t="s">
        <v>1077</v>
      </c>
      <c r="C52" s="2" t="s">
        <v>517</v>
      </c>
      <c r="D52" s="16" t="s">
        <v>46</v>
      </c>
      <c r="E52" s="16"/>
      <c r="F52" s="2" t="s">
        <v>654</v>
      </c>
      <c r="G52" s="60"/>
      <c r="H52" s="73" t="s">
        <v>30</v>
      </c>
      <c r="I52" s="38">
        <v>162840000</v>
      </c>
      <c r="J52" s="60">
        <v>2016</v>
      </c>
      <c r="K52" s="83"/>
      <c r="L52" s="55" t="s">
        <v>1022</v>
      </c>
      <c r="M52" s="16"/>
      <c r="N52" s="84" t="s">
        <v>596</v>
      </c>
      <c r="O52" s="16"/>
      <c r="P52" s="18" t="s">
        <v>30</v>
      </c>
      <c r="Q52" s="18" t="s">
        <v>30</v>
      </c>
      <c r="R52" s="20">
        <v>43787</v>
      </c>
      <c r="S52" s="22" t="s">
        <v>30</v>
      </c>
      <c r="T52" s="18" t="s">
        <v>30</v>
      </c>
      <c r="U52" s="18" t="s">
        <v>30</v>
      </c>
      <c r="V52" s="22" t="s">
        <v>30</v>
      </c>
      <c r="W52" s="52" t="str">
        <f t="shared" si="15"/>
        <v>NC</v>
      </c>
      <c r="X52" s="18" t="str">
        <f t="shared" si="16"/>
        <v>NC</v>
      </c>
      <c r="Y52" s="18">
        <f t="shared" si="17"/>
        <v>44152</v>
      </c>
      <c r="Z52" s="18" t="str">
        <f t="shared" si="18"/>
        <v>NC</v>
      </c>
      <c r="AA52" s="18" t="str">
        <f t="shared" si="19"/>
        <v>NC</v>
      </c>
      <c r="AB52" s="18" t="str">
        <f t="shared" si="20"/>
        <v>NC</v>
      </c>
      <c r="AC52" s="18" t="str">
        <f t="shared" si="21"/>
        <v>NC</v>
      </c>
      <c r="AD52" s="24"/>
      <c r="AE52" s="4" t="str">
        <f t="shared" si="22"/>
        <v>NC</v>
      </c>
      <c r="AF52" s="4" t="str">
        <f t="shared" si="23"/>
        <v>NC</v>
      </c>
      <c r="AG52" s="4">
        <f t="shared" ca="1" si="24"/>
        <v>-1435</v>
      </c>
      <c r="AH52" s="4" t="str">
        <f t="shared" si="25"/>
        <v>NC</v>
      </c>
      <c r="AI52" s="4" t="str">
        <f t="shared" si="26"/>
        <v>NC</v>
      </c>
      <c r="AJ52" s="4" t="str">
        <f t="shared" si="27"/>
        <v>NC</v>
      </c>
      <c r="AK52" s="4" t="str">
        <f t="shared" si="28"/>
        <v>NC</v>
      </c>
      <c r="AL52" s="24"/>
      <c r="AM52" s="46">
        <f t="shared" si="29"/>
        <v>3.4319820199955504E-2</v>
      </c>
      <c r="AN52" s="24"/>
      <c r="AO52" s="24"/>
      <c r="AP52" s="69" t="s">
        <v>643</v>
      </c>
      <c r="AQ52" s="69" t="s">
        <v>643</v>
      </c>
      <c r="AR52" s="24"/>
      <c r="AS52" s="115" t="s">
        <v>1169</v>
      </c>
      <c r="AT52" s="114" t="s">
        <v>1197</v>
      </c>
      <c r="AU52" s="114" t="s">
        <v>1198</v>
      </c>
    </row>
    <row r="53" spans="1:47" ht="14.4" customHeight="1" x14ac:dyDescent="0.3">
      <c r="A53" s="16" t="s">
        <v>662</v>
      </c>
      <c r="B53" s="16" t="s">
        <v>1078</v>
      </c>
      <c r="C53" s="2" t="s">
        <v>663</v>
      </c>
      <c r="D53" s="16" t="s">
        <v>46</v>
      </c>
      <c r="E53" s="16"/>
      <c r="F53" s="2" t="s">
        <v>713</v>
      </c>
      <c r="G53" s="60"/>
      <c r="H53" s="73" t="s">
        <v>30</v>
      </c>
      <c r="I53" s="38">
        <v>98000000</v>
      </c>
      <c r="J53" s="60">
        <v>2017</v>
      </c>
      <c r="K53" s="83"/>
      <c r="L53" s="55" t="s">
        <v>1022</v>
      </c>
      <c r="M53" s="16"/>
      <c r="N53" s="84" t="s">
        <v>596</v>
      </c>
      <c r="O53" s="16"/>
      <c r="P53" s="18" t="s">
        <v>30</v>
      </c>
      <c r="Q53" s="18" t="s">
        <v>30</v>
      </c>
      <c r="R53" s="20">
        <v>43768</v>
      </c>
      <c r="S53" s="22" t="s">
        <v>30</v>
      </c>
      <c r="T53" s="18" t="s">
        <v>30</v>
      </c>
      <c r="U53" s="18" t="s">
        <v>30</v>
      </c>
      <c r="V53" s="22" t="s">
        <v>30</v>
      </c>
      <c r="W53" s="52" t="str">
        <f t="shared" si="15"/>
        <v>NC</v>
      </c>
      <c r="X53" s="18" t="str">
        <f t="shared" si="16"/>
        <v>NC</v>
      </c>
      <c r="Y53" s="18">
        <f t="shared" si="17"/>
        <v>44133</v>
      </c>
      <c r="Z53" s="18" t="str">
        <f t="shared" si="18"/>
        <v>NC</v>
      </c>
      <c r="AA53" s="18" t="str">
        <f t="shared" si="19"/>
        <v>NC</v>
      </c>
      <c r="AB53" s="18" t="str">
        <f t="shared" si="20"/>
        <v>NC</v>
      </c>
      <c r="AC53" s="18" t="str">
        <f t="shared" si="21"/>
        <v>NC</v>
      </c>
      <c r="AD53" s="24"/>
      <c r="AE53" s="4" t="str">
        <f t="shared" si="22"/>
        <v>NC</v>
      </c>
      <c r="AF53" s="4" t="str">
        <f t="shared" si="23"/>
        <v>NC</v>
      </c>
      <c r="AG53" s="4">
        <f t="shared" ca="1" si="24"/>
        <v>-1454</v>
      </c>
      <c r="AH53" s="4" t="str">
        <f t="shared" si="25"/>
        <v>NC</v>
      </c>
      <c r="AI53" s="4" t="str">
        <f t="shared" si="26"/>
        <v>NC</v>
      </c>
      <c r="AJ53" s="4" t="str">
        <f t="shared" si="27"/>
        <v>NC</v>
      </c>
      <c r="AK53" s="4" t="str">
        <f t="shared" si="28"/>
        <v>NC</v>
      </c>
      <c r="AL53" s="24"/>
      <c r="AM53" s="46">
        <f t="shared" si="29"/>
        <v>1.5011031529364161E-2</v>
      </c>
      <c r="AN53" s="24"/>
      <c r="AO53" s="24"/>
      <c r="AP53" s="69" t="s">
        <v>643</v>
      </c>
      <c r="AQ53" s="69" t="s">
        <v>643</v>
      </c>
      <c r="AS53" s="114" t="s">
        <v>1169</v>
      </c>
      <c r="AT53" s="114" t="s">
        <v>1197</v>
      </c>
      <c r="AU53" s="114" t="s">
        <v>1200</v>
      </c>
    </row>
    <row r="54" spans="1:47" s="54" customFormat="1" ht="14.4" customHeight="1" x14ac:dyDescent="0.3">
      <c r="A54" s="16" t="s">
        <v>723</v>
      </c>
      <c r="B54" s="16" t="s">
        <v>1079</v>
      </c>
      <c r="C54" s="2" t="s">
        <v>517</v>
      </c>
      <c r="D54" s="16" t="s">
        <v>46</v>
      </c>
      <c r="E54" s="16"/>
      <c r="F54" s="2" t="s">
        <v>722</v>
      </c>
      <c r="G54" s="60"/>
      <c r="H54" s="73" t="s">
        <v>30</v>
      </c>
      <c r="I54" s="38">
        <v>128000000</v>
      </c>
      <c r="J54" s="60">
        <v>2018</v>
      </c>
      <c r="K54" s="83"/>
      <c r="L54" s="104">
        <v>43952</v>
      </c>
      <c r="M54" s="16"/>
      <c r="N54" s="84" t="s">
        <v>595</v>
      </c>
      <c r="O54" s="16"/>
      <c r="P54" s="18" t="s">
        <v>30</v>
      </c>
      <c r="Q54" s="18" t="s">
        <v>30</v>
      </c>
      <c r="R54" s="20">
        <v>43724</v>
      </c>
      <c r="S54" s="22" t="s">
        <v>30</v>
      </c>
      <c r="T54" s="18" t="s">
        <v>30</v>
      </c>
      <c r="U54" s="18" t="s">
        <v>30</v>
      </c>
      <c r="V54" s="22" t="s">
        <v>30</v>
      </c>
      <c r="W54" s="52" t="str">
        <f t="shared" si="15"/>
        <v>NC</v>
      </c>
      <c r="X54" s="18" t="str">
        <f t="shared" si="16"/>
        <v>NC</v>
      </c>
      <c r="Y54" s="18">
        <f t="shared" si="17"/>
        <v>44089</v>
      </c>
      <c r="Z54" s="18" t="str">
        <f t="shared" si="18"/>
        <v>NC</v>
      </c>
      <c r="AA54" s="18" t="str">
        <f t="shared" si="19"/>
        <v>NC</v>
      </c>
      <c r="AB54" s="18" t="str">
        <f t="shared" si="20"/>
        <v>NC</v>
      </c>
      <c r="AC54" s="18" t="str">
        <f t="shared" si="21"/>
        <v>NC</v>
      </c>
      <c r="AD54" s="24"/>
      <c r="AE54" s="4" t="str">
        <f t="shared" si="22"/>
        <v>NC</v>
      </c>
      <c r="AF54" s="4" t="str">
        <f t="shared" si="23"/>
        <v>NC</v>
      </c>
      <c r="AG54" s="4">
        <f t="shared" ca="1" si="24"/>
        <v>-1498</v>
      </c>
      <c r="AH54" s="4" t="str">
        <f t="shared" si="25"/>
        <v>NC</v>
      </c>
      <c r="AI54" s="4" t="str">
        <f t="shared" si="26"/>
        <v>NC</v>
      </c>
      <c r="AJ54" s="4" t="str">
        <f t="shared" si="27"/>
        <v>NC</v>
      </c>
      <c r="AK54" s="4" t="str">
        <f t="shared" si="28"/>
        <v>NC</v>
      </c>
      <c r="AL54" s="24"/>
      <c r="AM54" s="58">
        <f t="shared" si="29"/>
        <v>1.2235476367037581E-2</v>
      </c>
      <c r="AN54" s="24"/>
      <c r="AO54" s="24"/>
      <c r="AP54" s="69" t="s">
        <v>643</v>
      </c>
      <c r="AQ54" s="69" t="s">
        <v>643</v>
      </c>
      <c r="AR54" s="24"/>
      <c r="AS54" s="115" t="s">
        <v>1169</v>
      </c>
      <c r="AT54" s="114" t="s">
        <v>1197</v>
      </c>
      <c r="AU54" s="114" t="s">
        <v>1201</v>
      </c>
    </row>
    <row r="55" spans="1:47" s="24" customFormat="1" ht="14.4" customHeight="1" x14ac:dyDescent="0.3">
      <c r="A55" s="16" t="s">
        <v>375</v>
      </c>
      <c r="B55" s="2" t="s">
        <v>1080</v>
      </c>
      <c r="C55" s="3" t="s">
        <v>518</v>
      </c>
      <c r="D55" s="16" t="s">
        <v>46</v>
      </c>
      <c r="E55" s="16"/>
      <c r="F55" s="2" t="s">
        <v>376</v>
      </c>
      <c r="G55" s="60"/>
      <c r="H55" s="73" t="s">
        <v>30</v>
      </c>
      <c r="I55" s="13">
        <v>245000000</v>
      </c>
      <c r="J55" s="62">
        <v>2017</v>
      </c>
      <c r="K55" s="78"/>
      <c r="L55" s="98">
        <v>43831</v>
      </c>
      <c r="M55" s="55" t="s">
        <v>1020</v>
      </c>
      <c r="N55" s="56" t="s">
        <v>596</v>
      </c>
      <c r="O55" s="81">
        <v>2679</v>
      </c>
      <c r="P55" s="18" t="s">
        <v>30</v>
      </c>
      <c r="Q55" s="18" t="s">
        <v>30</v>
      </c>
      <c r="R55" s="20">
        <v>43714</v>
      </c>
      <c r="S55" s="22" t="s">
        <v>30</v>
      </c>
      <c r="T55" s="18" t="s">
        <v>30</v>
      </c>
      <c r="U55" s="18" t="s">
        <v>30</v>
      </c>
      <c r="V55" s="22" t="s">
        <v>30</v>
      </c>
      <c r="W55" s="52" t="str">
        <f t="shared" si="15"/>
        <v>NC</v>
      </c>
      <c r="X55" s="18" t="str">
        <f t="shared" si="16"/>
        <v>NC</v>
      </c>
      <c r="Y55" s="18">
        <f t="shared" si="17"/>
        <v>44079</v>
      </c>
      <c r="Z55" s="18" t="str">
        <f t="shared" si="18"/>
        <v>NC</v>
      </c>
      <c r="AA55" s="18" t="str">
        <f t="shared" si="19"/>
        <v>NC</v>
      </c>
      <c r="AB55" s="18" t="str">
        <f t="shared" si="20"/>
        <v>NC</v>
      </c>
      <c r="AC55" s="18" t="str">
        <f t="shared" si="21"/>
        <v>NC</v>
      </c>
      <c r="AE55" s="4" t="str">
        <f t="shared" si="22"/>
        <v>NC</v>
      </c>
      <c r="AF55" s="4" t="str">
        <f t="shared" si="23"/>
        <v>NC</v>
      </c>
      <c r="AG55" s="4">
        <f t="shared" ca="1" si="24"/>
        <v>-1508</v>
      </c>
      <c r="AH55" s="4" t="str">
        <f t="shared" si="25"/>
        <v>NC</v>
      </c>
      <c r="AI55" s="4" t="str">
        <f t="shared" si="26"/>
        <v>NC</v>
      </c>
      <c r="AJ55" s="4" t="str">
        <f t="shared" si="27"/>
        <v>NC</v>
      </c>
      <c r="AK55" s="4" t="str">
        <f t="shared" si="28"/>
        <v>NC</v>
      </c>
      <c r="AM55" s="46">
        <f t="shared" si="29"/>
        <v>3.7527578823410401E-2</v>
      </c>
      <c r="AP55" s="69" t="s">
        <v>643</v>
      </c>
      <c r="AQ55" s="69" t="s">
        <v>643</v>
      </c>
      <c r="AS55" s="115" t="s">
        <v>1169</v>
      </c>
      <c r="AT55" s="114" t="s">
        <v>1202</v>
      </c>
      <c r="AU55" s="114" t="s">
        <v>1203</v>
      </c>
    </row>
    <row r="56" spans="1:47" s="24" customFormat="1" ht="14.4" customHeight="1" x14ac:dyDescent="0.3">
      <c r="A56" s="3" t="s">
        <v>3</v>
      </c>
      <c r="B56" s="2" t="s">
        <v>1080</v>
      </c>
      <c r="C56" s="3" t="s">
        <v>519</v>
      </c>
      <c r="D56" s="4" t="s">
        <v>46</v>
      </c>
      <c r="E56" s="4"/>
      <c r="F56" s="3" t="s">
        <v>220</v>
      </c>
      <c r="G56" s="60"/>
      <c r="H56" s="73" t="s">
        <v>30</v>
      </c>
      <c r="I56" s="13">
        <v>245000000</v>
      </c>
      <c r="J56" s="62">
        <v>2012</v>
      </c>
      <c r="K56" s="78">
        <v>43983</v>
      </c>
      <c r="L56" s="87">
        <v>43983</v>
      </c>
      <c r="M56" s="47"/>
      <c r="N56" s="56" t="s">
        <v>596</v>
      </c>
      <c r="O56" s="80">
        <v>5833</v>
      </c>
      <c r="P56" s="18" t="s">
        <v>30</v>
      </c>
      <c r="Q56" s="18" t="s">
        <v>30</v>
      </c>
      <c r="R56" s="20">
        <v>43853</v>
      </c>
      <c r="S56" s="21" t="s">
        <v>30</v>
      </c>
      <c r="T56" s="18" t="s">
        <v>30</v>
      </c>
      <c r="U56" s="18" t="s">
        <v>30</v>
      </c>
      <c r="V56" s="22" t="s">
        <v>30</v>
      </c>
      <c r="W56" s="52" t="str">
        <f t="shared" si="15"/>
        <v>NC</v>
      </c>
      <c r="X56" s="18" t="str">
        <f t="shared" si="16"/>
        <v>NC</v>
      </c>
      <c r="Y56" s="18">
        <f t="shared" si="17"/>
        <v>44218</v>
      </c>
      <c r="Z56" s="18" t="str">
        <f t="shared" si="18"/>
        <v>NC</v>
      </c>
      <c r="AA56" s="18" t="str">
        <f t="shared" si="19"/>
        <v>NC</v>
      </c>
      <c r="AB56" s="18" t="str">
        <f t="shared" si="20"/>
        <v>NC</v>
      </c>
      <c r="AC56" s="18" t="str">
        <f t="shared" si="21"/>
        <v>NC</v>
      </c>
      <c r="AD56"/>
      <c r="AE56" s="4" t="str">
        <f t="shared" si="22"/>
        <v>NC</v>
      </c>
      <c r="AF56" s="4" t="str">
        <f t="shared" si="23"/>
        <v>NC</v>
      </c>
      <c r="AG56" s="4">
        <f t="shared" ca="1" si="24"/>
        <v>-1369</v>
      </c>
      <c r="AH56" s="4" t="str">
        <f t="shared" si="25"/>
        <v>NC</v>
      </c>
      <c r="AI56" s="4" t="str">
        <f t="shared" si="26"/>
        <v>NC</v>
      </c>
      <c r="AJ56" s="4" t="str">
        <f t="shared" si="27"/>
        <v>NC</v>
      </c>
      <c r="AK56" s="4" t="str">
        <f t="shared" si="28"/>
        <v>NC</v>
      </c>
      <c r="AM56" s="93">
        <f t="shared" si="29"/>
        <v>0.10806814052154809</v>
      </c>
      <c r="AN56" s="15"/>
      <c r="AO56"/>
      <c r="AP56" s="69" t="s">
        <v>643</v>
      </c>
      <c r="AQ56" s="69" t="s">
        <v>643</v>
      </c>
      <c r="AR56"/>
      <c r="AS56" s="114" t="s">
        <v>1169</v>
      </c>
      <c r="AT56" s="114" t="s">
        <v>1202</v>
      </c>
      <c r="AU56" s="114" t="s">
        <v>1203</v>
      </c>
    </row>
    <row r="57" spans="1:47" ht="14.4" customHeight="1" x14ac:dyDescent="0.3">
      <c r="A57" s="3" t="s">
        <v>37</v>
      </c>
      <c r="B57" s="2" t="s">
        <v>1081</v>
      </c>
      <c r="C57" s="3" t="s">
        <v>520</v>
      </c>
      <c r="D57" s="4" t="s">
        <v>46</v>
      </c>
      <c r="E57" s="4"/>
      <c r="F57" s="3" t="s">
        <v>221</v>
      </c>
      <c r="G57" s="60"/>
      <c r="H57" s="73" t="s">
        <v>30</v>
      </c>
      <c r="I57" s="13">
        <v>267500000</v>
      </c>
      <c r="J57" s="62">
        <v>2010</v>
      </c>
      <c r="K57" s="79" t="s">
        <v>609</v>
      </c>
      <c r="L57" s="87">
        <v>43952</v>
      </c>
      <c r="M57" s="47"/>
      <c r="N57" s="56" t="s">
        <v>596</v>
      </c>
      <c r="O57" s="80">
        <v>7774</v>
      </c>
      <c r="P57" s="18" t="s">
        <v>30</v>
      </c>
      <c r="Q57" s="18" t="s">
        <v>30</v>
      </c>
      <c r="R57" s="20">
        <v>43876</v>
      </c>
      <c r="S57" s="21" t="s">
        <v>30</v>
      </c>
      <c r="T57" s="18" t="s">
        <v>30</v>
      </c>
      <c r="U57" s="18" t="s">
        <v>30</v>
      </c>
      <c r="V57" s="22" t="s">
        <v>30</v>
      </c>
      <c r="W57" s="52" t="str">
        <f t="shared" si="15"/>
        <v>NC</v>
      </c>
      <c r="X57" s="18" t="str">
        <f t="shared" si="16"/>
        <v>NC</v>
      </c>
      <c r="Y57" s="18">
        <f t="shared" si="17"/>
        <v>44241</v>
      </c>
      <c r="Z57" s="18" t="str">
        <f t="shared" si="18"/>
        <v>NC</v>
      </c>
      <c r="AA57" s="18" t="str">
        <f t="shared" si="19"/>
        <v>NC</v>
      </c>
      <c r="AB57" s="18" t="str">
        <f t="shared" si="20"/>
        <v>NC</v>
      </c>
      <c r="AC57" s="18" t="str">
        <f t="shared" si="21"/>
        <v>NC</v>
      </c>
      <c r="AE57" s="4" t="str">
        <f t="shared" si="22"/>
        <v>NC</v>
      </c>
      <c r="AF57" s="4" t="str">
        <f t="shared" si="23"/>
        <v>NC</v>
      </c>
      <c r="AG57" s="4">
        <f t="shared" ca="1" si="24"/>
        <v>-1346</v>
      </c>
      <c r="AH57" s="4" t="str">
        <f t="shared" si="25"/>
        <v>NC</v>
      </c>
      <c r="AI57" s="4" t="str">
        <f t="shared" si="26"/>
        <v>NC</v>
      </c>
      <c r="AJ57" s="4" t="str">
        <f t="shared" si="27"/>
        <v>NC</v>
      </c>
      <c r="AK57" s="4" t="str">
        <f t="shared" si="28"/>
        <v>NC</v>
      </c>
      <c r="AL57" s="24"/>
      <c r="AM57" s="93">
        <f t="shared" si="29"/>
        <v>0.14880027629067286</v>
      </c>
      <c r="AN57" s="15"/>
      <c r="AP57" s="69" t="s">
        <v>643</v>
      </c>
      <c r="AQ57" s="69" t="s">
        <v>643</v>
      </c>
      <c r="AS57" s="114" t="s">
        <v>1169</v>
      </c>
      <c r="AT57" s="114" t="s">
        <v>1204</v>
      </c>
      <c r="AU57" s="114" t="s">
        <v>1205</v>
      </c>
    </row>
    <row r="58" spans="1:47" ht="14.4" customHeight="1" x14ac:dyDescent="0.3">
      <c r="A58" s="2" t="s">
        <v>883</v>
      </c>
      <c r="B58" s="2" t="s">
        <v>1081</v>
      </c>
      <c r="C58" s="2" t="s">
        <v>520</v>
      </c>
      <c r="D58" s="16" t="s">
        <v>46</v>
      </c>
      <c r="E58" s="16"/>
      <c r="F58" s="2" t="s">
        <v>877</v>
      </c>
      <c r="G58" s="60"/>
      <c r="H58" s="60" t="s">
        <v>30</v>
      </c>
      <c r="I58" s="43">
        <v>267500000</v>
      </c>
      <c r="J58" s="63">
        <v>2012</v>
      </c>
      <c r="K58" s="83"/>
      <c r="L58" s="77" t="s">
        <v>1022</v>
      </c>
      <c r="M58" s="84"/>
      <c r="N58" s="84" t="s">
        <v>596</v>
      </c>
      <c r="O58" s="84"/>
      <c r="P58" s="18" t="s">
        <v>30</v>
      </c>
      <c r="Q58" s="18" t="s">
        <v>30</v>
      </c>
      <c r="R58" s="20">
        <v>43864</v>
      </c>
      <c r="S58" s="21" t="s">
        <v>30</v>
      </c>
      <c r="T58" s="18" t="s">
        <v>30</v>
      </c>
      <c r="U58" s="18" t="s">
        <v>30</v>
      </c>
      <c r="V58" s="22" t="s">
        <v>30</v>
      </c>
      <c r="W58" s="52" t="str">
        <f t="shared" si="15"/>
        <v>NC</v>
      </c>
      <c r="X58" s="18" t="str">
        <f t="shared" si="16"/>
        <v>NC</v>
      </c>
      <c r="Y58" s="18">
        <f t="shared" si="17"/>
        <v>44229</v>
      </c>
      <c r="Z58" s="18" t="str">
        <f t="shared" si="18"/>
        <v>NC</v>
      </c>
      <c r="AA58" s="18" t="str">
        <f t="shared" si="19"/>
        <v>NC</v>
      </c>
      <c r="AB58" s="18" t="str">
        <f t="shared" si="20"/>
        <v>NC</v>
      </c>
      <c r="AC58" s="18" t="str">
        <f t="shared" si="21"/>
        <v>NC</v>
      </c>
      <c r="AD58" s="24"/>
      <c r="AE58" s="4" t="str">
        <f t="shared" si="22"/>
        <v>NC</v>
      </c>
      <c r="AF58" s="4" t="str">
        <f t="shared" si="23"/>
        <v>NC</v>
      </c>
      <c r="AG58" s="4">
        <f t="shared" ca="1" si="24"/>
        <v>-1358</v>
      </c>
      <c r="AH58" s="4" t="str">
        <f t="shared" si="25"/>
        <v>NC</v>
      </c>
      <c r="AI58" s="4" t="str">
        <f t="shared" si="26"/>
        <v>NC</v>
      </c>
      <c r="AJ58" s="4" t="str">
        <f t="shared" si="27"/>
        <v>NC</v>
      </c>
      <c r="AK58" s="4" t="str">
        <f t="shared" si="28"/>
        <v>NC</v>
      </c>
      <c r="AL58" s="24"/>
      <c r="AM58" s="93">
        <f t="shared" si="29"/>
        <v>0.11799276567148619</v>
      </c>
      <c r="AN58" s="48"/>
      <c r="AO58" s="24"/>
      <c r="AP58" s="69" t="s">
        <v>643</v>
      </c>
      <c r="AQ58" s="69" t="s">
        <v>643</v>
      </c>
      <c r="AR58" s="24"/>
      <c r="AS58" s="115" t="s">
        <v>1169</v>
      </c>
      <c r="AT58" s="114" t="s">
        <v>1204</v>
      </c>
      <c r="AU58" s="114" t="s">
        <v>1205</v>
      </c>
    </row>
    <row r="59" spans="1:47" ht="14.4" customHeight="1" x14ac:dyDescent="0.3">
      <c r="A59" s="3" t="s">
        <v>38</v>
      </c>
      <c r="B59" s="2" t="s">
        <v>1082</v>
      </c>
      <c r="C59" s="3" t="s">
        <v>520</v>
      </c>
      <c r="D59" s="4" t="s">
        <v>46</v>
      </c>
      <c r="E59" s="4"/>
      <c r="F59" s="3" t="s">
        <v>222</v>
      </c>
      <c r="G59" s="105"/>
      <c r="H59" s="73" t="s">
        <v>30</v>
      </c>
      <c r="I59" s="13">
        <v>141030755</v>
      </c>
      <c r="J59" s="62">
        <v>2014</v>
      </c>
      <c r="K59" s="78">
        <v>44409</v>
      </c>
      <c r="L59" s="87">
        <v>43952</v>
      </c>
      <c r="M59" s="47"/>
      <c r="N59" s="56" t="s">
        <v>596</v>
      </c>
      <c r="O59" s="80">
        <v>4960</v>
      </c>
      <c r="P59" s="18" t="s">
        <v>30</v>
      </c>
      <c r="Q59" s="18" t="s">
        <v>30</v>
      </c>
      <c r="R59" s="20">
        <v>43670</v>
      </c>
      <c r="S59" s="21" t="s">
        <v>30</v>
      </c>
      <c r="T59" s="18" t="s">
        <v>30</v>
      </c>
      <c r="U59" s="18" t="s">
        <v>30</v>
      </c>
      <c r="V59" s="22" t="s">
        <v>30</v>
      </c>
      <c r="W59" s="52" t="str">
        <f t="shared" si="15"/>
        <v>NC</v>
      </c>
      <c r="X59" s="18" t="str">
        <f t="shared" si="16"/>
        <v>NC</v>
      </c>
      <c r="Y59" s="18">
        <f t="shared" si="17"/>
        <v>44035</v>
      </c>
      <c r="Z59" s="18" t="str">
        <f t="shared" si="18"/>
        <v>NC</v>
      </c>
      <c r="AA59" s="18" t="str">
        <f t="shared" si="19"/>
        <v>NC</v>
      </c>
      <c r="AB59" s="18" t="str">
        <f t="shared" si="20"/>
        <v>NC</v>
      </c>
      <c r="AC59" s="18" t="str">
        <f t="shared" si="21"/>
        <v>NC</v>
      </c>
      <c r="AE59" s="4" t="str">
        <f t="shared" si="22"/>
        <v>NC</v>
      </c>
      <c r="AF59" s="4" t="str">
        <f t="shared" si="23"/>
        <v>NC</v>
      </c>
      <c r="AG59" s="4">
        <f t="shared" ca="1" si="24"/>
        <v>-1552</v>
      </c>
      <c r="AH59" s="4" t="str">
        <f t="shared" si="25"/>
        <v>NC</v>
      </c>
      <c r="AI59" s="4" t="str">
        <f t="shared" si="26"/>
        <v>NC</v>
      </c>
      <c r="AJ59" s="4" t="str">
        <f t="shared" si="27"/>
        <v>NC</v>
      </c>
      <c r="AK59" s="4" t="str">
        <f t="shared" si="28"/>
        <v>NC</v>
      </c>
      <c r="AL59" s="24"/>
      <c r="AM59" s="46">
        <f t="shared" si="29"/>
        <v>4.5965616242592017E-2</v>
      </c>
      <c r="AN59" s="15"/>
      <c r="AP59" s="69" t="s">
        <v>643</v>
      </c>
      <c r="AQ59" s="69" t="s">
        <v>643</v>
      </c>
      <c r="AS59" s="114" t="s">
        <v>1169</v>
      </c>
      <c r="AT59" s="114" t="s">
        <v>1204</v>
      </c>
      <c r="AU59" s="114" t="s">
        <v>1206</v>
      </c>
    </row>
    <row r="60" spans="1:47" ht="14.4" customHeight="1" x14ac:dyDescent="0.3">
      <c r="A60" s="2" t="s">
        <v>154</v>
      </c>
      <c r="B60" s="2" t="s">
        <v>1082</v>
      </c>
      <c r="C60" s="3" t="s">
        <v>520</v>
      </c>
      <c r="D60" s="16" t="s">
        <v>145</v>
      </c>
      <c r="E60" s="16"/>
      <c r="F60" s="3" t="s">
        <v>223</v>
      </c>
      <c r="H60" s="73" t="s">
        <v>30</v>
      </c>
      <c r="I60" s="13">
        <v>141030755</v>
      </c>
      <c r="J60" s="63">
        <v>2014</v>
      </c>
      <c r="K60" s="78">
        <v>44136</v>
      </c>
      <c r="L60" s="87">
        <v>44166</v>
      </c>
      <c r="M60" s="38"/>
      <c r="N60" s="56" t="s">
        <v>596</v>
      </c>
      <c r="O60" s="81">
        <v>5946</v>
      </c>
      <c r="P60" s="18" t="s">
        <v>30</v>
      </c>
      <c r="Q60" s="18" t="s">
        <v>30</v>
      </c>
      <c r="R60" s="20">
        <v>43696</v>
      </c>
      <c r="S60" s="21" t="s">
        <v>30</v>
      </c>
      <c r="T60" s="18" t="s">
        <v>30</v>
      </c>
      <c r="U60" s="18" t="s">
        <v>30</v>
      </c>
      <c r="V60" s="22" t="s">
        <v>30</v>
      </c>
      <c r="W60" s="52" t="str">
        <f t="shared" si="15"/>
        <v>NC</v>
      </c>
      <c r="X60" s="18" t="str">
        <f t="shared" si="16"/>
        <v>NC</v>
      </c>
      <c r="Y60" s="18">
        <f t="shared" si="17"/>
        <v>44061</v>
      </c>
      <c r="Z60" s="18" t="str">
        <f t="shared" si="18"/>
        <v>NC</v>
      </c>
      <c r="AA60" s="18" t="str">
        <f t="shared" si="19"/>
        <v>NC</v>
      </c>
      <c r="AB60" s="18" t="str">
        <f t="shared" si="20"/>
        <v>NC</v>
      </c>
      <c r="AC60" s="18" t="str">
        <f t="shared" si="21"/>
        <v>NC</v>
      </c>
      <c r="AE60" s="4" t="str">
        <f t="shared" si="22"/>
        <v>NC</v>
      </c>
      <c r="AF60" s="4" t="str">
        <f t="shared" si="23"/>
        <v>NC</v>
      </c>
      <c r="AG60" s="4">
        <f t="shared" ca="1" si="24"/>
        <v>-1526</v>
      </c>
      <c r="AH60" s="4" t="str">
        <f t="shared" si="25"/>
        <v>NC</v>
      </c>
      <c r="AI60" s="4" t="str">
        <f t="shared" si="26"/>
        <v>NC</v>
      </c>
      <c r="AJ60" s="4" t="str">
        <f t="shared" si="27"/>
        <v>NC</v>
      </c>
      <c r="AK60" s="4" t="str">
        <f t="shared" si="28"/>
        <v>NC</v>
      </c>
      <c r="AL60" s="24"/>
      <c r="AM60" s="46">
        <f t="shared" si="29"/>
        <v>4.5965616242592017E-2</v>
      </c>
      <c r="AN60" s="15"/>
      <c r="AP60" s="69" t="s">
        <v>643</v>
      </c>
      <c r="AQ60" s="69" t="s">
        <v>643</v>
      </c>
      <c r="AR60" s="54"/>
      <c r="AS60" s="114" t="s">
        <v>1169</v>
      </c>
      <c r="AT60" s="114" t="s">
        <v>1204</v>
      </c>
      <c r="AU60" s="114" t="s">
        <v>1206</v>
      </c>
    </row>
    <row r="61" spans="1:47" s="124" customFormat="1" ht="14.4" customHeight="1" x14ac:dyDescent="0.3">
      <c r="A61" s="117" t="s">
        <v>776</v>
      </c>
      <c r="B61" s="117" t="s">
        <v>1404</v>
      </c>
      <c r="C61" s="117" t="s">
        <v>778</v>
      </c>
      <c r="D61" s="116" t="s">
        <v>357</v>
      </c>
      <c r="E61" s="116" t="s">
        <v>925</v>
      </c>
      <c r="F61" s="117" t="s">
        <v>924</v>
      </c>
      <c r="G61" s="120"/>
      <c r="H61" s="120" t="s">
        <v>30</v>
      </c>
      <c r="I61" s="130">
        <v>30423000</v>
      </c>
      <c r="J61" s="131">
        <v>2019</v>
      </c>
      <c r="K61" s="132"/>
      <c r="L61" s="133"/>
      <c r="M61" s="134"/>
      <c r="N61" s="135" t="s">
        <v>595</v>
      </c>
      <c r="O61" s="136"/>
      <c r="P61" s="57" t="s">
        <v>30</v>
      </c>
      <c r="Q61" s="57" t="s">
        <v>30</v>
      </c>
      <c r="R61" s="57" t="s">
        <v>30</v>
      </c>
      <c r="S61" s="118" t="s">
        <v>30</v>
      </c>
      <c r="T61" s="57" t="s">
        <v>30</v>
      </c>
      <c r="U61" s="57" t="s">
        <v>30</v>
      </c>
      <c r="V61" s="34" t="s">
        <v>30</v>
      </c>
      <c r="W61" s="137" t="str">
        <f t="shared" si="15"/>
        <v>NC</v>
      </c>
      <c r="X61" s="57" t="str">
        <f t="shared" si="16"/>
        <v>NC</v>
      </c>
      <c r="Y61" s="57" t="str">
        <f t="shared" si="17"/>
        <v>NC</v>
      </c>
      <c r="Z61" s="57" t="str">
        <f t="shared" si="18"/>
        <v>NC</v>
      </c>
      <c r="AA61" s="57" t="str">
        <f t="shared" si="19"/>
        <v>NC</v>
      </c>
      <c r="AB61" s="57" t="str">
        <f t="shared" si="20"/>
        <v>NC</v>
      </c>
      <c r="AC61" s="57" t="str">
        <f t="shared" si="21"/>
        <v>NC</v>
      </c>
      <c r="AD61" s="138"/>
      <c r="AE61" s="123" t="str">
        <f t="shared" si="22"/>
        <v>NC</v>
      </c>
      <c r="AF61" s="123" t="str">
        <f t="shared" si="23"/>
        <v>NC</v>
      </c>
      <c r="AG61" s="123" t="str">
        <f t="shared" si="24"/>
        <v>NC</v>
      </c>
      <c r="AH61" s="123" t="str">
        <f t="shared" si="25"/>
        <v>NC</v>
      </c>
      <c r="AI61" s="123" t="str">
        <f t="shared" si="26"/>
        <v>NC</v>
      </c>
      <c r="AJ61" s="123" t="str">
        <f t="shared" si="27"/>
        <v>NC</v>
      </c>
      <c r="AK61" s="123" t="str">
        <f t="shared" si="28"/>
        <v>NC</v>
      </c>
      <c r="AL61" s="138"/>
      <c r="AM61" s="139">
        <f t="shared" si="29"/>
        <v>1.1562421515413778E-3</v>
      </c>
      <c r="AN61" s="140"/>
      <c r="AO61" s="138"/>
      <c r="AP61" s="141" t="s">
        <v>643</v>
      </c>
      <c r="AQ61" s="141" t="s">
        <v>643</v>
      </c>
      <c r="AR61" s="138"/>
      <c r="AS61" s="142" t="s">
        <v>1405</v>
      </c>
      <c r="AT61" s="143" t="s">
        <v>777</v>
      </c>
      <c r="AU61" s="143" t="s">
        <v>1406</v>
      </c>
    </row>
    <row r="62" spans="1:47" s="124" customFormat="1" ht="14.4" customHeight="1" x14ac:dyDescent="0.3">
      <c r="A62" s="121" t="s">
        <v>66</v>
      </c>
      <c r="B62" s="121" t="s">
        <v>608</v>
      </c>
      <c r="C62" s="121" t="s">
        <v>521</v>
      </c>
      <c r="D62" s="123" t="s">
        <v>495</v>
      </c>
      <c r="E62" s="123"/>
      <c r="F62" s="117" t="s">
        <v>224</v>
      </c>
      <c r="G62" s="99" t="s">
        <v>433</v>
      </c>
      <c r="H62" s="144">
        <v>43830</v>
      </c>
      <c r="I62" s="145">
        <v>8687288</v>
      </c>
      <c r="J62" s="146">
        <v>2015</v>
      </c>
      <c r="K62" s="147" t="s">
        <v>609</v>
      </c>
      <c r="L62" s="133">
        <v>43983</v>
      </c>
      <c r="M62" s="148"/>
      <c r="N62" s="149" t="s">
        <v>596</v>
      </c>
      <c r="O62" s="150"/>
      <c r="P62" s="57">
        <v>43551</v>
      </c>
      <c r="Q62" s="116" t="s">
        <v>30</v>
      </c>
      <c r="R62" s="116" t="s">
        <v>30</v>
      </c>
      <c r="S62" s="34" t="s">
        <v>30</v>
      </c>
      <c r="T62" s="57" t="s">
        <v>30</v>
      </c>
      <c r="U62" s="57" t="s">
        <v>30</v>
      </c>
      <c r="V62" s="34" t="s">
        <v>30</v>
      </c>
      <c r="W62" s="137">
        <f t="shared" si="15"/>
        <v>43916</v>
      </c>
      <c r="X62" s="57" t="str">
        <f t="shared" si="16"/>
        <v>NC</v>
      </c>
      <c r="Y62" s="57" t="str">
        <f t="shared" si="17"/>
        <v>NC</v>
      </c>
      <c r="Z62" s="57" t="str">
        <f t="shared" si="18"/>
        <v>NC</v>
      </c>
      <c r="AA62" s="57" t="str">
        <f t="shared" si="19"/>
        <v>NC</v>
      </c>
      <c r="AB62" s="57" t="str">
        <f t="shared" si="20"/>
        <v>NC</v>
      </c>
      <c r="AC62" s="57" t="str">
        <f t="shared" si="21"/>
        <v>NC</v>
      </c>
      <c r="AE62" s="123">
        <f t="shared" ca="1" si="22"/>
        <v>-1671</v>
      </c>
      <c r="AF62" s="123" t="str">
        <f t="shared" si="23"/>
        <v>NC</v>
      </c>
      <c r="AG62" s="123" t="str">
        <f t="shared" si="24"/>
        <v>NC</v>
      </c>
      <c r="AH62" s="123" t="str">
        <f t="shared" si="25"/>
        <v>NC</v>
      </c>
      <c r="AI62" s="123" t="str">
        <f t="shared" si="26"/>
        <v>NC</v>
      </c>
      <c r="AJ62" s="123" t="str">
        <f t="shared" si="27"/>
        <v>NC</v>
      </c>
      <c r="AK62" s="123" t="str">
        <f t="shared" si="28"/>
        <v>NC</v>
      </c>
      <c r="AL62" s="138"/>
      <c r="AM62" s="151">
        <f t="shared" si="29"/>
        <v>2.3311647152778115E-3</v>
      </c>
      <c r="AN62" s="152"/>
      <c r="AP62" s="124" t="s">
        <v>469</v>
      </c>
      <c r="AQ62" s="141" t="s">
        <v>643</v>
      </c>
      <c r="AR62" s="138" t="s">
        <v>603</v>
      </c>
      <c r="AS62" s="142" t="s">
        <v>1208</v>
      </c>
      <c r="AT62" s="143" t="s">
        <v>1209</v>
      </c>
      <c r="AU62" s="143" t="s">
        <v>1210</v>
      </c>
    </row>
    <row r="63" spans="1:47" s="124" customFormat="1" ht="14.4" customHeight="1" x14ac:dyDescent="0.3">
      <c r="A63" s="121" t="s">
        <v>4</v>
      </c>
      <c r="B63" s="121" t="s">
        <v>1207</v>
      </c>
      <c r="C63" s="121" t="s">
        <v>521</v>
      </c>
      <c r="D63" s="123" t="s">
        <v>357</v>
      </c>
      <c r="E63" s="123"/>
      <c r="F63" s="117" t="s">
        <v>225</v>
      </c>
      <c r="G63" s="99" t="s">
        <v>434</v>
      </c>
      <c r="H63" s="144">
        <v>43830</v>
      </c>
      <c r="I63" s="145">
        <v>10868000</v>
      </c>
      <c r="J63" s="146">
        <v>2016</v>
      </c>
      <c r="K63" s="147" t="s">
        <v>609</v>
      </c>
      <c r="L63" s="133">
        <v>43983</v>
      </c>
      <c r="M63" s="148"/>
      <c r="N63" s="149" t="s">
        <v>596</v>
      </c>
      <c r="O63" s="150"/>
      <c r="P63" s="57">
        <v>43853</v>
      </c>
      <c r="Q63" s="57" t="s">
        <v>30</v>
      </c>
      <c r="R63" s="57" t="s">
        <v>30</v>
      </c>
      <c r="S63" s="34" t="s">
        <v>30</v>
      </c>
      <c r="T63" s="57" t="s">
        <v>30</v>
      </c>
      <c r="U63" s="57" t="s">
        <v>30</v>
      </c>
      <c r="V63" s="34" t="s">
        <v>30</v>
      </c>
      <c r="W63" s="137">
        <f t="shared" si="15"/>
        <v>44218</v>
      </c>
      <c r="X63" s="57" t="str">
        <f t="shared" si="16"/>
        <v>NC</v>
      </c>
      <c r="Y63" s="57" t="str">
        <f t="shared" si="17"/>
        <v>NC</v>
      </c>
      <c r="Z63" s="57" t="str">
        <f t="shared" si="18"/>
        <v>NC</v>
      </c>
      <c r="AA63" s="57" t="str">
        <f t="shared" si="19"/>
        <v>NC</v>
      </c>
      <c r="AB63" s="57" t="str">
        <f t="shared" si="20"/>
        <v>NC</v>
      </c>
      <c r="AC63" s="57" t="str">
        <f t="shared" si="21"/>
        <v>NC</v>
      </c>
      <c r="AE63" s="123">
        <f t="shared" ca="1" si="22"/>
        <v>-1369</v>
      </c>
      <c r="AF63" s="123" t="str">
        <f t="shared" si="23"/>
        <v>NC</v>
      </c>
      <c r="AG63" s="123" t="str">
        <f t="shared" si="24"/>
        <v>NC</v>
      </c>
      <c r="AH63" s="123" t="str">
        <f t="shared" si="25"/>
        <v>NC</v>
      </c>
      <c r="AI63" s="123" t="str">
        <f t="shared" si="26"/>
        <v>NC</v>
      </c>
      <c r="AJ63" s="123" t="str">
        <f t="shared" si="27"/>
        <v>NC</v>
      </c>
      <c r="AK63" s="123" t="str">
        <f t="shared" si="28"/>
        <v>NC</v>
      </c>
      <c r="AL63" s="138"/>
      <c r="AM63" s="151">
        <f t="shared" si="29"/>
        <v>2.29051710840774E-3</v>
      </c>
      <c r="AN63" s="152"/>
      <c r="AP63" s="124" t="s">
        <v>469</v>
      </c>
      <c r="AQ63" s="141" t="s">
        <v>643</v>
      </c>
      <c r="AR63" s="124" t="s">
        <v>604</v>
      </c>
      <c r="AS63" s="143" t="s">
        <v>1208</v>
      </c>
      <c r="AT63" s="143" t="s">
        <v>827</v>
      </c>
      <c r="AU63" s="143" t="s">
        <v>1228</v>
      </c>
    </row>
    <row r="64" spans="1:47" s="124" customFormat="1" ht="14.4" customHeight="1" x14ac:dyDescent="0.3">
      <c r="A64" s="121" t="s">
        <v>67</v>
      </c>
      <c r="B64" s="121" t="s">
        <v>605</v>
      </c>
      <c r="C64" s="121" t="s">
        <v>521</v>
      </c>
      <c r="D64" s="123" t="s">
        <v>145</v>
      </c>
      <c r="E64" s="123"/>
      <c r="F64" s="117" t="s">
        <v>226</v>
      </c>
      <c r="G64" s="99" t="s">
        <v>435</v>
      </c>
      <c r="H64" s="144">
        <v>43830</v>
      </c>
      <c r="I64" s="145">
        <v>10868000</v>
      </c>
      <c r="J64" s="146">
        <v>2016</v>
      </c>
      <c r="K64" s="147" t="s">
        <v>609</v>
      </c>
      <c r="L64" s="133">
        <v>44166</v>
      </c>
      <c r="M64" s="148"/>
      <c r="N64" s="149" t="s">
        <v>596</v>
      </c>
      <c r="O64" s="150">
        <v>105378</v>
      </c>
      <c r="P64" s="57">
        <v>43889</v>
      </c>
      <c r="Q64" s="57" t="s">
        <v>30</v>
      </c>
      <c r="R64" s="57" t="s">
        <v>30</v>
      </c>
      <c r="S64" s="34" t="s">
        <v>30</v>
      </c>
      <c r="T64" s="57" t="s">
        <v>30</v>
      </c>
      <c r="U64" s="57" t="s">
        <v>30</v>
      </c>
      <c r="V64" s="34" t="s">
        <v>30</v>
      </c>
      <c r="W64" s="137">
        <f t="shared" si="15"/>
        <v>44254</v>
      </c>
      <c r="X64" s="57" t="str">
        <f t="shared" si="16"/>
        <v>NC</v>
      </c>
      <c r="Y64" s="57" t="str">
        <f t="shared" si="17"/>
        <v>NC</v>
      </c>
      <c r="Z64" s="57" t="str">
        <f t="shared" si="18"/>
        <v>NC</v>
      </c>
      <c r="AA64" s="57" t="str">
        <f t="shared" si="19"/>
        <v>NC</v>
      </c>
      <c r="AB64" s="57" t="str">
        <f t="shared" si="20"/>
        <v>NC</v>
      </c>
      <c r="AC64" s="57" t="str">
        <f t="shared" si="21"/>
        <v>NC</v>
      </c>
      <c r="AE64" s="123">
        <f t="shared" ca="1" si="22"/>
        <v>-1333</v>
      </c>
      <c r="AF64" s="123" t="str">
        <f t="shared" si="23"/>
        <v>NC</v>
      </c>
      <c r="AG64" s="123" t="str">
        <f t="shared" si="24"/>
        <v>NC</v>
      </c>
      <c r="AH64" s="123" t="str">
        <f t="shared" si="25"/>
        <v>NC</v>
      </c>
      <c r="AI64" s="123" t="str">
        <f t="shared" si="26"/>
        <v>NC</v>
      </c>
      <c r="AJ64" s="123" t="str">
        <f t="shared" si="27"/>
        <v>NC</v>
      </c>
      <c r="AK64" s="123" t="str">
        <f t="shared" si="28"/>
        <v>NC</v>
      </c>
      <c r="AL64" s="138"/>
      <c r="AM64" s="151">
        <f t="shared" si="29"/>
        <v>2.29051710840774E-3</v>
      </c>
      <c r="AN64" s="152"/>
      <c r="AP64" s="138" t="s">
        <v>469</v>
      </c>
      <c r="AQ64" s="141" t="s">
        <v>643</v>
      </c>
      <c r="AR64" s="124" t="s">
        <v>743</v>
      </c>
      <c r="AS64" s="143" t="s">
        <v>1208</v>
      </c>
      <c r="AT64" s="143" t="s">
        <v>827</v>
      </c>
      <c r="AU64" s="143" t="s">
        <v>1229</v>
      </c>
    </row>
    <row r="65" spans="1:47" s="124" customFormat="1" ht="14.4" customHeight="1" x14ac:dyDescent="0.3">
      <c r="A65" s="121" t="s">
        <v>68</v>
      </c>
      <c r="B65" s="121" t="s">
        <v>579</v>
      </c>
      <c r="C65" s="121" t="s">
        <v>521</v>
      </c>
      <c r="D65" s="123" t="s">
        <v>46</v>
      </c>
      <c r="E65" s="123"/>
      <c r="F65" s="117" t="s">
        <v>227</v>
      </c>
      <c r="G65" s="99" t="s">
        <v>436</v>
      </c>
      <c r="H65" s="144">
        <v>43830</v>
      </c>
      <c r="I65" s="145">
        <v>10868000</v>
      </c>
      <c r="J65" s="146">
        <v>2016</v>
      </c>
      <c r="K65" s="147" t="s">
        <v>609</v>
      </c>
      <c r="L65" s="133">
        <v>43952</v>
      </c>
      <c r="M65" s="148"/>
      <c r="N65" s="149" t="s">
        <v>596</v>
      </c>
      <c r="O65" s="150"/>
      <c r="P65" s="57">
        <v>43847</v>
      </c>
      <c r="Q65" s="57" t="s">
        <v>30</v>
      </c>
      <c r="R65" s="57" t="s">
        <v>30</v>
      </c>
      <c r="S65" s="34" t="s">
        <v>30</v>
      </c>
      <c r="T65" s="57" t="s">
        <v>30</v>
      </c>
      <c r="U65" s="57" t="s">
        <v>30</v>
      </c>
      <c r="V65" s="57" t="s">
        <v>30</v>
      </c>
      <c r="W65" s="137">
        <f t="shared" si="15"/>
        <v>44212</v>
      </c>
      <c r="X65" s="57" t="str">
        <f t="shared" si="16"/>
        <v>NC</v>
      </c>
      <c r="Y65" s="57" t="str">
        <f t="shared" si="17"/>
        <v>NC</v>
      </c>
      <c r="Z65" s="57" t="str">
        <f t="shared" si="18"/>
        <v>NC</v>
      </c>
      <c r="AA65" s="57" t="str">
        <f t="shared" si="19"/>
        <v>NC</v>
      </c>
      <c r="AB65" s="57" t="str">
        <f t="shared" si="20"/>
        <v>NC</v>
      </c>
      <c r="AC65" s="57" t="str">
        <f t="shared" si="21"/>
        <v>NC</v>
      </c>
      <c r="AE65" s="123">
        <f t="shared" ca="1" si="22"/>
        <v>-1375</v>
      </c>
      <c r="AF65" s="123" t="str">
        <f t="shared" si="23"/>
        <v>NC</v>
      </c>
      <c r="AG65" s="123" t="str">
        <f t="shared" si="24"/>
        <v>NC</v>
      </c>
      <c r="AH65" s="123" t="str">
        <f t="shared" si="25"/>
        <v>NC</v>
      </c>
      <c r="AI65" s="123" t="str">
        <f t="shared" si="26"/>
        <v>NC</v>
      </c>
      <c r="AJ65" s="123" t="str">
        <f t="shared" si="27"/>
        <v>NC</v>
      </c>
      <c r="AK65" s="123" t="str">
        <f t="shared" si="28"/>
        <v>NC</v>
      </c>
      <c r="AL65" s="138"/>
      <c r="AM65" s="151">
        <f t="shared" si="29"/>
        <v>2.29051710840774E-3</v>
      </c>
      <c r="AN65" s="152"/>
      <c r="AP65" s="138" t="s">
        <v>469</v>
      </c>
      <c r="AQ65" s="141" t="s">
        <v>643</v>
      </c>
      <c r="AR65" s="124" t="s">
        <v>753</v>
      </c>
      <c r="AS65" s="143" t="s">
        <v>1208</v>
      </c>
      <c r="AT65" s="143" t="s">
        <v>827</v>
      </c>
      <c r="AU65" s="143" t="s">
        <v>1230</v>
      </c>
    </row>
    <row r="66" spans="1:47" s="124" customFormat="1" ht="14.4" customHeight="1" x14ac:dyDescent="0.3">
      <c r="A66" s="121" t="s">
        <v>47</v>
      </c>
      <c r="B66" s="121" t="s">
        <v>1412</v>
      </c>
      <c r="C66" s="121" t="s">
        <v>521</v>
      </c>
      <c r="D66" s="123" t="s">
        <v>495</v>
      </c>
      <c r="E66" s="123"/>
      <c r="F66" s="117" t="s">
        <v>228</v>
      </c>
      <c r="G66" s="99" t="s">
        <v>437</v>
      </c>
      <c r="H66" s="144">
        <v>43830</v>
      </c>
      <c r="I66" s="153">
        <v>14576271</v>
      </c>
      <c r="J66" s="146">
        <v>2016</v>
      </c>
      <c r="K66" s="154">
        <v>43647</v>
      </c>
      <c r="L66" s="133">
        <v>44166</v>
      </c>
      <c r="M66" s="148"/>
      <c r="N66" s="149" t="s">
        <v>596</v>
      </c>
      <c r="O66" s="150"/>
      <c r="P66" s="57">
        <v>43672</v>
      </c>
      <c r="Q66" s="57" t="s">
        <v>30</v>
      </c>
      <c r="R66" s="57" t="s">
        <v>30</v>
      </c>
      <c r="S66" s="34" t="s">
        <v>30</v>
      </c>
      <c r="T66" s="57" t="s">
        <v>30</v>
      </c>
      <c r="U66" s="57" t="s">
        <v>30</v>
      </c>
      <c r="V66" s="57" t="s">
        <v>30</v>
      </c>
      <c r="W66" s="137">
        <f t="shared" si="15"/>
        <v>44037</v>
      </c>
      <c r="X66" s="57" t="str">
        <f t="shared" si="16"/>
        <v>NC</v>
      </c>
      <c r="Y66" s="57" t="str">
        <f t="shared" si="17"/>
        <v>NC</v>
      </c>
      <c r="Z66" s="57" t="str">
        <f t="shared" si="18"/>
        <v>NC</v>
      </c>
      <c r="AA66" s="57" t="str">
        <f t="shared" si="19"/>
        <v>NC</v>
      </c>
      <c r="AB66" s="57" t="str">
        <f t="shared" si="20"/>
        <v>NC</v>
      </c>
      <c r="AC66" s="57" t="str">
        <f t="shared" si="21"/>
        <v>NC</v>
      </c>
      <c r="AE66" s="123">
        <f t="shared" ca="1" si="22"/>
        <v>-1550</v>
      </c>
      <c r="AF66" s="123" t="str">
        <f t="shared" si="23"/>
        <v>NC</v>
      </c>
      <c r="AG66" s="123" t="str">
        <f t="shared" si="24"/>
        <v>NC</v>
      </c>
      <c r="AH66" s="123" t="str">
        <f t="shared" si="25"/>
        <v>NC</v>
      </c>
      <c r="AI66" s="123" t="str">
        <f t="shared" si="26"/>
        <v>NC</v>
      </c>
      <c r="AJ66" s="123" t="str">
        <f t="shared" si="27"/>
        <v>NC</v>
      </c>
      <c r="AK66" s="123" t="str">
        <f t="shared" si="28"/>
        <v>NC</v>
      </c>
      <c r="AL66" s="138"/>
      <c r="AM66" s="151">
        <f t="shared" si="29"/>
        <v>3.0720646027132498E-3</v>
      </c>
      <c r="AN66" s="152"/>
      <c r="AP66" s="124" t="s">
        <v>469</v>
      </c>
      <c r="AQ66" s="141" t="s">
        <v>643</v>
      </c>
      <c r="AR66" s="124" t="s">
        <v>740</v>
      </c>
      <c r="AS66" s="143" t="s">
        <v>1211</v>
      </c>
      <c r="AT66" s="143" t="s">
        <v>1212</v>
      </c>
      <c r="AU66" s="143" t="s">
        <v>1413</v>
      </c>
    </row>
    <row r="67" spans="1:47" s="124" customFormat="1" ht="14.4" customHeight="1" x14ac:dyDescent="0.3">
      <c r="A67" s="121" t="s">
        <v>69</v>
      </c>
      <c r="B67" s="121" t="s">
        <v>605</v>
      </c>
      <c r="C67" s="121" t="s">
        <v>521</v>
      </c>
      <c r="D67" s="123" t="s">
        <v>357</v>
      </c>
      <c r="E67" s="123"/>
      <c r="F67" s="117" t="s">
        <v>229</v>
      </c>
      <c r="G67" s="99" t="s">
        <v>438</v>
      </c>
      <c r="H67" s="144">
        <v>43830</v>
      </c>
      <c r="I67" s="145">
        <v>10868000</v>
      </c>
      <c r="J67" s="146">
        <v>2016</v>
      </c>
      <c r="K67" s="154">
        <v>43862</v>
      </c>
      <c r="L67" s="133">
        <v>43983</v>
      </c>
      <c r="M67" s="148"/>
      <c r="N67" s="149" t="s">
        <v>596</v>
      </c>
      <c r="O67" s="150"/>
      <c r="P67" s="57">
        <v>43803</v>
      </c>
      <c r="Q67" s="57" t="s">
        <v>30</v>
      </c>
      <c r="R67" s="57" t="s">
        <v>30</v>
      </c>
      <c r="S67" s="34" t="s">
        <v>30</v>
      </c>
      <c r="T67" s="57" t="s">
        <v>30</v>
      </c>
      <c r="U67" s="57" t="s">
        <v>30</v>
      </c>
      <c r="V67" s="57" t="s">
        <v>30</v>
      </c>
      <c r="W67" s="137">
        <f t="shared" si="15"/>
        <v>44168</v>
      </c>
      <c r="X67" s="57" t="str">
        <f t="shared" si="16"/>
        <v>NC</v>
      </c>
      <c r="Y67" s="57" t="str">
        <f t="shared" si="17"/>
        <v>NC</v>
      </c>
      <c r="Z67" s="57" t="str">
        <f t="shared" si="18"/>
        <v>NC</v>
      </c>
      <c r="AA67" s="57" t="str">
        <f t="shared" si="19"/>
        <v>NC</v>
      </c>
      <c r="AB67" s="57" t="str">
        <f t="shared" si="20"/>
        <v>NC</v>
      </c>
      <c r="AC67" s="57" t="str">
        <f t="shared" si="21"/>
        <v>NC</v>
      </c>
      <c r="AE67" s="123">
        <f t="shared" ca="1" si="22"/>
        <v>-1419</v>
      </c>
      <c r="AF67" s="123" t="str">
        <f t="shared" si="23"/>
        <v>NC</v>
      </c>
      <c r="AG67" s="123" t="str">
        <f t="shared" si="24"/>
        <v>NC</v>
      </c>
      <c r="AH67" s="123" t="str">
        <f t="shared" si="25"/>
        <v>NC</v>
      </c>
      <c r="AI67" s="123" t="str">
        <f t="shared" si="26"/>
        <v>NC</v>
      </c>
      <c r="AJ67" s="123" t="str">
        <f t="shared" si="27"/>
        <v>NC</v>
      </c>
      <c r="AK67" s="123" t="str">
        <f t="shared" si="28"/>
        <v>NC</v>
      </c>
      <c r="AL67" s="138"/>
      <c r="AM67" s="151">
        <f t="shared" si="29"/>
        <v>2.29051710840774E-3</v>
      </c>
      <c r="AN67" s="152"/>
      <c r="AP67" s="138" t="s">
        <v>469</v>
      </c>
      <c r="AQ67" s="141" t="s">
        <v>643</v>
      </c>
      <c r="AR67" s="124" t="s">
        <v>1048</v>
      </c>
      <c r="AS67" s="143" t="s">
        <v>1208</v>
      </c>
      <c r="AT67" s="143" t="s">
        <v>827</v>
      </c>
      <c r="AU67" s="143" t="s">
        <v>1229</v>
      </c>
    </row>
    <row r="68" spans="1:47" s="124" customFormat="1" ht="14.4" customHeight="1" x14ac:dyDescent="0.3">
      <c r="A68" s="121" t="s">
        <v>70</v>
      </c>
      <c r="B68" s="121" t="s">
        <v>606</v>
      </c>
      <c r="C68" s="121" t="s">
        <v>521</v>
      </c>
      <c r="D68" s="123" t="s">
        <v>357</v>
      </c>
      <c r="E68" s="123"/>
      <c r="F68" s="117" t="s">
        <v>230</v>
      </c>
      <c r="G68" s="99" t="s">
        <v>439</v>
      </c>
      <c r="H68" s="144">
        <v>43830</v>
      </c>
      <c r="I68" s="145">
        <v>8687288</v>
      </c>
      <c r="J68" s="146">
        <v>2017</v>
      </c>
      <c r="K68" s="154">
        <v>43922</v>
      </c>
      <c r="L68" s="133">
        <v>43983</v>
      </c>
      <c r="M68" s="148"/>
      <c r="N68" s="149" t="s">
        <v>596</v>
      </c>
      <c r="O68" s="150"/>
      <c r="P68" s="57">
        <v>43546</v>
      </c>
      <c r="Q68" s="57" t="s">
        <v>30</v>
      </c>
      <c r="R68" s="57" t="s">
        <v>30</v>
      </c>
      <c r="S68" s="34" t="s">
        <v>30</v>
      </c>
      <c r="T68" s="57" t="s">
        <v>30</v>
      </c>
      <c r="U68" s="57" t="s">
        <v>30</v>
      </c>
      <c r="V68" s="57" t="s">
        <v>30</v>
      </c>
      <c r="W68" s="137">
        <f t="shared" si="15"/>
        <v>43911</v>
      </c>
      <c r="X68" s="57" t="str">
        <f t="shared" si="16"/>
        <v>NC</v>
      </c>
      <c r="Y68" s="57" t="str">
        <f t="shared" si="17"/>
        <v>NC</v>
      </c>
      <c r="Z68" s="57" t="str">
        <f t="shared" si="18"/>
        <v>NC</v>
      </c>
      <c r="AA68" s="57" t="str">
        <f t="shared" si="19"/>
        <v>NC</v>
      </c>
      <c r="AB68" s="57" t="str">
        <f t="shared" si="20"/>
        <v>NC</v>
      </c>
      <c r="AC68" s="57" t="str">
        <f t="shared" si="21"/>
        <v>NC</v>
      </c>
      <c r="AE68" s="123">
        <f t="shared" ca="1" si="22"/>
        <v>-1676</v>
      </c>
      <c r="AF68" s="123" t="str">
        <f t="shared" si="23"/>
        <v>NC</v>
      </c>
      <c r="AG68" s="123" t="str">
        <f t="shared" si="24"/>
        <v>NC</v>
      </c>
      <c r="AH68" s="123" t="str">
        <f t="shared" si="25"/>
        <v>NC</v>
      </c>
      <c r="AI68" s="123" t="str">
        <f t="shared" si="26"/>
        <v>NC</v>
      </c>
      <c r="AJ68" s="123" t="str">
        <f t="shared" si="27"/>
        <v>NC</v>
      </c>
      <c r="AK68" s="123" t="str">
        <f t="shared" si="28"/>
        <v>NC</v>
      </c>
      <c r="AL68" s="138"/>
      <c r="AM68" s="151">
        <f t="shared" si="29"/>
        <v>1.3306648374761931E-3</v>
      </c>
      <c r="AN68" s="152"/>
      <c r="AP68" s="138" t="s">
        <v>469</v>
      </c>
      <c r="AQ68" s="141" t="s">
        <v>643</v>
      </c>
      <c r="AR68" s="124" t="s">
        <v>749</v>
      </c>
      <c r="AS68" s="143" t="s">
        <v>1208</v>
      </c>
      <c r="AT68" s="143" t="s">
        <v>1407</v>
      </c>
      <c r="AU68" s="143" t="s">
        <v>1214</v>
      </c>
    </row>
    <row r="69" spans="1:47" s="138" customFormat="1" ht="14.4" customHeight="1" x14ac:dyDescent="0.3">
      <c r="A69" s="121" t="s">
        <v>71</v>
      </c>
      <c r="B69" s="121" t="s">
        <v>606</v>
      </c>
      <c r="C69" s="121" t="s">
        <v>521</v>
      </c>
      <c r="D69" s="123" t="s">
        <v>357</v>
      </c>
      <c r="E69" s="123"/>
      <c r="F69" s="117" t="s">
        <v>231</v>
      </c>
      <c r="G69" s="99" t="s">
        <v>440</v>
      </c>
      <c r="H69" s="144">
        <v>43830</v>
      </c>
      <c r="I69" s="145">
        <v>8687288</v>
      </c>
      <c r="J69" s="146">
        <v>2017</v>
      </c>
      <c r="K69" s="154">
        <v>43922</v>
      </c>
      <c r="L69" s="133">
        <v>43983</v>
      </c>
      <c r="M69" s="148"/>
      <c r="N69" s="149" t="s">
        <v>596</v>
      </c>
      <c r="O69" s="150"/>
      <c r="P69" s="57">
        <v>43544</v>
      </c>
      <c r="Q69" s="57" t="s">
        <v>30</v>
      </c>
      <c r="R69" s="57" t="s">
        <v>30</v>
      </c>
      <c r="S69" s="34" t="s">
        <v>30</v>
      </c>
      <c r="T69" s="57" t="s">
        <v>30</v>
      </c>
      <c r="U69" s="57" t="s">
        <v>30</v>
      </c>
      <c r="V69" s="57" t="s">
        <v>30</v>
      </c>
      <c r="W69" s="137">
        <f t="shared" si="15"/>
        <v>43909</v>
      </c>
      <c r="X69" s="57" t="str">
        <f t="shared" si="16"/>
        <v>NC</v>
      </c>
      <c r="Y69" s="57" t="str">
        <f t="shared" si="17"/>
        <v>NC</v>
      </c>
      <c r="Z69" s="57" t="str">
        <f t="shared" si="18"/>
        <v>NC</v>
      </c>
      <c r="AA69" s="57" t="str">
        <f t="shared" si="19"/>
        <v>NC</v>
      </c>
      <c r="AB69" s="57" t="str">
        <f t="shared" si="20"/>
        <v>NC</v>
      </c>
      <c r="AC69" s="57" t="str">
        <f t="shared" si="21"/>
        <v>NC</v>
      </c>
      <c r="AD69" s="124"/>
      <c r="AE69" s="123">
        <f t="shared" ca="1" si="22"/>
        <v>-1678</v>
      </c>
      <c r="AF69" s="123" t="str">
        <f t="shared" si="23"/>
        <v>NC</v>
      </c>
      <c r="AG69" s="123" t="str">
        <f t="shared" si="24"/>
        <v>NC</v>
      </c>
      <c r="AH69" s="123" t="str">
        <f t="shared" si="25"/>
        <v>NC</v>
      </c>
      <c r="AI69" s="123" t="str">
        <f t="shared" si="26"/>
        <v>NC</v>
      </c>
      <c r="AJ69" s="123" t="str">
        <f t="shared" si="27"/>
        <v>NC</v>
      </c>
      <c r="AK69" s="123" t="str">
        <f t="shared" si="28"/>
        <v>NC</v>
      </c>
      <c r="AM69" s="151">
        <f t="shared" si="29"/>
        <v>1.3306648374761931E-3</v>
      </c>
      <c r="AN69" s="152"/>
      <c r="AO69" s="124"/>
      <c r="AP69" s="138" t="s">
        <v>469</v>
      </c>
      <c r="AQ69" s="141" t="s">
        <v>643</v>
      </c>
      <c r="AR69" s="124" t="s">
        <v>754</v>
      </c>
      <c r="AS69" s="143" t="s">
        <v>1208</v>
      </c>
      <c r="AT69" s="143" t="s">
        <v>1407</v>
      </c>
      <c r="AU69" s="143" t="s">
        <v>1214</v>
      </c>
    </row>
    <row r="70" spans="1:47" s="155" customFormat="1" ht="14.4" customHeight="1" x14ac:dyDescent="0.3">
      <c r="A70" s="122" t="s">
        <v>184</v>
      </c>
      <c r="B70" s="121" t="s">
        <v>766</v>
      </c>
      <c r="C70" s="121" t="s">
        <v>521</v>
      </c>
      <c r="D70" s="123" t="s">
        <v>46</v>
      </c>
      <c r="E70" s="123"/>
      <c r="F70" s="117" t="s">
        <v>232</v>
      </c>
      <c r="G70" s="99" t="s">
        <v>441</v>
      </c>
      <c r="H70" s="144">
        <v>43830</v>
      </c>
      <c r="I70" s="153">
        <v>22796610</v>
      </c>
      <c r="J70" s="146">
        <v>2018</v>
      </c>
      <c r="K70" s="154">
        <v>44317</v>
      </c>
      <c r="L70" s="133">
        <v>44166</v>
      </c>
      <c r="M70" s="148"/>
      <c r="N70" s="149" t="s">
        <v>596</v>
      </c>
      <c r="O70" s="150"/>
      <c r="P70" s="57">
        <v>43566</v>
      </c>
      <c r="Q70" s="57" t="s">
        <v>30</v>
      </c>
      <c r="R70" s="57" t="s">
        <v>30</v>
      </c>
      <c r="S70" s="34" t="s">
        <v>30</v>
      </c>
      <c r="T70" s="57" t="s">
        <v>30</v>
      </c>
      <c r="U70" s="57" t="s">
        <v>30</v>
      </c>
      <c r="V70" s="57" t="s">
        <v>30</v>
      </c>
      <c r="W70" s="137">
        <f t="shared" ref="W70:W101" si="30">IF(P70="NC","NC",IF(P70="","erreur",P70+365))</f>
        <v>43931</v>
      </c>
      <c r="X70" s="57" t="str">
        <f t="shared" ref="X70:X101" si="31">IF(Q70="NC","NC",IF(Q70="","erreur",Q70+181))</f>
        <v>NC</v>
      </c>
      <c r="Y70" s="57" t="str">
        <f t="shared" ref="Y70:Y101" si="32">IF(R70="NC","NC",IF(R70="","erreur",R70+365))</f>
        <v>NC</v>
      </c>
      <c r="Z70" s="57" t="str">
        <f t="shared" ref="Z70:Z101" si="33">IF(S70="NC","NC",IF(S70="","erreur",S70+3650))</f>
        <v>NC</v>
      </c>
      <c r="AA70" s="57" t="str">
        <f t="shared" ref="AA70:AA101" si="34">IF(T70="NC","NC",IF(T70="","erreur",T70+365))</f>
        <v>NC</v>
      </c>
      <c r="AB70" s="57" t="str">
        <f t="shared" ref="AB70:AB101" si="35">IF(U70="NC","NC",IF(U70="","erreur",U70+365))</f>
        <v>NC</v>
      </c>
      <c r="AC70" s="57" t="str">
        <f t="shared" ref="AC70:AC101" si="36">IF(V70="NC","NC",IF(V70="","erreur",V70+730))</f>
        <v>NC</v>
      </c>
      <c r="AD70" s="124"/>
      <c r="AE70" s="123">
        <f t="shared" ref="AE70:AE101" ca="1" si="37">IF(W70="NC","NC",IF(W70="erreur","erreur",W70-$F$3))</f>
        <v>-1656</v>
      </c>
      <c r="AF70" s="123" t="str">
        <f t="shared" ref="AF70:AF101" si="38">IF(X70="NC","NC",IF(X70="erreur","erreur",X70-$F$3))</f>
        <v>NC</v>
      </c>
      <c r="AG70" s="123" t="str">
        <f t="shared" ref="AG70:AG101" si="39">IF(Y70="NC","NC",IF(Y70="erreur","erreur",Y70-$F$3))</f>
        <v>NC</v>
      </c>
      <c r="AH70" s="123" t="str">
        <f t="shared" ref="AH70:AH101" si="40">IF(Z70="NC","NC",IF(Z70="erreur","erreur",Z70-$F$3))</f>
        <v>NC</v>
      </c>
      <c r="AI70" s="123" t="str">
        <f t="shared" ref="AI70:AI101" si="41">IF(AA70="NC","NC",IF(AA70="erreur","erreur",AA70-$F$3))</f>
        <v>NC</v>
      </c>
      <c r="AJ70" s="123" t="str">
        <f t="shared" ref="AJ70:AJ101" si="42">IF(AB70="NC","NC",IF(AB70="erreur","erreur",AB70-$F$3))</f>
        <v>NC</v>
      </c>
      <c r="AK70" s="123" t="str">
        <f t="shared" ref="AK70:AK101" si="43">IF(AC70="NC","NC",IF(AC70="erreur","erreur",AC70-$F$3))</f>
        <v>NC</v>
      </c>
      <c r="AL70" s="138"/>
      <c r="AM70" s="151">
        <f t="shared" ref="AM70:AM101" si="44">I70*($AM$3-J70)/$I$4</f>
        <v>2.1791201789341606E-3</v>
      </c>
      <c r="AN70" s="152"/>
      <c r="AO70" s="124" t="s">
        <v>395</v>
      </c>
      <c r="AP70" s="138" t="s">
        <v>583</v>
      </c>
      <c r="AQ70" s="141" t="s">
        <v>643</v>
      </c>
      <c r="AR70" s="124" t="s">
        <v>744</v>
      </c>
      <c r="AS70" s="143" t="s">
        <v>1215</v>
      </c>
      <c r="AT70" s="143" t="s">
        <v>1216</v>
      </c>
      <c r="AU70" s="143" t="s">
        <v>1217</v>
      </c>
    </row>
    <row r="71" spans="1:47" s="124" customFormat="1" ht="14.4" customHeight="1" x14ac:dyDescent="0.3">
      <c r="A71" s="121" t="s">
        <v>72</v>
      </c>
      <c r="B71" s="121" t="s">
        <v>607</v>
      </c>
      <c r="C71" s="121" t="s">
        <v>521</v>
      </c>
      <c r="D71" s="123" t="s">
        <v>495</v>
      </c>
      <c r="E71" s="123"/>
      <c r="F71" s="117" t="s">
        <v>233</v>
      </c>
      <c r="G71" s="99" t="s">
        <v>442</v>
      </c>
      <c r="H71" s="144">
        <v>43830</v>
      </c>
      <c r="I71" s="145">
        <v>14576271</v>
      </c>
      <c r="J71" s="146">
        <v>2018</v>
      </c>
      <c r="K71" s="154">
        <v>44317</v>
      </c>
      <c r="L71" s="133">
        <v>44166</v>
      </c>
      <c r="M71" s="148" t="s">
        <v>614</v>
      </c>
      <c r="N71" s="149" t="s">
        <v>596</v>
      </c>
      <c r="O71" s="150"/>
      <c r="P71" s="57">
        <v>43566</v>
      </c>
      <c r="Q71" s="57" t="s">
        <v>30</v>
      </c>
      <c r="R71" s="57" t="s">
        <v>30</v>
      </c>
      <c r="S71" s="34" t="s">
        <v>30</v>
      </c>
      <c r="T71" s="57" t="s">
        <v>30</v>
      </c>
      <c r="U71" s="57" t="s">
        <v>30</v>
      </c>
      <c r="V71" s="57" t="s">
        <v>30</v>
      </c>
      <c r="W71" s="137">
        <f t="shared" si="30"/>
        <v>43931</v>
      </c>
      <c r="X71" s="57" t="str">
        <f t="shared" si="31"/>
        <v>NC</v>
      </c>
      <c r="Y71" s="57" t="str">
        <f t="shared" si="32"/>
        <v>NC</v>
      </c>
      <c r="Z71" s="57" t="str">
        <f t="shared" si="33"/>
        <v>NC</v>
      </c>
      <c r="AA71" s="57" t="str">
        <f t="shared" si="34"/>
        <v>NC</v>
      </c>
      <c r="AB71" s="57" t="str">
        <f t="shared" si="35"/>
        <v>NC</v>
      </c>
      <c r="AC71" s="57" t="str">
        <f t="shared" si="36"/>
        <v>NC</v>
      </c>
      <c r="AE71" s="123">
        <f t="shared" ca="1" si="37"/>
        <v>-1656</v>
      </c>
      <c r="AF71" s="123" t="str">
        <f t="shared" si="38"/>
        <v>NC</v>
      </c>
      <c r="AG71" s="123" t="str">
        <f t="shared" si="39"/>
        <v>NC</v>
      </c>
      <c r="AH71" s="123" t="str">
        <f t="shared" si="40"/>
        <v>NC</v>
      </c>
      <c r="AI71" s="123" t="str">
        <f t="shared" si="41"/>
        <v>NC</v>
      </c>
      <c r="AJ71" s="123" t="str">
        <f t="shared" si="42"/>
        <v>NC</v>
      </c>
      <c r="AK71" s="123" t="str">
        <f t="shared" si="43"/>
        <v>NC</v>
      </c>
      <c r="AL71" s="138"/>
      <c r="AM71" s="151">
        <f t="shared" si="44"/>
        <v>1.3933407760940251E-3</v>
      </c>
      <c r="AN71" s="152"/>
      <c r="AP71" s="138" t="s">
        <v>583</v>
      </c>
      <c r="AQ71" s="141" t="s">
        <v>643</v>
      </c>
      <c r="AR71" s="124" t="s">
        <v>690</v>
      </c>
      <c r="AS71" s="143" t="s">
        <v>1218</v>
      </c>
      <c r="AT71" s="143" t="s">
        <v>1219</v>
      </c>
      <c r="AU71" s="143" t="s">
        <v>1220</v>
      </c>
    </row>
    <row r="72" spans="1:47" s="124" customFormat="1" ht="14.4" customHeight="1" x14ac:dyDescent="0.3">
      <c r="A72" s="121" t="s">
        <v>73</v>
      </c>
      <c r="B72" s="121" t="s">
        <v>606</v>
      </c>
      <c r="C72" s="121" t="s">
        <v>521</v>
      </c>
      <c r="D72" s="123" t="s">
        <v>495</v>
      </c>
      <c r="E72" s="123"/>
      <c r="F72" s="117" t="s">
        <v>234</v>
      </c>
      <c r="G72" s="99" t="s">
        <v>472</v>
      </c>
      <c r="H72" s="144">
        <v>43830</v>
      </c>
      <c r="I72" s="145">
        <v>8687288</v>
      </c>
      <c r="J72" s="146">
        <v>2018</v>
      </c>
      <c r="K72" s="154">
        <v>44378</v>
      </c>
      <c r="L72" s="133">
        <v>44166</v>
      </c>
      <c r="M72" s="148"/>
      <c r="N72" s="149" t="s">
        <v>596</v>
      </c>
      <c r="O72" s="150"/>
      <c r="P72" s="57">
        <v>43650</v>
      </c>
      <c r="Q72" s="57" t="s">
        <v>30</v>
      </c>
      <c r="R72" s="57" t="s">
        <v>30</v>
      </c>
      <c r="S72" s="34" t="s">
        <v>30</v>
      </c>
      <c r="T72" s="57" t="s">
        <v>30</v>
      </c>
      <c r="U72" s="57" t="s">
        <v>30</v>
      </c>
      <c r="V72" s="57" t="s">
        <v>30</v>
      </c>
      <c r="W72" s="137">
        <f t="shared" si="30"/>
        <v>44015</v>
      </c>
      <c r="X72" s="57" t="str">
        <f t="shared" si="31"/>
        <v>NC</v>
      </c>
      <c r="Y72" s="57" t="str">
        <f t="shared" si="32"/>
        <v>NC</v>
      </c>
      <c r="Z72" s="57" t="str">
        <f t="shared" si="33"/>
        <v>NC</v>
      </c>
      <c r="AA72" s="57" t="str">
        <f t="shared" si="34"/>
        <v>NC</v>
      </c>
      <c r="AB72" s="57" t="str">
        <f t="shared" si="35"/>
        <v>NC</v>
      </c>
      <c r="AC72" s="57" t="str">
        <f t="shared" si="36"/>
        <v>NC</v>
      </c>
      <c r="AE72" s="123">
        <f t="shared" ca="1" si="37"/>
        <v>-1572</v>
      </c>
      <c r="AF72" s="123" t="str">
        <f t="shared" si="38"/>
        <v>NC</v>
      </c>
      <c r="AG72" s="123" t="str">
        <f t="shared" si="39"/>
        <v>NC</v>
      </c>
      <c r="AH72" s="123" t="str">
        <f t="shared" si="40"/>
        <v>NC</v>
      </c>
      <c r="AI72" s="123" t="str">
        <f t="shared" si="41"/>
        <v>NC</v>
      </c>
      <c r="AJ72" s="123" t="str">
        <f t="shared" si="42"/>
        <v>NC</v>
      </c>
      <c r="AK72" s="123" t="str">
        <f t="shared" si="43"/>
        <v>NC</v>
      </c>
      <c r="AL72" s="138"/>
      <c r="AM72" s="151">
        <f t="shared" si="44"/>
        <v>8.3041489857538415E-4</v>
      </c>
      <c r="AN72" s="152"/>
      <c r="AP72" s="138" t="s">
        <v>469</v>
      </c>
      <c r="AQ72" s="141" t="s">
        <v>643</v>
      </c>
      <c r="AR72" s="124" t="s">
        <v>902</v>
      </c>
      <c r="AS72" s="143" t="s">
        <v>1208</v>
      </c>
      <c r="AT72" s="143" t="s">
        <v>1407</v>
      </c>
      <c r="AU72" s="143" t="s">
        <v>1214</v>
      </c>
    </row>
    <row r="73" spans="1:47" s="138" customFormat="1" ht="14.4" customHeight="1" x14ac:dyDescent="0.3">
      <c r="A73" s="121" t="s">
        <v>74</v>
      </c>
      <c r="B73" s="121" t="s">
        <v>606</v>
      </c>
      <c r="C73" s="121" t="s">
        <v>521</v>
      </c>
      <c r="D73" s="123" t="s">
        <v>495</v>
      </c>
      <c r="E73" s="123"/>
      <c r="F73" s="117" t="s">
        <v>235</v>
      </c>
      <c r="G73" s="99" t="s">
        <v>443</v>
      </c>
      <c r="H73" s="144">
        <v>43830</v>
      </c>
      <c r="I73" s="145">
        <v>8687288</v>
      </c>
      <c r="J73" s="146">
        <v>2018</v>
      </c>
      <c r="K73" s="154">
        <v>44409</v>
      </c>
      <c r="L73" s="133">
        <v>44166</v>
      </c>
      <c r="M73" s="148"/>
      <c r="N73" s="149" t="s">
        <v>596</v>
      </c>
      <c r="O73" s="150"/>
      <c r="P73" s="57">
        <v>43671</v>
      </c>
      <c r="Q73" s="57" t="s">
        <v>30</v>
      </c>
      <c r="R73" s="57" t="s">
        <v>30</v>
      </c>
      <c r="S73" s="34" t="s">
        <v>30</v>
      </c>
      <c r="T73" s="57" t="s">
        <v>30</v>
      </c>
      <c r="U73" s="57" t="s">
        <v>30</v>
      </c>
      <c r="V73" s="57" t="s">
        <v>30</v>
      </c>
      <c r="W73" s="137">
        <f t="shared" si="30"/>
        <v>44036</v>
      </c>
      <c r="X73" s="57" t="str">
        <f t="shared" si="31"/>
        <v>NC</v>
      </c>
      <c r="Y73" s="57" t="str">
        <f t="shared" si="32"/>
        <v>NC</v>
      </c>
      <c r="Z73" s="57" t="str">
        <f t="shared" si="33"/>
        <v>NC</v>
      </c>
      <c r="AA73" s="57" t="str">
        <f t="shared" si="34"/>
        <v>NC</v>
      </c>
      <c r="AB73" s="57" t="str">
        <f t="shared" si="35"/>
        <v>NC</v>
      </c>
      <c r="AC73" s="57" t="str">
        <f t="shared" si="36"/>
        <v>NC</v>
      </c>
      <c r="AD73" s="124"/>
      <c r="AE73" s="123">
        <f t="shared" ca="1" si="37"/>
        <v>-1551</v>
      </c>
      <c r="AF73" s="123" t="str">
        <f t="shared" si="38"/>
        <v>NC</v>
      </c>
      <c r="AG73" s="123" t="str">
        <f t="shared" si="39"/>
        <v>NC</v>
      </c>
      <c r="AH73" s="123" t="str">
        <f t="shared" si="40"/>
        <v>NC</v>
      </c>
      <c r="AI73" s="123" t="str">
        <f t="shared" si="41"/>
        <v>NC</v>
      </c>
      <c r="AJ73" s="123" t="str">
        <f t="shared" si="42"/>
        <v>NC</v>
      </c>
      <c r="AK73" s="123" t="str">
        <f t="shared" si="43"/>
        <v>NC</v>
      </c>
      <c r="AM73" s="151">
        <f t="shared" si="44"/>
        <v>8.3041489857538415E-4</v>
      </c>
      <c r="AN73" s="152"/>
      <c r="AO73" s="124"/>
      <c r="AP73" s="138" t="s">
        <v>469</v>
      </c>
      <c r="AQ73" s="141" t="s">
        <v>643</v>
      </c>
      <c r="AR73" s="124" t="s">
        <v>1015</v>
      </c>
      <c r="AS73" s="143" t="s">
        <v>1208</v>
      </c>
      <c r="AT73" s="143" t="s">
        <v>1407</v>
      </c>
      <c r="AU73" s="143" t="s">
        <v>1221</v>
      </c>
    </row>
    <row r="74" spans="1:47" s="138" customFormat="1" ht="14.4" customHeight="1" x14ac:dyDescent="0.3">
      <c r="A74" s="121" t="s">
        <v>76</v>
      </c>
      <c r="B74" s="121" t="s">
        <v>606</v>
      </c>
      <c r="C74" s="121" t="s">
        <v>521</v>
      </c>
      <c r="D74" s="123" t="s">
        <v>495</v>
      </c>
      <c r="E74" s="123"/>
      <c r="F74" s="117" t="s">
        <v>236</v>
      </c>
      <c r="G74" s="99" t="s">
        <v>444</v>
      </c>
      <c r="H74" s="144">
        <v>43830</v>
      </c>
      <c r="I74" s="145">
        <v>8687288</v>
      </c>
      <c r="J74" s="146">
        <v>2018</v>
      </c>
      <c r="K74" s="154">
        <v>44378</v>
      </c>
      <c r="L74" s="133">
        <v>44166</v>
      </c>
      <c r="M74" s="148"/>
      <c r="N74" s="149" t="s">
        <v>596</v>
      </c>
      <c r="O74" s="150"/>
      <c r="P74" s="57">
        <v>43609</v>
      </c>
      <c r="Q74" s="57" t="s">
        <v>30</v>
      </c>
      <c r="R74" s="57" t="s">
        <v>30</v>
      </c>
      <c r="S74" s="34" t="s">
        <v>30</v>
      </c>
      <c r="T74" s="57" t="s">
        <v>30</v>
      </c>
      <c r="U74" s="57" t="s">
        <v>30</v>
      </c>
      <c r="V74" s="57" t="s">
        <v>30</v>
      </c>
      <c r="W74" s="137">
        <f t="shared" si="30"/>
        <v>43974</v>
      </c>
      <c r="X74" s="57" t="str">
        <f t="shared" si="31"/>
        <v>NC</v>
      </c>
      <c r="Y74" s="57" t="str">
        <f t="shared" si="32"/>
        <v>NC</v>
      </c>
      <c r="Z74" s="57" t="str">
        <f t="shared" si="33"/>
        <v>NC</v>
      </c>
      <c r="AA74" s="57" t="str">
        <f t="shared" si="34"/>
        <v>NC</v>
      </c>
      <c r="AB74" s="57" t="str">
        <f t="shared" si="35"/>
        <v>NC</v>
      </c>
      <c r="AC74" s="57" t="str">
        <f t="shared" si="36"/>
        <v>NC</v>
      </c>
      <c r="AD74" s="124"/>
      <c r="AE74" s="123">
        <f t="shared" ca="1" si="37"/>
        <v>-1613</v>
      </c>
      <c r="AF74" s="123" t="str">
        <f t="shared" si="38"/>
        <v>NC</v>
      </c>
      <c r="AG74" s="123" t="str">
        <f t="shared" si="39"/>
        <v>NC</v>
      </c>
      <c r="AH74" s="123" t="str">
        <f t="shared" si="40"/>
        <v>NC</v>
      </c>
      <c r="AI74" s="123" t="str">
        <f t="shared" si="41"/>
        <v>NC</v>
      </c>
      <c r="AJ74" s="123" t="str">
        <f t="shared" si="42"/>
        <v>NC</v>
      </c>
      <c r="AK74" s="123" t="str">
        <f t="shared" si="43"/>
        <v>NC</v>
      </c>
      <c r="AM74" s="151">
        <f t="shared" si="44"/>
        <v>8.3041489857538415E-4</v>
      </c>
      <c r="AN74" s="152"/>
      <c r="AO74" s="124"/>
      <c r="AP74" s="124" t="s">
        <v>469</v>
      </c>
      <c r="AQ74" s="141" t="s">
        <v>643</v>
      </c>
      <c r="AR74" s="138" t="s">
        <v>1024</v>
      </c>
      <c r="AS74" s="142" t="s">
        <v>1208</v>
      </c>
      <c r="AT74" s="143" t="s">
        <v>1407</v>
      </c>
      <c r="AU74" s="143" t="s">
        <v>1222</v>
      </c>
    </row>
    <row r="75" spans="1:47" s="138" customFormat="1" ht="14.4" customHeight="1" x14ac:dyDescent="0.3">
      <c r="A75" s="121" t="s">
        <v>77</v>
      </c>
      <c r="B75" s="121" t="s">
        <v>1083</v>
      </c>
      <c r="C75" s="121" t="s">
        <v>522</v>
      </c>
      <c r="D75" s="123" t="s">
        <v>495</v>
      </c>
      <c r="E75" s="123"/>
      <c r="F75" s="117" t="s">
        <v>237</v>
      </c>
      <c r="G75" s="99" t="s">
        <v>445</v>
      </c>
      <c r="H75" s="144">
        <v>43830</v>
      </c>
      <c r="I75" s="145">
        <v>10868000</v>
      </c>
      <c r="J75" s="146">
        <v>2014</v>
      </c>
      <c r="K75" s="147" t="s">
        <v>609</v>
      </c>
      <c r="L75" s="133">
        <v>44166</v>
      </c>
      <c r="M75" s="148"/>
      <c r="N75" s="149" t="s">
        <v>596</v>
      </c>
      <c r="O75" s="150"/>
      <c r="P75" s="57">
        <v>43557</v>
      </c>
      <c r="Q75" s="57" t="s">
        <v>30</v>
      </c>
      <c r="R75" s="57" t="s">
        <v>30</v>
      </c>
      <c r="S75" s="34" t="s">
        <v>30</v>
      </c>
      <c r="T75" s="57" t="s">
        <v>30</v>
      </c>
      <c r="U75" s="57" t="s">
        <v>30</v>
      </c>
      <c r="V75" s="57" t="s">
        <v>30</v>
      </c>
      <c r="W75" s="137">
        <f t="shared" si="30"/>
        <v>43922</v>
      </c>
      <c r="X75" s="57" t="str">
        <f t="shared" si="31"/>
        <v>NC</v>
      </c>
      <c r="Y75" s="57" t="str">
        <f t="shared" si="32"/>
        <v>NC</v>
      </c>
      <c r="Z75" s="57" t="str">
        <f t="shared" si="33"/>
        <v>NC</v>
      </c>
      <c r="AA75" s="57" t="str">
        <f t="shared" si="34"/>
        <v>NC</v>
      </c>
      <c r="AB75" s="57" t="str">
        <f t="shared" si="35"/>
        <v>NC</v>
      </c>
      <c r="AC75" s="57" t="str">
        <f t="shared" si="36"/>
        <v>NC</v>
      </c>
      <c r="AD75" s="124"/>
      <c r="AE75" s="123">
        <f t="shared" ca="1" si="37"/>
        <v>-1665</v>
      </c>
      <c r="AF75" s="123" t="str">
        <f t="shared" si="38"/>
        <v>NC</v>
      </c>
      <c r="AG75" s="123" t="str">
        <f t="shared" si="39"/>
        <v>NC</v>
      </c>
      <c r="AH75" s="123" t="str">
        <f t="shared" si="40"/>
        <v>NC</v>
      </c>
      <c r="AI75" s="123" t="str">
        <f t="shared" si="41"/>
        <v>NC</v>
      </c>
      <c r="AJ75" s="123" t="str">
        <f t="shared" si="42"/>
        <v>NC</v>
      </c>
      <c r="AK75" s="123" t="str">
        <f t="shared" si="43"/>
        <v>NC</v>
      </c>
      <c r="AM75" s="151">
        <f t="shared" si="44"/>
        <v>3.542165801526696E-3</v>
      </c>
      <c r="AN75" s="152"/>
      <c r="AO75" s="124"/>
      <c r="AP75" s="124" t="s">
        <v>469</v>
      </c>
      <c r="AQ75" s="141" t="s">
        <v>643</v>
      </c>
      <c r="AR75" s="124" t="s">
        <v>497</v>
      </c>
      <c r="AS75" s="143" t="s">
        <v>1208</v>
      </c>
      <c r="AT75" s="143" t="s">
        <v>827</v>
      </c>
      <c r="AU75" s="143" t="s">
        <v>1223</v>
      </c>
    </row>
    <row r="76" spans="1:47" s="138" customFormat="1" ht="14.4" customHeight="1" x14ac:dyDescent="0.3">
      <c r="A76" s="116" t="s">
        <v>992</v>
      </c>
      <c r="B76" s="116" t="s">
        <v>836</v>
      </c>
      <c r="C76" s="117" t="s">
        <v>522</v>
      </c>
      <c r="D76" s="123" t="s">
        <v>495</v>
      </c>
      <c r="E76" s="116"/>
      <c r="F76" s="117" t="s">
        <v>838</v>
      </c>
      <c r="G76" s="120" t="s">
        <v>875</v>
      </c>
      <c r="H76" s="156">
        <v>43830</v>
      </c>
      <c r="I76" s="134">
        <v>15170000</v>
      </c>
      <c r="J76" s="120">
        <v>2019</v>
      </c>
      <c r="K76" s="132"/>
      <c r="L76" s="157"/>
      <c r="M76" s="116"/>
      <c r="N76" s="135" t="s">
        <v>596</v>
      </c>
      <c r="O76" s="116"/>
      <c r="P76" s="57">
        <v>43643</v>
      </c>
      <c r="Q76" s="57" t="s">
        <v>30</v>
      </c>
      <c r="R76" s="57" t="s">
        <v>30</v>
      </c>
      <c r="S76" s="34" t="s">
        <v>30</v>
      </c>
      <c r="T76" s="57" t="s">
        <v>30</v>
      </c>
      <c r="U76" s="57" t="s">
        <v>30</v>
      </c>
      <c r="V76" s="57" t="s">
        <v>30</v>
      </c>
      <c r="W76" s="137">
        <f t="shared" si="30"/>
        <v>44008</v>
      </c>
      <c r="X76" s="57" t="str">
        <f t="shared" si="31"/>
        <v>NC</v>
      </c>
      <c r="Y76" s="57" t="str">
        <f t="shared" si="32"/>
        <v>NC</v>
      </c>
      <c r="Z76" s="57" t="str">
        <f t="shared" si="33"/>
        <v>NC</v>
      </c>
      <c r="AA76" s="57" t="str">
        <f t="shared" si="34"/>
        <v>NC</v>
      </c>
      <c r="AB76" s="57" t="str">
        <f t="shared" si="35"/>
        <v>NC</v>
      </c>
      <c r="AC76" s="57" t="str">
        <f t="shared" si="36"/>
        <v>NC</v>
      </c>
      <c r="AE76" s="123">
        <f t="shared" ca="1" si="37"/>
        <v>-1579</v>
      </c>
      <c r="AF76" s="123" t="str">
        <f t="shared" si="38"/>
        <v>NC</v>
      </c>
      <c r="AG76" s="123" t="str">
        <f t="shared" si="39"/>
        <v>NC</v>
      </c>
      <c r="AH76" s="123" t="str">
        <f t="shared" si="40"/>
        <v>NC</v>
      </c>
      <c r="AI76" s="123" t="str">
        <f t="shared" si="41"/>
        <v>NC</v>
      </c>
      <c r="AJ76" s="123" t="str">
        <f t="shared" si="42"/>
        <v>NC</v>
      </c>
      <c r="AK76" s="123" t="str">
        <f t="shared" si="43"/>
        <v>NC</v>
      </c>
      <c r="AM76" s="139">
        <f t="shared" si="44"/>
        <v>5.7654384639525044E-4</v>
      </c>
      <c r="AP76" s="138" t="s">
        <v>473</v>
      </c>
      <c r="AQ76" s="141" t="s">
        <v>643</v>
      </c>
      <c r="AR76" s="138" t="s">
        <v>742</v>
      </c>
      <c r="AS76" s="142" t="s">
        <v>1211</v>
      </c>
      <c r="AT76" s="143" t="s">
        <v>1225</v>
      </c>
      <c r="AU76" s="143"/>
    </row>
    <row r="77" spans="1:47" s="138" customFormat="1" ht="14.4" customHeight="1" x14ac:dyDescent="0.3">
      <c r="A77" s="121" t="s">
        <v>78</v>
      </c>
      <c r="B77" s="121" t="s">
        <v>581</v>
      </c>
      <c r="C77" s="121" t="s">
        <v>523</v>
      </c>
      <c r="D77" s="123" t="s">
        <v>495</v>
      </c>
      <c r="E77" s="123"/>
      <c r="F77" s="117" t="s">
        <v>238</v>
      </c>
      <c r="G77" s="99" t="s">
        <v>446</v>
      </c>
      <c r="H77" s="144">
        <v>43830</v>
      </c>
      <c r="I77" s="145">
        <v>27033000</v>
      </c>
      <c r="J77" s="146">
        <v>2018</v>
      </c>
      <c r="K77" s="154">
        <v>44409</v>
      </c>
      <c r="L77" s="133">
        <v>44166</v>
      </c>
      <c r="M77" s="148"/>
      <c r="N77" s="149" t="s">
        <v>596</v>
      </c>
      <c r="O77" s="150"/>
      <c r="P77" s="57">
        <v>43637</v>
      </c>
      <c r="Q77" s="57" t="s">
        <v>30</v>
      </c>
      <c r="R77" s="57" t="s">
        <v>30</v>
      </c>
      <c r="S77" s="34" t="s">
        <v>30</v>
      </c>
      <c r="T77" s="57" t="s">
        <v>30</v>
      </c>
      <c r="U77" s="57" t="s">
        <v>30</v>
      </c>
      <c r="V77" s="57" t="s">
        <v>30</v>
      </c>
      <c r="W77" s="137">
        <f t="shared" si="30"/>
        <v>44002</v>
      </c>
      <c r="X77" s="57" t="str">
        <f t="shared" si="31"/>
        <v>NC</v>
      </c>
      <c r="Y77" s="57" t="str">
        <f t="shared" si="32"/>
        <v>NC</v>
      </c>
      <c r="Z77" s="57" t="str">
        <f t="shared" si="33"/>
        <v>NC</v>
      </c>
      <c r="AA77" s="57" t="str">
        <f t="shared" si="34"/>
        <v>NC</v>
      </c>
      <c r="AB77" s="57" t="str">
        <f t="shared" si="35"/>
        <v>NC</v>
      </c>
      <c r="AC77" s="57" t="str">
        <f t="shared" si="36"/>
        <v>NC</v>
      </c>
      <c r="AD77" s="124"/>
      <c r="AE77" s="123">
        <f t="shared" ca="1" si="37"/>
        <v>-1585</v>
      </c>
      <c r="AF77" s="123" t="str">
        <f t="shared" si="38"/>
        <v>NC</v>
      </c>
      <c r="AG77" s="123" t="str">
        <f t="shared" si="39"/>
        <v>NC</v>
      </c>
      <c r="AH77" s="123" t="str">
        <f t="shared" si="40"/>
        <v>NC</v>
      </c>
      <c r="AI77" s="123" t="str">
        <f t="shared" si="41"/>
        <v>NC</v>
      </c>
      <c r="AJ77" s="123" t="str">
        <f t="shared" si="42"/>
        <v>NC</v>
      </c>
      <c r="AK77" s="123" t="str">
        <f t="shared" si="43"/>
        <v>NC</v>
      </c>
      <c r="AM77" s="151">
        <f t="shared" si="44"/>
        <v>2.5840752549228662E-3</v>
      </c>
      <c r="AN77" s="152"/>
      <c r="AO77" s="124"/>
      <c r="AP77" s="138" t="s">
        <v>583</v>
      </c>
      <c r="AQ77" s="141" t="s">
        <v>643</v>
      </c>
      <c r="AR77" s="124" t="s">
        <v>580</v>
      </c>
      <c r="AS77" s="143" t="s">
        <v>1215</v>
      </c>
      <c r="AT77" s="143" t="s">
        <v>1226</v>
      </c>
      <c r="AU77" s="143" t="s">
        <v>1227</v>
      </c>
    </row>
    <row r="78" spans="1:47" s="138" customFormat="1" ht="14.4" customHeight="1" x14ac:dyDescent="0.3">
      <c r="A78" s="121" t="s">
        <v>79</v>
      </c>
      <c r="B78" s="121" t="s">
        <v>766</v>
      </c>
      <c r="C78" s="121" t="s">
        <v>523</v>
      </c>
      <c r="D78" s="123" t="s">
        <v>145</v>
      </c>
      <c r="E78" s="123"/>
      <c r="F78" s="117" t="s">
        <v>239</v>
      </c>
      <c r="G78" s="99" t="s">
        <v>447</v>
      </c>
      <c r="H78" s="144">
        <v>43830</v>
      </c>
      <c r="I78" s="145">
        <v>22796610</v>
      </c>
      <c r="J78" s="146">
        <v>2018</v>
      </c>
      <c r="K78" s="154">
        <v>44470</v>
      </c>
      <c r="L78" s="133">
        <v>44166</v>
      </c>
      <c r="M78" s="148"/>
      <c r="N78" s="149" t="s">
        <v>596</v>
      </c>
      <c r="O78" s="150"/>
      <c r="P78" s="57">
        <v>43705</v>
      </c>
      <c r="Q78" s="57" t="s">
        <v>30</v>
      </c>
      <c r="R78" s="57" t="s">
        <v>30</v>
      </c>
      <c r="S78" s="34" t="s">
        <v>30</v>
      </c>
      <c r="T78" s="57" t="s">
        <v>30</v>
      </c>
      <c r="U78" s="57" t="s">
        <v>30</v>
      </c>
      <c r="V78" s="57" t="s">
        <v>30</v>
      </c>
      <c r="W78" s="137">
        <f t="shared" si="30"/>
        <v>44070</v>
      </c>
      <c r="X78" s="57" t="str">
        <f t="shared" si="31"/>
        <v>NC</v>
      </c>
      <c r="Y78" s="57" t="str">
        <f t="shared" si="32"/>
        <v>NC</v>
      </c>
      <c r="Z78" s="57" t="str">
        <f t="shared" si="33"/>
        <v>NC</v>
      </c>
      <c r="AA78" s="57" t="str">
        <f t="shared" si="34"/>
        <v>NC</v>
      </c>
      <c r="AB78" s="57" t="str">
        <f t="shared" si="35"/>
        <v>NC</v>
      </c>
      <c r="AC78" s="57" t="str">
        <f t="shared" si="36"/>
        <v>NC</v>
      </c>
      <c r="AD78" s="124"/>
      <c r="AE78" s="123">
        <f t="shared" ca="1" si="37"/>
        <v>-1517</v>
      </c>
      <c r="AF78" s="123" t="str">
        <f t="shared" si="38"/>
        <v>NC</v>
      </c>
      <c r="AG78" s="123" t="str">
        <f t="shared" si="39"/>
        <v>NC</v>
      </c>
      <c r="AH78" s="123" t="str">
        <f t="shared" si="40"/>
        <v>NC</v>
      </c>
      <c r="AI78" s="123" t="str">
        <f t="shared" si="41"/>
        <v>NC</v>
      </c>
      <c r="AJ78" s="123" t="str">
        <f t="shared" si="42"/>
        <v>NC</v>
      </c>
      <c r="AK78" s="123" t="str">
        <f t="shared" si="43"/>
        <v>NC</v>
      </c>
      <c r="AM78" s="151">
        <f t="shared" si="44"/>
        <v>2.1791201789341606E-3</v>
      </c>
      <c r="AN78" s="152"/>
      <c r="AO78" s="124"/>
      <c r="AP78" s="138" t="s">
        <v>473</v>
      </c>
      <c r="AQ78" s="141" t="s">
        <v>643</v>
      </c>
      <c r="AR78" s="124" t="s">
        <v>745</v>
      </c>
      <c r="AS78" s="143" t="s">
        <v>1215</v>
      </c>
      <c r="AT78" s="143" t="s">
        <v>1216</v>
      </c>
      <c r="AU78" s="143" t="s">
        <v>1217</v>
      </c>
    </row>
    <row r="79" spans="1:47" s="138" customFormat="1" ht="14.4" customHeight="1" x14ac:dyDescent="0.3">
      <c r="A79" s="116" t="s">
        <v>694</v>
      </c>
      <c r="B79" s="116" t="s">
        <v>358</v>
      </c>
      <c r="C79" s="117" t="s">
        <v>523</v>
      </c>
      <c r="D79" s="116" t="s">
        <v>145</v>
      </c>
      <c r="E79" s="116"/>
      <c r="F79" s="117" t="s">
        <v>801</v>
      </c>
      <c r="G79" s="120" t="s">
        <v>795</v>
      </c>
      <c r="H79" s="156">
        <v>43830</v>
      </c>
      <c r="I79" s="134">
        <v>11035000</v>
      </c>
      <c r="J79" s="120">
        <v>2018</v>
      </c>
      <c r="K79" s="132"/>
      <c r="L79" s="158">
        <v>44166</v>
      </c>
      <c r="M79" s="116"/>
      <c r="N79" s="135" t="s">
        <v>596</v>
      </c>
      <c r="O79" s="116"/>
      <c r="P79" s="57">
        <v>43566</v>
      </c>
      <c r="Q79" s="57" t="s">
        <v>30</v>
      </c>
      <c r="R79" s="57" t="s">
        <v>30</v>
      </c>
      <c r="S79" s="34" t="s">
        <v>30</v>
      </c>
      <c r="T79" s="57" t="s">
        <v>30</v>
      </c>
      <c r="U79" s="57" t="s">
        <v>30</v>
      </c>
      <c r="V79" s="57" t="s">
        <v>30</v>
      </c>
      <c r="W79" s="137">
        <f t="shared" si="30"/>
        <v>43931</v>
      </c>
      <c r="X79" s="57" t="str">
        <f t="shared" si="31"/>
        <v>NC</v>
      </c>
      <c r="Y79" s="57" t="str">
        <f t="shared" si="32"/>
        <v>NC</v>
      </c>
      <c r="Z79" s="57" t="str">
        <f t="shared" si="33"/>
        <v>NC</v>
      </c>
      <c r="AA79" s="57" t="str">
        <f t="shared" si="34"/>
        <v>NC</v>
      </c>
      <c r="AB79" s="57" t="str">
        <f t="shared" si="35"/>
        <v>NC</v>
      </c>
      <c r="AC79" s="57" t="str">
        <f t="shared" si="36"/>
        <v>NC</v>
      </c>
      <c r="AE79" s="123">
        <f t="shared" ca="1" si="37"/>
        <v>-1656</v>
      </c>
      <c r="AF79" s="123" t="str">
        <f t="shared" si="38"/>
        <v>NC</v>
      </c>
      <c r="AG79" s="123" t="str">
        <f t="shared" si="39"/>
        <v>NC</v>
      </c>
      <c r="AH79" s="123" t="str">
        <f t="shared" si="40"/>
        <v>NC</v>
      </c>
      <c r="AI79" s="123" t="str">
        <f t="shared" si="41"/>
        <v>NC</v>
      </c>
      <c r="AJ79" s="123" t="str">
        <f t="shared" si="42"/>
        <v>NC</v>
      </c>
      <c r="AK79" s="123" t="str">
        <f t="shared" si="43"/>
        <v>NC</v>
      </c>
      <c r="AM79" s="139">
        <f t="shared" si="44"/>
        <v>1.0548318883614038E-3</v>
      </c>
      <c r="AP79" s="138" t="s">
        <v>469</v>
      </c>
      <c r="AQ79" s="141" t="s">
        <v>643</v>
      </c>
      <c r="AR79" s="138" t="s">
        <v>725</v>
      </c>
      <c r="AS79" s="142" t="s">
        <v>1208</v>
      </c>
      <c r="AT79" s="143" t="s">
        <v>827</v>
      </c>
      <c r="AU79" s="143"/>
    </row>
    <row r="80" spans="1:47" s="138" customFormat="1" ht="14.4" customHeight="1" x14ac:dyDescent="0.3">
      <c r="A80" s="116" t="s">
        <v>695</v>
      </c>
      <c r="B80" s="116" t="s">
        <v>358</v>
      </c>
      <c r="C80" s="117" t="s">
        <v>523</v>
      </c>
      <c r="D80" s="116" t="s">
        <v>145</v>
      </c>
      <c r="E80" s="116"/>
      <c r="F80" s="117" t="s">
        <v>798</v>
      </c>
      <c r="G80" s="120" t="s">
        <v>792</v>
      </c>
      <c r="H80" s="156">
        <v>43830</v>
      </c>
      <c r="I80" s="134">
        <v>11035000</v>
      </c>
      <c r="J80" s="120">
        <v>2018</v>
      </c>
      <c r="K80" s="132"/>
      <c r="L80" s="158">
        <v>44166</v>
      </c>
      <c r="M80" s="116"/>
      <c r="N80" s="135" t="s">
        <v>596</v>
      </c>
      <c r="O80" s="116"/>
      <c r="P80" s="57">
        <v>43566</v>
      </c>
      <c r="Q80" s="57" t="s">
        <v>30</v>
      </c>
      <c r="R80" s="57" t="s">
        <v>30</v>
      </c>
      <c r="S80" s="34" t="s">
        <v>30</v>
      </c>
      <c r="T80" s="57" t="s">
        <v>30</v>
      </c>
      <c r="U80" s="57" t="s">
        <v>30</v>
      </c>
      <c r="V80" s="57" t="s">
        <v>30</v>
      </c>
      <c r="W80" s="137">
        <f t="shared" si="30"/>
        <v>43931</v>
      </c>
      <c r="X80" s="57" t="str">
        <f t="shared" si="31"/>
        <v>NC</v>
      </c>
      <c r="Y80" s="57" t="str">
        <f t="shared" si="32"/>
        <v>NC</v>
      </c>
      <c r="Z80" s="57" t="str">
        <f t="shared" si="33"/>
        <v>NC</v>
      </c>
      <c r="AA80" s="57" t="str">
        <f t="shared" si="34"/>
        <v>NC</v>
      </c>
      <c r="AB80" s="57" t="str">
        <f t="shared" si="35"/>
        <v>NC</v>
      </c>
      <c r="AC80" s="57" t="str">
        <f t="shared" si="36"/>
        <v>NC</v>
      </c>
      <c r="AE80" s="123">
        <f t="shared" ca="1" si="37"/>
        <v>-1656</v>
      </c>
      <c r="AF80" s="123" t="str">
        <f t="shared" si="38"/>
        <v>NC</v>
      </c>
      <c r="AG80" s="123" t="str">
        <f t="shared" si="39"/>
        <v>NC</v>
      </c>
      <c r="AH80" s="123" t="str">
        <f t="shared" si="40"/>
        <v>NC</v>
      </c>
      <c r="AI80" s="123" t="str">
        <f t="shared" si="41"/>
        <v>NC</v>
      </c>
      <c r="AJ80" s="123" t="str">
        <f t="shared" si="42"/>
        <v>NC</v>
      </c>
      <c r="AK80" s="123" t="str">
        <f t="shared" si="43"/>
        <v>NC</v>
      </c>
      <c r="AM80" s="139">
        <f t="shared" si="44"/>
        <v>1.0548318883614038E-3</v>
      </c>
      <c r="AP80" s="138" t="s">
        <v>469</v>
      </c>
      <c r="AQ80" s="141" t="s">
        <v>643</v>
      </c>
      <c r="AR80" s="138" t="s">
        <v>736</v>
      </c>
      <c r="AS80" s="142" t="s">
        <v>1208</v>
      </c>
      <c r="AT80" s="143" t="s">
        <v>827</v>
      </c>
      <c r="AU80" s="143"/>
    </row>
    <row r="81" spans="1:47" s="138" customFormat="1" ht="14.4" customHeight="1" x14ac:dyDescent="0.3">
      <c r="A81" s="116" t="s">
        <v>696</v>
      </c>
      <c r="B81" s="116" t="s">
        <v>358</v>
      </c>
      <c r="C81" s="117" t="s">
        <v>523</v>
      </c>
      <c r="D81" s="116" t="s">
        <v>495</v>
      </c>
      <c r="E81" s="116"/>
      <c r="F81" s="117" t="s">
        <v>802</v>
      </c>
      <c r="G81" s="120" t="s">
        <v>803</v>
      </c>
      <c r="H81" s="156">
        <v>43830</v>
      </c>
      <c r="I81" s="134">
        <v>11035000</v>
      </c>
      <c r="J81" s="120">
        <v>2018</v>
      </c>
      <c r="K81" s="132"/>
      <c r="L81" s="133">
        <v>44166</v>
      </c>
      <c r="M81" s="116"/>
      <c r="N81" s="135" t="s">
        <v>596</v>
      </c>
      <c r="O81" s="116"/>
      <c r="P81" s="57">
        <v>43566</v>
      </c>
      <c r="Q81" s="57" t="s">
        <v>30</v>
      </c>
      <c r="R81" s="57" t="s">
        <v>30</v>
      </c>
      <c r="S81" s="34" t="s">
        <v>30</v>
      </c>
      <c r="T81" s="57" t="s">
        <v>30</v>
      </c>
      <c r="U81" s="57" t="s">
        <v>30</v>
      </c>
      <c r="V81" s="57" t="s">
        <v>30</v>
      </c>
      <c r="W81" s="137">
        <f t="shared" si="30"/>
        <v>43931</v>
      </c>
      <c r="X81" s="57" t="str">
        <f t="shared" si="31"/>
        <v>NC</v>
      </c>
      <c r="Y81" s="57" t="str">
        <f t="shared" si="32"/>
        <v>NC</v>
      </c>
      <c r="Z81" s="57" t="str">
        <f t="shared" si="33"/>
        <v>NC</v>
      </c>
      <c r="AA81" s="57" t="str">
        <f t="shared" si="34"/>
        <v>NC</v>
      </c>
      <c r="AB81" s="57" t="str">
        <f t="shared" si="35"/>
        <v>NC</v>
      </c>
      <c r="AC81" s="57" t="str">
        <f t="shared" si="36"/>
        <v>NC</v>
      </c>
      <c r="AE81" s="123">
        <f t="shared" ca="1" si="37"/>
        <v>-1656</v>
      </c>
      <c r="AF81" s="123" t="str">
        <f t="shared" si="38"/>
        <v>NC</v>
      </c>
      <c r="AG81" s="123" t="str">
        <f t="shared" si="39"/>
        <v>NC</v>
      </c>
      <c r="AH81" s="123" t="str">
        <f t="shared" si="40"/>
        <v>NC</v>
      </c>
      <c r="AI81" s="123" t="str">
        <f t="shared" si="41"/>
        <v>NC</v>
      </c>
      <c r="AJ81" s="123" t="str">
        <f t="shared" si="42"/>
        <v>NC</v>
      </c>
      <c r="AK81" s="123" t="str">
        <f t="shared" si="43"/>
        <v>NC</v>
      </c>
      <c r="AM81" s="139">
        <f t="shared" si="44"/>
        <v>1.0548318883614038E-3</v>
      </c>
      <c r="AP81" s="138" t="s">
        <v>469</v>
      </c>
      <c r="AQ81" s="141" t="s">
        <v>643</v>
      </c>
      <c r="AR81" s="138" t="s">
        <v>1035</v>
      </c>
      <c r="AS81" s="142" t="s">
        <v>1208</v>
      </c>
      <c r="AT81" s="143" t="s">
        <v>827</v>
      </c>
      <c r="AU81" s="143" t="s">
        <v>1408</v>
      </c>
    </row>
    <row r="82" spans="1:47" s="124" customFormat="1" ht="14.4" customHeight="1" x14ac:dyDescent="0.3">
      <c r="A82" s="116" t="s">
        <v>697</v>
      </c>
      <c r="B82" s="116" t="s">
        <v>358</v>
      </c>
      <c r="C82" s="117" t="s">
        <v>523</v>
      </c>
      <c r="D82" s="116" t="s">
        <v>145</v>
      </c>
      <c r="E82" s="116"/>
      <c r="F82" s="117" t="s">
        <v>800</v>
      </c>
      <c r="G82" s="120" t="s">
        <v>794</v>
      </c>
      <c r="H82" s="156">
        <v>43830</v>
      </c>
      <c r="I82" s="134">
        <v>11035000</v>
      </c>
      <c r="J82" s="120">
        <v>2018</v>
      </c>
      <c r="K82" s="132"/>
      <c r="L82" s="158">
        <v>44166</v>
      </c>
      <c r="M82" s="116"/>
      <c r="N82" s="135" t="s">
        <v>596</v>
      </c>
      <c r="O82" s="116"/>
      <c r="P82" s="57">
        <v>43566</v>
      </c>
      <c r="Q82" s="57" t="s">
        <v>30</v>
      </c>
      <c r="R82" s="57" t="s">
        <v>30</v>
      </c>
      <c r="S82" s="34" t="s">
        <v>30</v>
      </c>
      <c r="T82" s="57" t="s">
        <v>30</v>
      </c>
      <c r="U82" s="57" t="s">
        <v>30</v>
      </c>
      <c r="V82" s="57" t="s">
        <v>30</v>
      </c>
      <c r="W82" s="137">
        <f t="shared" si="30"/>
        <v>43931</v>
      </c>
      <c r="X82" s="57" t="str">
        <f t="shared" si="31"/>
        <v>NC</v>
      </c>
      <c r="Y82" s="57" t="str">
        <f t="shared" si="32"/>
        <v>NC</v>
      </c>
      <c r="Z82" s="57" t="str">
        <f t="shared" si="33"/>
        <v>NC</v>
      </c>
      <c r="AA82" s="57" t="str">
        <f t="shared" si="34"/>
        <v>NC</v>
      </c>
      <c r="AB82" s="57" t="str">
        <f t="shared" si="35"/>
        <v>NC</v>
      </c>
      <c r="AC82" s="57" t="str">
        <f t="shared" si="36"/>
        <v>NC</v>
      </c>
      <c r="AD82" s="138"/>
      <c r="AE82" s="123">
        <f t="shared" ca="1" si="37"/>
        <v>-1656</v>
      </c>
      <c r="AF82" s="123" t="str">
        <f t="shared" si="38"/>
        <v>NC</v>
      </c>
      <c r="AG82" s="123" t="str">
        <f t="shared" si="39"/>
        <v>NC</v>
      </c>
      <c r="AH82" s="123" t="str">
        <f t="shared" si="40"/>
        <v>NC</v>
      </c>
      <c r="AI82" s="123" t="str">
        <f t="shared" si="41"/>
        <v>NC</v>
      </c>
      <c r="AJ82" s="123" t="str">
        <f t="shared" si="42"/>
        <v>NC</v>
      </c>
      <c r="AK82" s="123" t="str">
        <f t="shared" si="43"/>
        <v>NC</v>
      </c>
      <c r="AL82" s="138"/>
      <c r="AM82" s="139">
        <f t="shared" si="44"/>
        <v>1.0548318883614038E-3</v>
      </c>
      <c r="AN82" s="138"/>
      <c r="AO82" s="138"/>
      <c r="AP82" s="138" t="s">
        <v>469</v>
      </c>
      <c r="AQ82" s="141" t="s">
        <v>643</v>
      </c>
      <c r="AR82" s="138" t="s">
        <v>1011</v>
      </c>
      <c r="AS82" s="142" t="s">
        <v>1208</v>
      </c>
      <c r="AT82" s="143" t="s">
        <v>827</v>
      </c>
      <c r="AU82" s="143"/>
    </row>
    <row r="83" spans="1:47" s="138" customFormat="1" ht="14.4" customHeight="1" x14ac:dyDescent="0.3">
      <c r="A83" s="116" t="s">
        <v>698</v>
      </c>
      <c r="B83" s="116" t="s">
        <v>358</v>
      </c>
      <c r="C83" s="117" t="s">
        <v>523</v>
      </c>
      <c r="D83" s="116" t="s">
        <v>145</v>
      </c>
      <c r="E83" s="116"/>
      <c r="F83" s="117" t="s">
        <v>799</v>
      </c>
      <c r="G83" s="120" t="s">
        <v>793</v>
      </c>
      <c r="H83" s="156">
        <v>43830</v>
      </c>
      <c r="I83" s="134">
        <v>11035000</v>
      </c>
      <c r="J83" s="120">
        <v>2018</v>
      </c>
      <c r="K83" s="132"/>
      <c r="L83" s="158">
        <v>44075</v>
      </c>
      <c r="M83" s="116"/>
      <c r="N83" s="135" t="s">
        <v>596</v>
      </c>
      <c r="O83" s="116"/>
      <c r="P83" s="57">
        <v>43565</v>
      </c>
      <c r="Q83" s="57" t="s">
        <v>30</v>
      </c>
      <c r="R83" s="57" t="s">
        <v>30</v>
      </c>
      <c r="S83" s="34" t="s">
        <v>30</v>
      </c>
      <c r="T83" s="57" t="s">
        <v>30</v>
      </c>
      <c r="U83" s="57" t="s">
        <v>30</v>
      </c>
      <c r="V83" s="57" t="s">
        <v>30</v>
      </c>
      <c r="W83" s="137">
        <f t="shared" si="30"/>
        <v>43930</v>
      </c>
      <c r="X83" s="57" t="str">
        <f t="shared" si="31"/>
        <v>NC</v>
      </c>
      <c r="Y83" s="57" t="str">
        <f t="shared" si="32"/>
        <v>NC</v>
      </c>
      <c r="Z83" s="57" t="str">
        <f t="shared" si="33"/>
        <v>NC</v>
      </c>
      <c r="AA83" s="57" t="str">
        <f t="shared" si="34"/>
        <v>NC</v>
      </c>
      <c r="AB83" s="57" t="str">
        <f t="shared" si="35"/>
        <v>NC</v>
      </c>
      <c r="AC83" s="57" t="str">
        <f t="shared" si="36"/>
        <v>NC</v>
      </c>
      <c r="AE83" s="123">
        <f t="shared" ca="1" si="37"/>
        <v>-1657</v>
      </c>
      <c r="AF83" s="123" t="str">
        <f t="shared" si="38"/>
        <v>NC</v>
      </c>
      <c r="AG83" s="123" t="str">
        <f t="shared" si="39"/>
        <v>NC</v>
      </c>
      <c r="AH83" s="123" t="str">
        <f t="shared" si="40"/>
        <v>NC</v>
      </c>
      <c r="AI83" s="123" t="str">
        <f t="shared" si="41"/>
        <v>NC</v>
      </c>
      <c r="AJ83" s="123" t="str">
        <f t="shared" si="42"/>
        <v>NC</v>
      </c>
      <c r="AK83" s="123" t="str">
        <f t="shared" si="43"/>
        <v>NC</v>
      </c>
      <c r="AM83" s="139">
        <f t="shared" si="44"/>
        <v>1.0548318883614038E-3</v>
      </c>
      <c r="AP83" s="138" t="s">
        <v>469</v>
      </c>
      <c r="AQ83" s="141" t="s">
        <v>643</v>
      </c>
      <c r="AR83" s="138" t="s">
        <v>724</v>
      </c>
      <c r="AS83" s="142" t="s">
        <v>1208</v>
      </c>
      <c r="AT83" s="143" t="s">
        <v>827</v>
      </c>
      <c r="AU83" s="143"/>
    </row>
    <row r="84" spans="1:47" s="138" customFormat="1" ht="14.4" customHeight="1" x14ac:dyDescent="0.3">
      <c r="A84" s="116" t="s">
        <v>699</v>
      </c>
      <c r="B84" s="116" t="s">
        <v>358</v>
      </c>
      <c r="C84" s="117" t="s">
        <v>523</v>
      </c>
      <c r="D84" s="116" t="s">
        <v>145</v>
      </c>
      <c r="E84" s="116"/>
      <c r="F84" s="117" t="s">
        <v>797</v>
      </c>
      <c r="G84" s="120" t="s">
        <v>796</v>
      </c>
      <c r="H84" s="156">
        <v>43830</v>
      </c>
      <c r="I84" s="134">
        <v>11035000</v>
      </c>
      <c r="J84" s="120">
        <v>2018</v>
      </c>
      <c r="K84" s="132"/>
      <c r="L84" s="158">
        <v>44166</v>
      </c>
      <c r="M84" s="116"/>
      <c r="N84" s="135" t="s">
        <v>596</v>
      </c>
      <c r="O84" s="116"/>
      <c r="P84" s="57">
        <v>43565</v>
      </c>
      <c r="Q84" s="57" t="s">
        <v>30</v>
      </c>
      <c r="R84" s="57" t="s">
        <v>30</v>
      </c>
      <c r="S84" s="34" t="s">
        <v>30</v>
      </c>
      <c r="T84" s="57" t="s">
        <v>30</v>
      </c>
      <c r="U84" s="57" t="s">
        <v>30</v>
      </c>
      <c r="V84" s="57" t="s">
        <v>30</v>
      </c>
      <c r="W84" s="137">
        <f t="shared" si="30"/>
        <v>43930</v>
      </c>
      <c r="X84" s="57" t="str">
        <f t="shared" si="31"/>
        <v>NC</v>
      </c>
      <c r="Y84" s="57" t="str">
        <f t="shared" si="32"/>
        <v>NC</v>
      </c>
      <c r="Z84" s="57" t="str">
        <f t="shared" si="33"/>
        <v>NC</v>
      </c>
      <c r="AA84" s="57" t="str">
        <f t="shared" si="34"/>
        <v>NC</v>
      </c>
      <c r="AB84" s="57" t="str">
        <f t="shared" si="35"/>
        <v>NC</v>
      </c>
      <c r="AC84" s="57" t="str">
        <f t="shared" si="36"/>
        <v>NC</v>
      </c>
      <c r="AE84" s="123">
        <f t="shared" ca="1" si="37"/>
        <v>-1657</v>
      </c>
      <c r="AF84" s="123" t="str">
        <f t="shared" si="38"/>
        <v>NC</v>
      </c>
      <c r="AG84" s="123" t="str">
        <f t="shared" si="39"/>
        <v>NC</v>
      </c>
      <c r="AH84" s="123" t="str">
        <f t="shared" si="40"/>
        <v>NC</v>
      </c>
      <c r="AI84" s="123" t="str">
        <f t="shared" si="41"/>
        <v>NC</v>
      </c>
      <c r="AJ84" s="123" t="str">
        <f t="shared" si="42"/>
        <v>NC</v>
      </c>
      <c r="AK84" s="123" t="str">
        <f t="shared" si="43"/>
        <v>NC</v>
      </c>
      <c r="AM84" s="139">
        <f t="shared" si="44"/>
        <v>1.0548318883614038E-3</v>
      </c>
      <c r="AP84" s="138" t="s">
        <v>469</v>
      </c>
      <c r="AQ84" s="141" t="s">
        <v>643</v>
      </c>
      <c r="AR84" s="138" t="s">
        <v>748</v>
      </c>
      <c r="AS84" s="142" t="s">
        <v>1208</v>
      </c>
      <c r="AT84" s="143" t="s">
        <v>827</v>
      </c>
      <c r="AU84" s="143"/>
    </row>
    <row r="85" spans="1:47" s="138" customFormat="1" ht="14.4" customHeight="1" x14ac:dyDescent="0.3">
      <c r="A85" s="116" t="s">
        <v>700</v>
      </c>
      <c r="B85" s="116" t="s">
        <v>358</v>
      </c>
      <c r="C85" s="117" t="s">
        <v>523</v>
      </c>
      <c r="D85" s="116" t="s">
        <v>145</v>
      </c>
      <c r="E85" s="116"/>
      <c r="F85" s="117" t="s">
        <v>804</v>
      </c>
      <c r="G85" s="120" t="s">
        <v>805</v>
      </c>
      <c r="H85" s="156">
        <v>43830</v>
      </c>
      <c r="I85" s="134">
        <v>11035000</v>
      </c>
      <c r="J85" s="120">
        <v>2018</v>
      </c>
      <c r="K85" s="132"/>
      <c r="L85" s="158">
        <v>44166</v>
      </c>
      <c r="M85" s="116"/>
      <c r="N85" s="135" t="s">
        <v>596</v>
      </c>
      <c r="O85" s="116"/>
      <c r="P85" s="57">
        <v>43566</v>
      </c>
      <c r="Q85" s="57" t="s">
        <v>30</v>
      </c>
      <c r="R85" s="57" t="s">
        <v>30</v>
      </c>
      <c r="S85" s="34" t="s">
        <v>30</v>
      </c>
      <c r="T85" s="57" t="s">
        <v>30</v>
      </c>
      <c r="U85" s="57" t="s">
        <v>30</v>
      </c>
      <c r="V85" s="57" t="s">
        <v>30</v>
      </c>
      <c r="W85" s="137">
        <f t="shared" si="30"/>
        <v>43931</v>
      </c>
      <c r="X85" s="57" t="str">
        <f t="shared" si="31"/>
        <v>NC</v>
      </c>
      <c r="Y85" s="57" t="str">
        <f t="shared" si="32"/>
        <v>NC</v>
      </c>
      <c r="Z85" s="57" t="str">
        <f t="shared" si="33"/>
        <v>NC</v>
      </c>
      <c r="AA85" s="57" t="str">
        <f t="shared" si="34"/>
        <v>NC</v>
      </c>
      <c r="AB85" s="57" t="str">
        <f t="shared" si="35"/>
        <v>NC</v>
      </c>
      <c r="AC85" s="57" t="str">
        <f t="shared" si="36"/>
        <v>NC</v>
      </c>
      <c r="AE85" s="123">
        <f t="shared" ca="1" si="37"/>
        <v>-1656</v>
      </c>
      <c r="AF85" s="123" t="str">
        <f t="shared" si="38"/>
        <v>NC</v>
      </c>
      <c r="AG85" s="123" t="str">
        <f t="shared" si="39"/>
        <v>NC</v>
      </c>
      <c r="AH85" s="123" t="str">
        <f t="shared" si="40"/>
        <v>NC</v>
      </c>
      <c r="AI85" s="123" t="str">
        <f t="shared" si="41"/>
        <v>NC</v>
      </c>
      <c r="AJ85" s="123" t="str">
        <f t="shared" si="42"/>
        <v>NC</v>
      </c>
      <c r="AK85" s="123" t="str">
        <f t="shared" si="43"/>
        <v>NC</v>
      </c>
      <c r="AM85" s="139">
        <f t="shared" si="44"/>
        <v>1.0548318883614038E-3</v>
      </c>
      <c r="AP85" s="138" t="s">
        <v>469</v>
      </c>
      <c r="AQ85" s="141" t="s">
        <v>643</v>
      </c>
      <c r="AR85" s="138" t="s">
        <v>1036</v>
      </c>
      <c r="AS85" s="142" t="s">
        <v>1208</v>
      </c>
      <c r="AT85" s="143" t="s">
        <v>827</v>
      </c>
      <c r="AU85" s="143"/>
    </row>
    <row r="86" spans="1:47" s="138" customFormat="1" ht="14.4" customHeight="1" x14ac:dyDescent="0.3">
      <c r="A86" s="116" t="s">
        <v>683</v>
      </c>
      <c r="B86" s="116" t="s">
        <v>1409</v>
      </c>
      <c r="C86" s="117" t="s">
        <v>523</v>
      </c>
      <c r="D86" s="116" t="s">
        <v>495</v>
      </c>
      <c r="E86" s="116"/>
      <c r="F86" s="117" t="s">
        <v>737</v>
      </c>
      <c r="G86" s="120" t="s">
        <v>833</v>
      </c>
      <c r="H86" s="156">
        <v>43830</v>
      </c>
      <c r="I86" s="134">
        <v>20255000</v>
      </c>
      <c r="J86" s="120">
        <v>2019</v>
      </c>
      <c r="K86" s="132">
        <v>44682</v>
      </c>
      <c r="L86" s="133">
        <v>44166</v>
      </c>
      <c r="M86" s="116"/>
      <c r="N86" s="135" t="s">
        <v>596</v>
      </c>
      <c r="O86" s="116"/>
      <c r="P86" s="57">
        <v>43580</v>
      </c>
      <c r="Q86" s="57" t="s">
        <v>30</v>
      </c>
      <c r="R86" s="57" t="s">
        <v>30</v>
      </c>
      <c r="S86" s="34" t="s">
        <v>30</v>
      </c>
      <c r="T86" s="57" t="s">
        <v>30</v>
      </c>
      <c r="U86" s="57" t="s">
        <v>30</v>
      </c>
      <c r="V86" s="57" t="s">
        <v>30</v>
      </c>
      <c r="W86" s="137">
        <f t="shared" si="30"/>
        <v>43945</v>
      </c>
      <c r="X86" s="57" t="str">
        <f t="shared" si="31"/>
        <v>NC</v>
      </c>
      <c r="Y86" s="57" t="str">
        <f t="shared" si="32"/>
        <v>NC</v>
      </c>
      <c r="Z86" s="57" t="str">
        <f t="shared" si="33"/>
        <v>NC</v>
      </c>
      <c r="AA86" s="57" t="str">
        <f t="shared" si="34"/>
        <v>NC</v>
      </c>
      <c r="AB86" s="57" t="str">
        <f t="shared" si="35"/>
        <v>NC</v>
      </c>
      <c r="AC86" s="57" t="str">
        <f t="shared" si="36"/>
        <v>NC</v>
      </c>
      <c r="AE86" s="123">
        <f t="shared" ca="1" si="37"/>
        <v>-1642</v>
      </c>
      <c r="AF86" s="123" t="str">
        <f t="shared" si="38"/>
        <v>NC</v>
      </c>
      <c r="AG86" s="123" t="str">
        <f t="shared" si="39"/>
        <v>NC</v>
      </c>
      <c r="AH86" s="123" t="str">
        <f t="shared" si="40"/>
        <v>NC</v>
      </c>
      <c r="AI86" s="123" t="str">
        <f t="shared" si="41"/>
        <v>NC</v>
      </c>
      <c r="AJ86" s="123" t="str">
        <f t="shared" si="42"/>
        <v>NC</v>
      </c>
      <c r="AK86" s="123" t="str">
        <f t="shared" si="43"/>
        <v>NC</v>
      </c>
      <c r="AM86" s="139">
        <f t="shared" si="44"/>
        <v>7.698019517953722E-4</v>
      </c>
      <c r="AP86" s="138" t="s">
        <v>583</v>
      </c>
      <c r="AQ86" s="141" t="s">
        <v>643</v>
      </c>
      <c r="AR86" s="138" t="s">
        <v>739</v>
      </c>
      <c r="AS86" s="142" t="s">
        <v>1224</v>
      </c>
      <c r="AT86" s="143" t="s">
        <v>1231</v>
      </c>
      <c r="AU86" s="143" t="s">
        <v>1410</v>
      </c>
    </row>
    <row r="87" spans="1:47" s="138" customFormat="1" ht="14.4" customHeight="1" x14ac:dyDescent="0.3">
      <c r="A87" s="116" t="s">
        <v>692</v>
      </c>
      <c r="B87" s="116" t="s">
        <v>766</v>
      </c>
      <c r="C87" s="117" t="s">
        <v>523</v>
      </c>
      <c r="D87" s="116" t="s">
        <v>495</v>
      </c>
      <c r="E87" s="116"/>
      <c r="F87" s="117" t="s">
        <v>844</v>
      </c>
      <c r="G87" s="120" t="s">
        <v>879</v>
      </c>
      <c r="H87" s="156">
        <v>43830</v>
      </c>
      <c r="I87" s="145">
        <v>22796610</v>
      </c>
      <c r="J87" s="120">
        <v>2019</v>
      </c>
      <c r="K87" s="132"/>
      <c r="L87" s="133">
        <v>44166</v>
      </c>
      <c r="M87" s="116"/>
      <c r="N87" s="135" t="s">
        <v>596</v>
      </c>
      <c r="O87" s="116"/>
      <c r="P87" s="57">
        <v>43657</v>
      </c>
      <c r="Q87" s="57" t="s">
        <v>30</v>
      </c>
      <c r="R87" s="57" t="s">
        <v>30</v>
      </c>
      <c r="S87" s="34" t="s">
        <v>30</v>
      </c>
      <c r="T87" s="57" t="s">
        <v>30</v>
      </c>
      <c r="U87" s="57" t="s">
        <v>30</v>
      </c>
      <c r="V87" s="57" t="s">
        <v>30</v>
      </c>
      <c r="W87" s="137">
        <f t="shared" si="30"/>
        <v>44022</v>
      </c>
      <c r="X87" s="57" t="str">
        <f t="shared" si="31"/>
        <v>NC</v>
      </c>
      <c r="Y87" s="57" t="str">
        <f t="shared" si="32"/>
        <v>NC</v>
      </c>
      <c r="Z87" s="57" t="str">
        <f t="shared" si="33"/>
        <v>NC</v>
      </c>
      <c r="AA87" s="57" t="str">
        <f t="shared" si="34"/>
        <v>NC</v>
      </c>
      <c r="AB87" s="57" t="str">
        <f t="shared" si="35"/>
        <v>NC</v>
      </c>
      <c r="AC87" s="57" t="str">
        <f t="shared" si="36"/>
        <v>NC</v>
      </c>
      <c r="AE87" s="123">
        <f t="shared" ca="1" si="37"/>
        <v>-1565</v>
      </c>
      <c r="AF87" s="123" t="str">
        <f t="shared" si="38"/>
        <v>NC</v>
      </c>
      <c r="AG87" s="123" t="str">
        <f t="shared" si="39"/>
        <v>NC</v>
      </c>
      <c r="AH87" s="123" t="str">
        <f t="shared" si="40"/>
        <v>NC</v>
      </c>
      <c r="AI87" s="123" t="str">
        <f t="shared" si="41"/>
        <v>NC</v>
      </c>
      <c r="AJ87" s="123" t="str">
        <f t="shared" si="42"/>
        <v>NC</v>
      </c>
      <c r="AK87" s="123" t="str">
        <f t="shared" si="43"/>
        <v>NC</v>
      </c>
      <c r="AM87" s="139">
        <f t="shared" si="44"/>
        <v>8.6639717957629728E-4</v>
      </c>
      <c r="AP87" s="138" t="s">
        <v>469</v>
      </c>
      <c r="AQ87" s="141" t="s">
        <v>643</v>
      </c>
      <c r="AR87" s="138" t="s">
        <v>726</v>
      </c>
      <c r="AS87" s="142" t="s">
        <v>1215</v>
      </c>
      <c r="AT87" s="143" t="s">
        <v>1216</v>
      </c>
      <c r="AU87" s="143" t="s">
        <v>1217</v>
      </c>
    </row>
    <row r="88" spans="1:47" s="159" customFormat="1" ht="14.4" customHeight="1" x14ac:dyDescent="0.3">
      <c r="A88" s="116" t="s">
        <v>693</v>
      </c>
      <c r="B88" s="116" t="s">
        <v>752</v>
      </c>
      <c r="C88" s="117" t="s">
        <v>523</v>
      </c>
      <c r="D88" s="116" t="s">
        <v>495</v>
      </c>
      <c r="E88" s="116"/>
      <c r="F88" s="117" t="s">
        <v>712</v>
      </c>
      <c r="G88" s="120" t="s">
        <v>808</v>
      </c>
      <c r="H88" s="156">
        <v>43830</v>
      </c>
      <c r="I88" s="134">
        <v>7640000</v>
      </c>
      <c r="J88" s="120">
        <v>2019</v>
      </c>
      <c r="K88" s="132"/>
      <c r="L88" s="133">
        <v>44166</v>
      </c>
      <c r="M88" s="116"/>
      <c r="N88" s="135" t="s">
        <v>596</v>
      </c>
      <c r="O88" s="116"/>
      <c r="P88" s="57">
        <v>43559</v>
      </c>
      <c r="Q88" s="57" t="s">
        <v>30</v>
      </c>
      <c r="R88" s="57" t="s">
        <v>30</v>
      </c>
      <c r="S88" s="34" t="s">
        <v>30</v>
      </c>
      <c r="T88" s="57" t="s">
        <v>30</v>
      </c>
      <c r="U88" s="57" t="s">
        <v>30</v>
      </c>
      <c r="V88" s="57" t="s">
        <v>30</v>
      </c>
      <c r="W88" s="137">
        <f t="shared" si="30"/>
        <v>43924</v>
      </c>
      <c r="X88" s="57" t="str">
        <f t="shared" si="31"/>
        <v>NC</v>
      </c>
      <c r="Y88" s="57" t="str">
        <f t="shared" si="32"/>
        <v>NC</v>
      </c>
      <c r="Z88" s="57" t="str">
        <f t="shared" si="33"/>
        <v>NC</v>
      </c>
      <c r="AA88" s="57" t="str">
        <f t="shared" si="34"/>
        <v>NC</v>
      </c>
      <c r="AB88" s="57" t="str">
        <f t="shared" si="35"/>
        <v>NC</v>
      </c>
      <c r="AC88" s="57" t="str">
        <f t="shared" si="36"/>
        <v>NC</v>
      </c>
      <c r="AD88" s="138"/>
      <c r="AE88" s="123">
        <f t="shared" ca="1" si="37"/>
        <v>-1663</v>
      </c>
      <c r="AF88" s="123" t="str">
        <f t="shared" si="38"/>
        <v>NC</v>
      </c>
      <c r="AG88" s="123" t="str">
        <f t="shared" si="39"/>
        <v>NC</v>
      </c>
      <c r="AH88" s="123" t="str">
        <f t="shared" si="40"/>
        <v>NC</v>
      </c>
      <c r="AI88" s="123" t="str">
        <f t="shared" si="41"/>
        <v>NC</v>
      </c>
      <c r="AJ88" s="123" t="str">
        <f t="shared" si="42"/>
        <v>NC</v>
      </c>
      <c r="AK88" s="123" t="str">
        <f t="shared" si="43"/>
        <v>NC</v>
      </c>
      <c r="AL88" s="138"/>
      <c r="AM88" s="151">
        <f t="shared" si="44"/>
        <v>2.9036222718917026E-4</v>
      </c>
      <c r="AN88" s="124"/>
      <c r="AO88" s="124"/>
      <c r="AP88" s="124" t="s">
        <v>469</v>
      </c>
      <c r="AQ88" s="141" t="s">
        <v>643</v>
      </c>
      <c r="AR88" s="138" t="s">
        <v>1025</v>
      </c>
      <c r="AS88" s="142" t="s">
        <v>1208</v>
      </c>
      <c r="AT88" s="143" t="s">
        <v>1213</v>
      </c>
      <c r="AU88" s="143"/>
    </row>
    <row r="89" spans="1:47" s="159" customFormat="1" ht="14.4" customHeight="1" x14ac:dyDescent="0.3">
      <c r="A89" s="116" t="s">
        <v>775</v>
      </c>
      <c r="B89" s="116" t="s">
        <v>670</v>
      </c>
      <c r="C89" s="117" t="s">
        <v>523</v>
      </c>
      <c r="D89" s="116" t="s">
        <v>145</v>
      </c>
      <c r="E89" s="116"/>
      <c r="F89" s="117" t="s">
        <v>837</v>
      </c>
      <c r="G89" s="120" t="s">
        <v>884</v>
      </c>
      <c r="H89" s="156">
        <v>43830</v>
      </c>
      <c r="I89" s="134">
        <v>14576000</v>
      </c>
      <c r="J89" s="120">
        <v>2019</v>
      </c>
      <c r="K89" s="132"/>
      <c r="L89" s="158">
        <v>44166</v>
      </c>
      <c r="M89" s="116"/>
      <c r="N89" s="135" t="s">
        <v>596</v>
      </c>
      <c r="O89" s="116"/>
      <c r="P89" s="57">
        <v>43644</v>
      </c>
      <c r="Q89" s="57" t="s">
        <v>30</v>
      </c>
      <c r="R89" s="57" t="s">
        <v>30</v>
      </c>
      <c r="S89" s="34" t="s">
        <v>30</v>
      </c>
      <c r="T89" s="57" t="s">
        <v>30</v>
      </c>
      <c r="U89" s="57" t="s">
        <v>30</v>
      </c>
      <c r="V89" s="57" t="s">
        <v>30</v>
      </c>
      <c r="W89" s="137">
        <f t="shared" si="30"/>
        <v>44009</v>
      </c>
      <c r="X89" s="57" t="str">
        <f t="shared" si="31"/>
        <v>NC</v>
      </c>
      <c r="Y89" s="57" t="str">
        <f t="shared" si="32"/>
        <v>NC</v>
      </c>
      <c r="Z89" s="57" t="str">
        <f t="shared" si="33"/>
        <v>NC</v>
      </c>
      <c r="AA89" s="57" t="str">
        <f t="shared" si="34"/>
        <v>NC</v>
      </c>
      <c r="AB89" s="57" t="str">
        <f t="shared" si="35"/>
        <v>NC</v>
      </c>
      <c r="AC89" s="57" t="str">
        <f t="shared" si="36"/>
        <v>NC</v>
      </c>
      <c r="AD89" s="138"/>
      <c r="AE89" s="123">
        <f t="shared" ca="1" si="37"/>
        <v>-1578</v>
      </c>
      <c r="AF89" s="123" t="str">
        <f t="shared" si="38"/>
        <v>NC</v>
      </c>
      <c r="AG89" s="123" t="str">
        <f t="shared" si="39"/>
        <v>NC</v>
      </c>
      <c r="AH89" s="123" t="str">
        <f t="shared" si="40"/>
        <v>NC</v>
      </c>
      <c r="AI89" s="123" t="str">
        <f t="shared" si="41"/>
        <v>NC</v>
      </c>
      <c r="AJ89" s="123" t="str">
        <f t="shared" si="42"/>
        <v>NC</v>
      </c>
      <c r="AK89" s="123" t="str">
        <f t="shared" si="43"/>
        <v>NC</v>
      </c>
      <c r="AL89" s="138"/>
      <c r="AM89" s="139">
        <f t="shared" si="44"/>
        <v>5.5396856328656361E-4</v>
      </c>
      <c r="AN89" s="138"/>
      <c r="AO89" s="138"/>
      <c r="AP89" s="138" t="s">
        <v>469</v>
      </c>
      <c r="AQ89" s="141" t="s">
        <v>643</v>
      </c>
      <c r="AR89" s="138" t="s">
        <v>741</v>
      </c>
      <c r="AS89" s="142" t="s">
        <v>1211</v>
      </c>
      <c r="AT89" s="143" t="s">
        <v>1212</v>
      </c>
      <c r="AU89" s="143"/>
    </row>
    <row r="90" spans="1:47" s="159" customFormat="1" ht="14.4" customHeight="1" x14ac:dyDescent="0.3">
      <c r="A90" s="116" t="s">
        <v>774</v>
      </c>
      <c r="B90" s="116" t="s">
        <v>75</v>
      </c>
      <c r="C90" s="117" t="s">
        <v>523</v>
      </c>
      <c r="D90" s="116" t="s">
        <v>145</v>
      </c>
      <c r="E90" s="116"/>
      <c r="F90" s="117" t="s">
        <v>813</v>
      </c>
      <c r="G90" s="120" t="s">
        <v>849</v>
      </c>
      <c r="H90" s="156">
        <v>43830</v>
      </c>
      <c r="I90" s="134">
        <v>7640000</v>
      </c>
      <c r="J90" s="120">
        <v>2019</v>
      </c>
      <c r="K90" s="132"/>
      <c r="L90" s="158">
        <v>44166</v>
      </c>
      <c r="M90" s="116"/>
      <c r="N90" s="135" t="s">
        <v>596</v>
      </c>
      <c r="O90" s="116"/>
      <c r="P90" s="57">
        <v>43612</v>
      </c>
      <c r="Q90" s="57" t="s">
        <v>30</v>
      </c>
      <c r="R90" s="57" t="s">
        <v>30</v>
      </c>
      <c r="S90" s="34" t="s">
        <v>30</v>
      </c>
      <c r="T90" s="57" t="s">
        <v>30</v>
      </c>
      <c r="U90" s="57" t="s">
        <v>30</v>
      </c>
      <c r="V90" s="57" t="s">
        <v>30</v>
      </c>
      <c r="W90" s="137">
        <f t="shared" si="30"/>
        <v>43977</v>
      </c>
      <c r="X90" s="57" t="str">
        <f t="shared" si="31"/>
        <v>NC</v>
      </c>
      <c r="Y90" s="57" t="str">
        <f t="shared" si="32"/>
        <v>NC</v>
      </c>
      <c r="Z90" s="57" t="str">
        <f t="shared" si="33"/>
        <v>NC</v>
      </c>
      <c r="AA90" s="57" t="str">
        <f t="shared" si="34"/>
        <v>NC</v>
      </c>
      <c r="AB90" s="57" t="str">
        <f t="shared" si="35"/>
        <v>NC</v>
      </c>
      <c r="AC90" s="57" t="str">
        <f t="shared" si="36"/>
        <v>NC</v>
      </c>
      <c r="AD90" s="138"/>
      <c r="AE90" s="123">
        <f t="shared" ca="1" si="37"/>
        <v>-1610</v>
      </c>
      <c r="AF90" s="123" t="str">
        <f t="shared" si="38"/>
        <v>NC</v>
      </c>
      <c r="AG90" s="123" t="str">
        <f t="shared" si="39"/>
        <v>NC</v>
      </c>
      <c r="AH90" s="123" t="str">
        <f t="shared" si="40"/>
        <v>NC</v>
      </c>
      <c r="AI90" s="123" t="str">
        <f t="shared" si="41"/>
        <v>NC</v>
      </c>
      <c r="AJ90" s="123" t="str">
        <f t="shared" si="42"/>
        <v>NC</v>
      </c>
      <c r="AK90" s="123" t="str">
        <f t="shared" si="43"/>
        <v>NC</v>
      </c>
      <c r="AL90" s="138"/>
      <c r="AM90" s="139">
        <f t="shared" si="44"/>
        <v>2.9036222718917026E-4</v>
      </c>
      <c r="AN90" s="138"/>
      <c r="AO90" s="138"/>
      <c r="AP90" s="138" t="s">
        <v>469</v>
      </c>
      <c r="AQ90" s="141" t="s">
        <v>643</v>
      </c>
      <c r="AR90" s="138" t="s">
        <v>1037</v>
      </c>
      <c r="AS90" s="142" t="s">
        <v>1208</v>
      </c>
      <c r="AT90" s="143" t="s">
        <v>1213</v>
      </c>
      <c r="AU90" s="143"/>
    </row>
    <row r="91" spans="1:47" s="159" customFormat="1" ht="14.4" customHeight="1" x14ac:dyDescent="0.3">
      <c r="A91" s="116" t="s">
        <v>787</v>
      </c>
      <c r="B91" s="116" t="s">
        <v>75</v>
      </c>
      <c r="C91" s="117" t="s">
        <v>523</v>
      </c>
      <c r="D91" s="116" t="s">
        <v>145</v>
      </c>
      <c r="E91" s="116"/>
      <c r="F91" s="117" t="s">
        <v>842</v>
      </c>
      <c r="G91" s="120" t="s">
        <v>1000</v>
      </c>
      <c r="H91" s="156">
        <v>43830</v>
      </c>
      <c r="I91" s="134">
        <v>7640000</v>
      </c>
      <c r="J91" s="120">
        <v>2019</v>
      </c>
      <c r="K91" s="132"/>
      <c r="L91" s="158">
        <v>44166</v>
      </c>
      <c r="M91" s="116"/>
      <c r="N91" s="135" t="s">
        <v>596</v>
      </c>
      <c r="O91" s="116"/>
      <c r="P91" s="57">
        <v>43657</v>
      </c>
      <c r="Q91" s="57" t="s">
        <v>30</v>
      </c>
      <c r="R91" s="57" t="s">
        <v>30</v>
      </c>
      <c r="S91" s="34" t="s">
        <v>30</v>
      </c>
      <c r="T91" s="57" t="s">
        <v>30</v>
      </c>
      <c r="U91" s="57" t="s">
        <v>30</v>
      </c>
      <c r="V91" s="57" t="s">
        <v>30</v>
      </c>
      <c r="W91" s="137">
        <f t="shared" si="30"/>
        <v>44022</v>
      </c>
      <c r="X91" s="57" t="str">
        <f t="shared" si="31"/>
        <v>NC</v>
      </c>
      <c r="Y91" s="57" t="str">
        <f t="shared" si="32"/>
        <v>NC</v>
      </c>
      <c r="Z91" s="57" t="str">
        <f t="shared" si="33"/>
        <v>NC</v>
      </c>
      <c r="AA91" s="57" t="str">
        <f t="shared" si="34"/>
        <v>NC</v>
      </c>
      <c r="AB91" s="57" t="str">
        <f t="shared" si="35"/>
        <v>NC</v>
      </c>
      <c r="AC91" s="57" t="str">
        <f t="shared" si="36"/>
        <v>NC</v>
      </c>
      <c r="AD91" s="138"/>
      <c r="AE91" s="123">
        <f t="shared" ca="1" si="37"/>
        <v>-1565</v>
      </c>
      <c r="AF91" s="123" t="str">
        <f t="shared" si="38"/>
        <v>NC</v>
      </c>
      <c r="AG91" s="123" t="str">
        <f t="shared" si="39"/>
        <v>NC</v>
      </c>
      <c r="AH91" s="123" t="str">
        <f t="shared" si="40"/>
        <v>NC</v>
      </c>
      <c r="AI91" s="123" t="str">
        <f t="shared" si="41"/>
        <v>NC</v>
      </c>
      <c r="AJ91" s="123" t="str">
        <f t="shared" si="42"/>
        <v>NC</v>
      </c>
      <c r="AK91" s="123" t="str">
        <f t="shared" si="43"/>
        <v>NC</v>
      </c>
      <c r="AL91" s="138"/>
      <c r="AM91" s="139">
        <f t="shared" si="44"/>
        <v>2.9036222718917026E-4</v>
      </c>
      <c r="AN91" s="138"/>
      <c r="AO91" s="138"/>
      <c r="AP91" s="138" t="s">
        <v>469</v>
      </c>
      <c r="AQ91" s="141" t="s">
        <v>643</v>
      </c>
      <c r="AR91" s="138" t="s">
        <v>1038</v>
      </c>
      <c r="AS91" s="142" t="s">
        <v>1208</v>
      </c>
      <c r="AT91" s="143" t="s">
        <v>1213</v>
      </c>
      <c r="AU91" s="143" t="s">
        <v>1411</v>
      </c>
    </row>
    <row r="92" spans="1:47" s="159" customFormat="1" ht="14.4" customHeight="1" x14ac:dyDescent="0.3">
      <c r="A92" s="116" t="s">
        <v>907</v>
      </c>
      <c r="B92" s="116" t="s">
        <v>358</v>
      </c>
      <c r="C92" s="117" t="s">
        <v>522</v>
      </c>
      <c r="D92" s="116" t="s">
        <v>145</v>
      </c>
      <c r="E92" s="116"/>
      <c r="F92" s="117" t="s">
        <v>908</v>
      </c>
      <c r="G92" s="120" t="s">
        <v>1014</v>
      </c>
      <c r="H92" s="156">
        <v>43830</v>
      </c>
      <c r="I92" s="134">
        <v>11035000</v>
      </c>
      <c r="J92" s="120">
        <v>2019</v>
      </c>
      <c r="K92" s="132"/>
      <c r="L92" s="158">
        <v>44166</v>
      </c>
      <c r="M92" s="116"/>
      <c r="N92" s="135" t="s">
        <v>596</v>
      </c>
      <c r="O92" s="116"/>
      <c r="P92" s="57">
        <v>43798</v>
      </c>
      <c r="Q92" s="57" t="s">
        <v>30</v>
      </c>
      <c r="R92" s="57" t="s">
        <v>30</v>
      </c>
      <c r="S92" s="34" t="s">
        <v>30</v>
      </c>
      <c r="T92" s="57" t="s">
        <v>30</v>
      </c>
      <c r="U92" s="57" t="s">
        <v>30</v>
      </c>
      <c r="V92" s="57" t="s">
        <v>30</v>
      </c>
      <c r="W92" s="137">
        <f t="shared" si="30"/>
        <v>44163</v>
      </c>
      <c r="X92" s="57" t="str">
        <f t="shared" si="31"/>
        <v>NC</v>
      </c>
      <c r="Y92" s="57" t="str">
        <f t="shared" si="32"/>
        <v>NC</v>
      </c>
      <c r="Z92" s="57" t="str">
        <f t="shared" si="33"/>
        <v>NC</v>
      </c>
      <c r="AA92" s="57" t="str">
        <f t="shared" si="34"/>
        <v>NC</v>
      </c>
      <c r="AB92" s="57" t="str">
        <f t="shared" si="35"/>
        <v>NC</v>
      </c>
      <c r="AC92" s="57" t="str">
        <f t="shared" si="36"/>
        <v>NC</v>
      </c>
      <c r="AD92" s="138"/>
      <c r="AE92" s="123">
        <f t="shared" ca="1" si="37"/>
        <v>-1424</v>
      </c>
      <c r="AF92" s="123" t="str">
        <f t="shared" si="38"/>
        <v>NC</v>
      </c>
      <c r="AG92" s="123" t="str">
        <f t="shared" si="39"/>
        <v>NC</v>
      </c>
      <c r="AH92" s="123" t="str">
        <f t="shared" si="40"/>
        <v>NC</v>
      </c>
      <c r="AI92" s="123" t="str">
        <f t="shared" si="41"/>
        <v>NC</v>
      </c>
      <c r="AJ92" s="123" t="str">
        <f t="shared" si="42"/>
        <v>NC</v>
      </c>
      <c r="AK92" s="123" t="str">
        <f t="shared" si="43"/>
        <v>NC</v>
      </c>
      <c r="AL92" s="138"/>
      <c r="AM92" s="139">
        <f t="shared" si="44"/>
        <v>4.1939099175817987E-4</v>
      </c>
      <c r="AN92" s="138"/>
      <c r="AO92" s="138"/>
      <c r="AP92" s="138" t="s">
        <v>473</v>
      </c>
      <c r="AQ92" s="141" t="s">
        <v>643</v>
      </c>
      <c r="AR92" s="138" t="s">
        <v>770</v>
      </c>
      <c r="AS92" s="142" t="s">
        <v>1208</v>
      </c>
      <c r="AT92" s="143" t="s">
        <v>827</v>
      </c>
      <c r="AU92" s="143" t="s">
        <v>1408</v>
      </c>
    </row>
    <row r="93" spans="1:47" s="138" customFormat="1" ht="14.4" customHeight="1" x14ac:dyDescent="0.3">
      <c r="A93" s="116" t="s">
        <v>909</v>
      </c>
      <c r="B93" s="116" t="s">
        <v>827</v>
      </c>
      <c r="C93" s="117" t="s">
        <v>523</v>
      </c>
      <c r="D93" s="116" t="s">
        <v>495</v>
      </c>
      <c r="E93" s="116"/>
      <c r="F93" s="117" t="s">
        <v>912</v>
      </c>
      <c r="G93" s="120" t="s">
        <v>1006</v>
      </c>
      <c r="H93" s="156">
        <v>43830</v>
      </c>
      <c r="I93" s="134">
        <v>11035000</v>
      </c>
      <c r="J93" s="120">
        <v>2019</v>
      </c>
      <c r="K93" s="132"/>
      <c r="L93" s="133">
        <v>44166</v>
      </c>
      <c r="M93" s="116"/>
      <c r="N93" s="135" t="s">
        <v>596</v>
      </c>
      <c r="O93" s="116"/>
      <c r="P93" s="57">
        <v>43798</v>
      </c>
      <c r="Q93" s="57" t="s">
        <v>30</v>
      </c>
      <c r="R93" s="57" t="s">
        <v>30</v>
      </c>
      <c r="S93" s="34" t="s">
        <v>30</v>
      </c>
      <c r="T93" s="57" t="s">
        <v>30</v>
      </c>
      <c r="U93" s="57" t="s">
        <v>30</v>
      </c>
      <c r="V93" s="57" t="s">
        <v>30</v>
      </c>
      <c r="W93" s="137">
        <f t="shared" si="30"/>
        <v>44163</v>
      </c>
      <c r="X93" s="57" t="str">
        <f t="shared" si="31"/>
        <v>NC</v>
      </c>
      <c r="Y93" s="57" t="str">
        <f t="shared" si="32"/>
        <v>NC</v>
      </c>
      <c r="Z93" s="57" t="str">
        <f t="shared" si="33"/>
        <v>NC</v>
      </c>
      <c r="AA93" s="57" t="str">
        <f t="shared" si="34"/>
        <v>NC</v>
      </c>
      <c r="AB93" s="57" t="str">
        <f t="shared" si="35"/>
        <v>NC</v>
      </c>
      <c r="AC93" s="57" t="str">
        <f t="shared" si="36"/>
        <v>NC</v>
      </c>
      <c r="AE93" s="123">
        <f t="shared" ca="1" si="37"/>
        <v>-1424</v>
      </c>
      <c r="AF93" s="123" t="str">
        <f t="shared" si="38"/>
        <v>NC</v>
      </c>
      <c r="AG93" s="123" t="str">
        <f t="shared" si="39"/>
        <v>NC</v>
      </c>
      <c r="AH93" s="123" t="str">
        <f t="shared" si="40"/>
        <v>NC</v>
      </c>
      <c r="AI93" s="123" t="str">
        <f t="shared" si="41"/>
        <v>NC</v>
      </c>
      <c r="AJ93" s="123" t="str">
        <f t="shared" si="42"/>
        <v>NC</v>
      </c>
      <c r="AK93" s="123" t="str">
        <f t="shared" si="43"/>
        <v>NC</v>
      </c>
      <c r="AM93" s="139">
        <f t="shared" si="44"/>
        <v>4.1939099175817987E-4</v>
      </c>
      <c r="AP93" s="124" t="s">
        <v>469</v>
      </c>
      <c r="AQ93" s="141" t="s">
        <v>643</v>
      </c>
      <c r="AR93" s="138" t="s">
        <v>747</v>
      </c>
      <c r="AS93" s="142" t="s">
        <v>1208</v>
      </c>
      <c r="AT93" s="143" t="s">
        <v>827</v>
      </c>
      <c r="AU93" s="143"/>
    </row>
    <row r="94" spans="1:47" s="138" customFormat="1" ht="14.4" customHeight="1" x14ac:dyDescent="0.3">
      <c r="A94" s="116" t="s">
        <v>910</v>
      </c>
      <c r="B94" s="116" t="s">
        <v>827</v>
      </c>
      <c r="C94" s="117" t="s">
        <v>523</v>
      </c>
      <c r="D94" s="116" t="s">
        <v>495</v>
      </c>
      <c r="E94" s="116"/>
      <c r="F94" s="117" t="s">
        <v>913</v>
      </c>
      <c r="G94" s="120" t="s">
        <v>1007</v>
      </c>
      <c r="H94" s="156">
        <v>43830</v>
      </c>
      <c r="I94" s="134">
        <v>11035000</v>
      </c>
      <c r="J94" s="120">
        <v>2019</v>
      </c>
      <c r="K94" s="132"/>
      <c r="L94" s="133">
        <v>44166</v>
      </c>
      <c r="M94" s="116"/>
      <c r="N94" s="135" t="s">
        <v>596</v>
      </c>
      <c r="O94" s="116"/>
      <c r="P94" s="57">
        <v>43797</v>
      </c>
      <c r="Q94" s="57" t="s">
        <v>30</v>
      </c>
      <c r="R94" s="57" t="s">
        <v>30</v>
      </c>
      <c r="S94" s="34" t="s">
        <v>30</v>
      </c>
      <c r="T94" s="57" t="s">
        <v>30</v>
      </c>
      <c r="U94" s="57" t="s">
        <v>30</v>
      </c>
      <c r="V94" s="57" t="s">
        <v>30</v>
      </c>
      <c r="W94" s="137">
        <f t="shared" si="30"/>
        <v>44162</v>
      </c>
      <c r="X94" s="57" t="str">
        <f t="shared" si="31"/>
        <v>NC</v>
      </c>
      <c r="Y94" s="57" t="str">
        <f t="shared" si="32"/>
        <v>NC</v>
      </c>
      <c r="Z94" s="57" t="str">
        <f t="shared" si="33"/>
        <v>NC</v>
      </c>
      <c r="AA94" s="57" t="str">
        <f t="shared" si="34"/>
        <v>NC</v>
      </c>
      <c r="AB94" s="57" t="str">
        <f t="shared" si="35"/>
        <v>NC</v>
      </c>
      <c r="AC94" s="57" t="str">
        <f t="shared" si="36"/>
        <v>NC</v>
      </c>
      <c r="AE94" s="123">
        <f t="shared" ca="1" si="37"/>
        <v>-1425</v>
      </c>
      <c r="AF94" s="123" t="str">
        <f t="shared" si="38"/>
        <v>NC</v>
      </c>
      <c r="AG94" s="123" t="str">
        <f t="shared" si="39"/>
        <v>NC</v>
      </c>
      <c r="AH94" s="123" t="str">
        <f t="shared" si="40"/>
        <v>NC</v>
      </c>
      <c r="AI94" s="123" t="str">
        <f t="shared" si="41"/>
        <v>NC</v>
      </c>
      <c r="AJ94" s="123" t="str">
        <f t="shared" si="42"/>
        <v>NC</v>
      </c>
      <c r="AK94" s="123" t="str">
        <f t="shared" si="43"/>
        <v>NC</v>
      </c>
      <c r="AM94" s="139">
        <f t="shared" si="44"/>
        <v>4.1939099175817987E-4</v>
      </c>
      <c r="AP94" s="124" t="s">
        <v>469</v>
      </c>
      <c r="AQ94" s="141" t="s">
        <v>643</v>
      </c>
      <c r="AR94" s="138" t="s">
        <v>840</v>
      </c>
      <c r="AS94" s="142" t="s">
        <v>1208</v>
      </c>
      <c r="AT94" s="143" t="s">
        <v>827</v>
      </c>
      <c r="AU94" s="143"/>
    </row>
    <row r="95" spans="1:47" s="138" customFormat="1" ht="14.4" customHeight="1" x14ac:dyDescent="0.3">
      <c r="A95" s="116" t="s">
        <v>911</v>
      </c>
      <c r="B95" s="116" t="s">
        <v>827</v>
      </c>
      <c r="C95" s="117" t="s">
        <v>523</v>
      </c>
      <c r="D95" s="116" t="s">
        <v>495</v>
      </c>
      <c r="E95" s="116"/>
      <c r="F95" s="117" t="s">
        <v>914</v>
      </c>
      <c r="G95" s="120" t="s">
        <v>1008</v>
      </c>
      <c r="H95" s="156">
        <v>43830</v>
      </c>
      <c r="I95" s="134">
        <v>11035000</v>
      </c>
      <c r="J95" s="120">
        <v>2019</v>
      </c>
      <c r="K95" s="132"/>
      <c r="L95" s="133">
        <v>44166</v>
      </c>
      <c r="M95" s="116"/>
      <c r="N95" s="135" t="s">
        <v>596</v>
      </c>
      <c r="O95" s="116"/>
      <c r="P95" s="57">
        <v>43798</v>
      </c>
      <c r="Q95" s="57" t="s">
        <v>30</v>
      </c>
      <c r="R95" s="57" t="s">
        <v>30</v>
      </c>
      <c r="S95" s="34" t="s">
        <v>30</v>
      </c>
      <c r="T95" s="57" t="s">
        <v>30</v>
      </c>
      <c r="U95" s="57" t="s">
        <v>30</v>
      </c>
      <c r="V95" s="57" t="s">
        <v>30</v>
      </c>
      <c r="W95" s="137">
        <f t="shared" si="30"/>
        <v>44163</v>
      </c>
      <c r="X95" s="57" t="str">
        <f t="shared" si="31"/>
        <v>NC</v>
      </c>
      <c r="Y95" s="57" t="str">
        <f t="shared" si="32"/>
        <v>NC</v>
      </c>
      <c r="Z95" s="57" t="str">
        <f t="shared" si="33"/>
        <v>NC</v>
      </c>
      <c r="AA95" s="57" t="str">
        <f t="shared" si="34"/>
        <v>NC</v>
      </c>
      <c r="AB95" s="57" t="str">
        <f t="shared" si="35"/>
        <v>NC</v>
      </c>
      <c r="AC95" s="57" t="str">
        <f t="shared" si="36"/>
        <v>NC</v>
      </c>
      <c r="AE95" s="123">
        <f t="shared" ca="1" si="37"/>
        <v>-1424</v>
      </c>
      <c r="AF95" s="123" t="str">
        <f t="shared" si="38"/>
        <v>NC</v>
      </c>
      <c r="AG95" s="123" t="str">
        <f t="shared" si="39"/>
        <v>NC</v>
      </c>
      <c r="AH95" s="123" t="str">
        <f t="shared" si="40"/>
        <v>NC</v>
      </c>
      <c r="AI95" s="123" t="str">
        <f t="shared" si="41"/>
        <v>NC</v>
      </c>
      <c r="AJ95" s="123" t="str">
        <f t="shared" si="42"/>
        <v>NC</v>
      </c>
      <c r="AK95" s="123" t="str">
        <f t="shared" si="43"/>
        <v>NC</v>
      </c>
      <c r="AM95" s="139">
        <f t="shared" si="44"/>
        <v>4.1939099175817987E-4</v>
      </c>
      <c r="AP95" s="124" t="s">
        <v>469</v>
      </c>
      <c r="AQ95" s="141" t="s">
        <v>643</v>
      </c>
      <c r="AR95" s="138" t="s">
        <v>841</v>
      </c>
      <c r="AS95" s="142" t="s">
        <v>1208</v>
      </c>
      <c r="AT95" s="143" t="s">
        <v>827</v>
      </c>
      <c r="AU95" s="143"/>
    </row>
    <row r="96" spans="1:47" s="160" customFormat="1" ht="14.4" customHeight="1" x14ac:dyDescent="0.3">
      <c r="A96" s="116" t="s">
        <v>916</v>
      </c>
      <c r="B96" s="116" t="s">
        <v>75</v>
      </c>
      <c r="C96" s="117" t="s">
        <v>523</v>
      </c>
      <c r="D96" s="116" t="s">
        <v>145</v>
      </c>
      <c r="E96" s="116"/>
      <c r="F96" s="117" t="s">
        <v>915</v>
      </c>
      <c r="G96" s="120" t="s">
        <v>1009</v>
      </c>
      <c r="H96" s="156">
        <v>43830</v>
      </c>
      <c r="I96" s="134">
        <v>7640000</v>
      </c>
      <c r="J96" s="120">
        <v>2019</v>
      </c>
      <c r="K96" s="132"/>
      <c r="L96" s="158">
        <v>44166</v>
      </c>
      <c r="M96" s="116"/>
      <c r="N96" s="135" t="s">
        <v>596</v>
      </c>
      <c r="O96" s="116"/>
      <c r="P96" s="57">
        <v>43802</v>
      </c>
      <c r="Q96" s="57" t="s">
        <v>30</v>
      </c>
      <c r="R96" s="57" t="s">
        <v>30</v>
      </c>
      <c r="S96" s="34" t="s">
        <v>30</v>
      </c>
      <c r="T96" s="57" t="s">
        <v>30</v>
      </c>
      <c r="U96" s="57" t="s">
        <v>30</v>
      </c>
      <c r="V96" s="57" t="s">
        <v>30</v>
      </c>
      <c r="W96" s="137">
        <f t="shared" si="30"/>
        <v>44167</v>
      </c>
      <c r="X96" s="57" t="str">
        <f t="shared" si="31"/>
        <v>NC</v>
      </c>
      <c r="Y96" s="57" t="str">
        <f t="shared" si="32"/>
        <v>NC</v>
      </c>
      <c r="Z96" s="57" t="str">
        <f t="shared" si="33"/>
        <v>NC</v>
      </c>
      <c r="AA96" s="57" t="str">
        <f t="shared" si="34"/>
        <v>NC</v>
      </c>
      <c r="AB96" s="57" t="str">
        <f t="shared" si="35"/>
        <v>NC</v>
      </c>
      <c r="AC96" s="57" t="str">
        <f t="shared" si="36"/>
        <v>NC</v>
      </c>
      <c r="AD96" s="138"/>
      <c r="AE96" s="123">
        <f t="shared" ca="1" si="37"/>
        <v>-1420</v>
      </c>
      <c r="AF96" s="123" t="str">
        <f t="shared" si="38"/>
        <v>NC</v>
      </c>
      <c r="AG96" s="123" t="str">
        <f t="shared" si="39"/>
        <v>NC</v>
      </c>
      <c r="AH96" s="123" t="str">
        <f t="shared" si="40"/>
        <v>NC</v>
      </c>
      <c r="AI96" s="123" t="str">
        <f t="shared" si="41"/>
        <v>NC</v>
      </c>
      <c r="AJ96" s="123" t="str">
        <f t="shared" si="42"/>
        <v>NC</v>
      </c>
      <c r="AK96" s="123" t="str">
        <f t="shared" si="43"/>
        <v>NC</v>
      </c>
      <c r="AL96" s="138"/>
      <c r="AM96" s="139">
        <f t="shared" si="44"/>
        <v>2.9036222718917026E-4</v>
      </c>
      <c r="AN96" s="138"/>
      <c r="AO96" s="138"/>
      <c r="AP96" s="138" t="s">
        <v>473</v>
      </c>
      <c r="AQ96" s="141" t="s">
        <v>643</v>
      </c>
      <c r="AR96" s="138" t="s">
        <v>769</v>
      </c>
      <c r="AS96" s="142" t="s">
        <v>1208</v>
      </c>
      <c r="AT96" s="143" t="s">
        <v>1213</v>
      </c>
      <c r="AU96" s="143"/>
    </row>
    <row r="97" spans="1:47" s="124" customFormat="1" ht="14.4" customHeight="1" x14ac:dyDescent="0.3">
      <c r="A97" s="116" t="s">
        <v>999</v>
      </c>
      <c r="B97" s="117" t="s">
        <v>766</v>
      </c>
      <c r="C97" s="117" t="s">
        <v>523</v>
      </c>
      <c r="D97" s="116" t="s">
        <v>145</v>
      </c>
      <c r="E97" s="116"/>
      <c r="F97" s="117" t="s">
        <v>1002</v>
      </c>
      <c r="G97" s="120" t="s">
        <v>1058</v>
      </c>
      <c r="H97" s="156">
        <v>44196</v>
      </c>
      <c r="I97" s="134">
        <v>23644000</v>
      </c>
      <c r="J97" s="120">
        <v>2019</v>
      </c>
      <c r="K97" s="132"/>
      <c r="L97" s="158">
        <v>44166</v>
      </c>
      <c r="M97" s="116"/>
      <c r="N97" s="135" t="s">
        <v>596</v>
      </c>
      <c r="O97" s="116"/>
      <c r="P97" s="57">
        <v>43858</v>
      </c>
      <c r="Q97" s="57" t="s">
        <v>30</v>
      </c>
      <c r="R97" s="57" t="s">
        <v>30</v>
      </c>
      <c r="S97" s="34" t="s">
        <v>30</v>
      </c>
      <c r="T97" s="57" t="s">
        <v>30</v>
      </c>
      <c r="U97" s="57" t="s">
        <v>30</v>
      </c>
      <c r="V97" s="57" t="s">
        <v>30</v>
      </c>
      <c r="W97" s="137">
        <f t="shared" si="30"/>
        <v>44223</v>
      </c>
      <c r="X97" s="57" t="str">
        <f t="shared" si="31"/>
        <v>NC</v>
      </c>
      <c r="Y97" s="57" t="str">
        <f t="shared" si="32"/>
        <v>NC</v>
      </c>
      <c r="Z97" s="57" t="str">
        <f t="shared" si="33"/>
        <v>NC</v>
      </c>
      <c r="AA97" s="57" t="str">
        <f t="shared" si="34"/>
        <v>NC</v>
      </c>
      <c r="AB97" s="57" t="str">
        <f t="shared" si="35"/>
        <v>NC</v>
      </c>
      <c r="AC97" s="57" t="str">
        <f t="shared" si="36"/>
        <v>NC</v>
      </c>
      <c r="AD97" s="138"/>
      <c r="AE97" s="116">
        <f t="shared" ca="1" si="37"/>
        <v>-1364</v>
      </c>
      <c r="AF97" s="116" t="str">
        <f t="shared" si="38"/>
        <v>NC</v>
      </c>
      <c r="AG97" s="116" t="str">
        <f t="shared" si="39"/>
        <v>NC</v>
      </c>
      <c r="AH97" s="116" t="str">
        <f t="shared" si="40"/>
        <v>NC</v>
      </c>
      <c r="AI97" s="116" t="str">
        <f t="shared" si="41"/>
        <v>NC</v>
      </c>
      <c r="AJ97" s="116" t="str">
        <f t="shared" si="42"/>
        <v>NC</v>
      </c>
      <c r="AK97" s="116" t="str">
        <f t="shared" si="43"/>
        <v>NC</v>
      </c>
      <c r="AL97" s="138"/>
      <c r="AM97" s="139">
        <f t="shared" si="44"/>
        <v>8.9860268320166785E-4</v>
      </c>
      <c r="AN97" s="138"/>
      <c r="AO97" s="138"/>
      <c r="AP97" s="138" t="s">
        <v>469</v>
      </c>
      <c r="AQ97" s="141" t="s">
        <v>643</v>
      </c>
      <c r="AR97" s="138" t="s">
        <v>773</v>
      </c>
      <c r="AS97" s="142" t="s">
        <v>1215</v>
      </c>
      <c r="AT97" s="143" t="s">
        <v>1216</v>
      </c>
      <c r="AU97" s="142" t="s">
        <v>1217</v>
      </c>
    </row>
    <row r="98" spans="1:47" s="124" customFormat="1" ht="14.4" customHeight="1" x14ac:dyDescent="0.3">
      <c r="A98" s="116" t="s">
        <v>994</v>
      </c>
      <c r="B98" s="117" t="s">
        <v>766</v>
      </c>
      <c r="C98" s="117" t="s">
        <v>523</v>
      </c>
      <c r="D98" s="116" t="s">
        <v>357</v>
      </c>
      <c r="E98" s="116"/>
      <c r="F98" s="117" t="s">
        <v>995</v>
      </c>
      <c r="G98" s="120" t="s">
        <v>996</v>
      </c>
      <c r="H98" s="156">
        <v>44196</v>
      </c>
      <c r="I98" s="134">
        <v>23644000</v>
      </c>
      <c r="J98" s="120">
        <v>2019</v>
      </c>
      <c r="K98" s="132"/>
      <c r="L98" s="158">
        <v>43983</v>
      </c>
      <c r="M98" s="116"/>
      <c r="N98" s="135" t="s">
        <v>596</v>
      </c>
      <c r="O98" s="116"/>
      <c r="P98" s="57">
        <v>43822</v>
      </c>
      <c r="Q98" s="57" t="s">
        <v>30</v>
      </c>
      <c r="R98" s="57" t="s">
        <v>30</v>
      </c>
      <c r="S98" s="34" t="s">
        <v>30</v>
      </c>
      <c r="T98" s="57" t="s">
        <v>30</v>
      </c>
      <c r="U98" s="57" t="s">
        <v>30</v>
      </c>
      <c r="V98" s="57" t="s">
        <v>30</v>
      </c>
      <c r="W98" s="137">
        <f t="shared" si="30"/>
        <v>44187</v>
      </c>
      <c r="X98" s="57" t="str">
        <f t="shared" si="31"/>
        <v>NC</v>
      </c>
      <c r="Y98" s="57" t="str">
        <f t="shared" si="32"/>
        <v>NC</v>
      </c>
      <c r="Z98" s="57" t="str">
        <f t="shared" si="33"/>
        <v>NC</v>
      </c>
      <c r="AA98" s="57" t="str">
        <f t="shared" si="34"/>
        <v>NC</v>
      </c>
      <c r="AB98" s="57" t="str">
        <f t="shared" si="35"/>
        <v>NC</v>
      </c>
      <c r="AC98" s="57" t="str">
        <f t="shared" si="36"/>
        <v>NC</v>
      </c>
      <c r="AD98" s="138"/>
      <c r="AE98" s="116">
        <f t="shared" ca="1" si="37"/>
        <v>-1400</v>
      </c>
      <c r="AF98" s="116" t="str">
        <f t="shared" si="38"/>
        <v>NC</v>
      </c>
      <c r="AG98" s="116" t="str">
        <f t="shared" si="39"/>
        <v>NC</v>
      </c>
      <c r="AH98" s="116" t="str">
        <f t="shared" si="40"/>
        <v>NC</v>
      </c>
      <c r="AI98" s="116" t="str">
        <f t="shared" si="41"/>
        <v>NC</v>
      </c>
      <c r="AJ98" s="116" t="str">
        <f t="shared" si="42"/>
        <v>NC</v>
      </c>
      <c r="AK98" s="116" t="str">
        <f t="shared" si="43"/>
        <v>NC</v>
      </c>
      <c r="AL98" s="138"/>
      <c r="AM98" s="139">
        <f t="shared" si="44"/>
        <v>8.9860268320166785E-4</v>
      </c>
      <c r="AN98" s="138"/>
      <c r="AO98" s="138"/>
      <c r="AP98" s="124" t="s">
        <v>469</v>
      </c>
      <c r="AQ98" s="141" t="s">
        <v>643</v>
      </c>
      <c r="AR98" s="138" t="s">
        <v>1012</v>
      </c>
      <c r="AS98" s="142" t="s">
        <v>1215</v>
      </c>
      <c r="AT98" s="143" t="s">
        <v>1216</v>
      </c>
      <c r="AU98" s="142" t="s">
        <v>1217</v>
      </c>
    </row>
    <row r="99" spans="1:47" s="124" customFormat="1" ht="14.4" customHeight="1" x14ac:dyDescent="0.3">
      <c r="A99" s="116" t="s">
        <v>938</v>
      </c>
      <c r="B99" s="116" t="s">
        <v>1412</v>
      </c>
      <c r="C99" s="117" t="s">
        <v>523</v>
      </c>
      <c r="D99" s="116" t="s">
        <v>357</v>
      </c>
      <c r="E99" s="116"/>
      <c r="F99" s="117" t="s">
        <v>939</v>
      </c>
      <c r="G99" s="120" t="s">
        <v>1010</v>
      </c>
      <c r="H99" s="156">
        <v>43830</v>
      </c>
      <c r="I99" s="134">
        <v>16440000</v>
      </c>
      <c r="J99" s="120">
        <v>2019</v>
      </c>
      <c r="K99" s="132"/>
      <c r="L99" s="158">
        <v>43983</v>
      </c>
      <c r="M99" s="116"/>
      <c r="N99" s="135" t="s">
        <v>596</v>
      </c>
      <c r="O99" s="116"/>
      <c r="P99" s="57">
        <v>43803</v>
      </c>
      <c r="Q99" s="57" t="s">
        <v>30</v>
      </c>
      <c r="R99" s="57" t="s">
        <v>30</v>
      </c>
      <c r="S99" s="34" t="s">
        <v>30</v>
      </c>
      <c r="T99" s="57" t="s">
        <v>30</v>
      </c>
      <c r="U99" s="57" t="s">
        <v>30</v>
      </c>
      <c r="V99" s="57" t="s">
        <v>30</v>
      </c>
      <c r="W99" s="137">
        <f t="shared" si="30"/>
        <v>44168</v>
      </c>
      <c r="X99" s="57" t="str">
        <f t="shared" si="31"/>
        <v>NC</v>
      </c>
      <c r="Y99" s="57" t="str">
        <f t="shared" si="32"/>
        <v>NC</v>
      </c>
      <c r="Z99" s="57" t="str">
        <f t="shared" si="33"/>
        <v>NC</v>
      </c>
      <c r="AA99" s="57" t="str">
        <f t="shared" si="34"/>
        <v>NC</v>
      </c>
      <c r="AB99" s="57" t="str">
        <f t="shared" si="35"/>
        <v>NC</v>
      </c>
      <c r="AC99" s="57" t="str">
        <f t="shared" si="36"/>
        <v>NC</v>
      </c>
      <c r="AD99" s="138"/>
      <c r="AE99" s="123">
        <f t="shared" ca="1" si="37"/>
        <v>-1419</v>
      </c>
      <c r="AF99" s="123" t="str">
        <f t="shared" si="38"/>
        <v>NC</v>
      </c>
      <c r="AG99" s="123" t="str">
        <f t="shared" si="39"/>
        <v>NC</v>
      </c>
      <c r="AH99" s="123" t="str">
        <f t="shared" si="40"/>
        <v>NC</v>
      </c>
      <c r="AI99" s="123" t="str">
        <f t="shared" si="41"/>
        <v>NC</v>
      </c>
      <c r="AJ99" s="123" t="str">
        <f t="shared" si="42"/>
        <v>NC</v>
      </c>
      <c r="AK99" s="123" t="str">
        <f t="shared" si="43"/>
        <v>NC</v>
      </c>
      <c r="AL99" s="138"/>
      <c r="AM99" s="139">
        <f t="shared" si="44"/>
        <v>6.2481086583638203E-4</v>
      </c>
      <c r="AN99" s="138"/>
      <c r="AO99" s="138"/>
      <c r="AP99" s="138" t="s">
        <v>473</v>
      </c>
      <c r="AQ99" s="141" t="s">
        <v>643</v>
      </c>
      <c r="AR99" s="138" t="s">
        <v>767</v>
      </c>
      <c r="AS99" s="142" t="s">
        <v>1211</v>
      </c>
      <c r="AT99" s="143" t="s">
        <v>1212</v>
      </c>
      <c r="AU99" s="143" t="s">
        <v>1413</v>
      </c>
    </row>
    <row r="100" spans="1:47" s="124" customFormat="1" ht="14.4" customHeight="1" x14ac:dyDescent="0.3">
      <c r="A100" s="121" t="s">
        <v>80</v>
      </c>
      <c r="B100" s="121" t="s">
        <v>1414</v>
      </c>
      <c r="C100" s="121" t="s">
        <v>524</v>
      </c>
      <c r="D100" s="123" t="s">
        <v>357</v>
      </c>
      <c r="E100" s="123"/>
      <c r="F100" s="117" t="s">
        <v>240</v>
      </c>
      <c r="G100" s="99" t="s">
        <v>448</v>
      </c>
      <c r="H100" s="144">
        <v>43830</v>
      </c>
      <c r="I100" s="145">
        <v>60000000</v>
      </c>
      <c r="J100" s="146">
        <v>2016</v>
      </c>
      <c r="K100" s="154">
        <v>43831</v>
      </c>
      <c r="L100" s="133">
        <v>43983</v>
      </c>
      <c r="M100" s="148"/>
      <c r="N100" s="149" t="s">
        <v>596</v>
      </c>
      <c r="O100" s="150"/>
      <c r="P100" s="57">
        <v>43790</v>
      </c>
      <c r="Q100" s="57" t="s">
        <v>30</v>
      </c>
      <c r="R100" s="57" t="s">
        <v>30</v>
      </c>
      <c r="S100" s="34" t="s">
        <v>30</v>
      </c>
      <c r="T100" s="57">
        <v>43860</v>
      </c>
      <c r="U100" s="57">
        <v>43889</v>
      </c>
      <c r="V100" s="57" t="s">
        <v>30</v>
      </c>
      <c r="W100" s="137">
        <f t="shared" si="30"/>
        <v>44155</v>
      </c>
      <c r="X100" s="57" t="str">
        <f t="shared" si="31"/>
        <v>NC</v>
      </c>
      <c r="Y100" s="57" t="str">
        <f t="shared" si="32"/>
        <v>NC</v>
      </c>
      <c r="Z100" s="57" t="str">
        <f t="shared" si="33"/>
        <v>NC</v>
      </c>
      <c r="AA100" s="57">
        <f t="shared" si="34"/>
        <v>44225</v>
      </c>
      <c r="AB100" s="57">
        <f t="shared" si="35"/>
        <v>44254</v>
      </c>
      <c r="AC100" s="57" t="str">
        <f t="shared" si="36"/>
        <v>NC</v>
      </c>
      <c r="AE100" s="123">
        <f t="shared" ca="1" si="37"/>
        <v>-1432</v>
      </c>
      <c r="AF100" s="123" t="str">
        <f t="shared" si="38"/>
        <v>NC</v>
      </c>
      <c r="AG100" s="123" t="str">
        <f t="shared" si="39"/>
        <v>NC</v>
      </c>
      <c r="AH100" s="123" t="str">
        <f t="shared" si="40"/>
        <v>NC</v>
      </c>
      <c r="AI100" s="123">
        <f t="shared" ca="1" si="41"/>
        <v>-1362</v>
      </c>
      <c r="AJ100" s="123">
        <f t="shared" ca="1" si="42"/>
        <v>-1333</v>
      </c>
      <c r="AK100" s="123" t="str">
        <f t="shared" si="43"/>
        <v>NC</v>
      </c>
      <c r="AL100" s="138"/>
      <c r="AM100" s="151">
        <f t="shared" si="44"/>
        <v>1.2645475386866436E-2</v>
      </c>
      <c r="AN100" s="152"/>
      <c r="AP100" s="124" t="s">
        <v>470</v>
      </c>
      <c r="AQ100" s="141" t="s">
        <v>643</v>
      </c>
      <c r="AR100" s="124" t="s">
        <v>746</v>
      </c>
      <c r="AS100" s="143" t="s">
        <v>1211</v>
      </c>
      <c r="AT100" s="143" t="s">
        <v>1233</v>
      </c>
      <c r="AU100" s="143" t="s">
        <v>1415</v>
      </c>
    </row>
    <row r="101" spans="1:47" s="124" customFormat="1" ht="14.4" customHeight="1" x14ac:dyDescent="0.3">
      <c r="A101" s="121" t="s">
        <v>81</v>
      </c>
      <c r="B101" s="121" t="s">
        <v>755</v>
      </c>
      <c r="C101" s="121" t="s">
        <v>524</v>
      </c>
      <c r="D101" s="123" t="s">
        <v>357</v>
      </c>
      <c r="E101" s="123"/>
      <c r="F101" s="117" t="s">
        <v>241</v>
      </c>
      <c r="G101" s="99" t="s">
        <v>449</v>
      </c>
      <c r="H101" s="144">
        <v>43830</v>
      </c>
      <c r="I101" s="145">
        <v>17720000</v>
      </c>
      <c r="J101" s="146">
        <v>2017</v>
      </c>
      <c r="K101" s="154">
        <v>44075</v>
      </c>
      <c r="L101" s="133">
        <v>43983</v>
      </c>
      <c r="M101" s="148"/>
      <c r="N101" s="149" t="s">
        <v>596</v>
      </c>
      <c r="O101" s="150"/>
      <c r="P101" s="57">
        <v>43685</v>
      </c>
      <c r="Q101" s="57" t="s">
        <v>30</v>
      </c>
      <c r="R101" s="57" t="s">
        <v>30</v>
      </c>
      <c r="S101" s="34" t="s">
        <v>30</v>
      </c>
      <c r="T101" s="57">
        <v>43860</v>
      </c>
      <c r="U101" s="57">
        <v>43889</v>
      </c>
      <c r="V101" s="57" t="s">
        <v>30</v>
      </c>
      <c r="W101" s="137">
        <f t="shared" si="30"/>
        <v>44050</v>
      </c>
      <c r="X101" s="57" t="str">
        <f t="shared" si="31"/>
        <v>NC</v>
      </c>
      <c r="Y101" s="57" t="str">
        <f t="shared" si="32"/>
        <v>NC</v>
      </c>
      <c r="Z101" s="57" t="str">
        <f t="shared" si="33"/>
        <v>NC</v>
      </c>
      <c r="AA101" s="57">
        <f t="shared" si="34"/>
        <v>44225</v>
      </c>
      <c r="AB101" s="57">
        <f t="shared" si="35"/>
        <v>44254</v>
      </c>
      <c r="AC101" s="57" t="str">
        <f t="shared" si="36"/>
        <v>NC</v>
      </c>
      <c r="AE101" s="123">
        <f t="shared" ca="1" si="37"/>
        <v>-1537</v>
      </c>
      <c r="AF101" s="123" t="str">
        <f t="shared" si="38"/>
        <v>NC</v>
      </c>
      <c r="AG101" s="123" t="str">
        <f t="shared" si="39"/>
        <v>NC</v>
      </c>
      <c r="AH101" s="123" t="str">
        <f t="shared" si="40"/>
        <v>NC</v>
      </c>
      <c r="AI101" s="123">
        <f t="shared" ca="1" si="41"/>
        <v>-1362</v>
      </c>
      <c r="AJ101" s="123">
        <f t="shared" ca="1" si="42"/>
        <v>-1333</v>
      </c>
      <c r="AK101" s="123" t="str">
        <f t="shared" si="43"/>
        <v>NC</v>
      </c>
      <c r="AL101" s="138"/>
      <c r="AM101" s="151">
        <f t="shared" si="44"/>
        <v>2.7142395785748263E-3</v>
      </c>
      <c r="AN101" s="152"/>
      <c r="AP101" s="124" t="s">
        <v>470</v>
      </c>
      <c r="AQ101" s="141" t="s">
        <v>643</v>
      </c>
      <c r="AR101" s="124" t="s">
        <v>750</v>
      </c>
      <c r="AS101" s="143" t="s">
        <v>1211</v>
      </c>
      <c r="AT101" s="143" t="s">
        <v>1232</v>
      </c>
      <c r="AU101" s="143" t="s">
        <v>1416</v>
      </c>
    </row>
    <row r="102" spans="1:47" s="124" customFormat="1" ht="14.4" customHeight="1" x14ac:dyDescent="0.3">
      <c r="A102" s="122" t="s">
        <v>185</v>
      </c>
      <c r="B102" s="117" t="s">
        <v>1417</v>
      </c>
      <c r="C102" s="121" t="s">
        <v>524</v>
      </c>
      <c r="D102" s="123" t="s">
        <v>46</v>
      </c>
      <c r="E102" s="123"/>
      <c r="F102" s="117" t="s">
        <v>243</v>
      </c>
      <c r="G102" s="99" t="s">
        <v>450</v>
      </c>
      <c r="H102" s="144">
        <v>43830</v>
      </c>
      <c r="I102" s="153">
        <v>17720000</v>
      </c>
      <c r="J102" s="146">
        <v>2018</v>
      </c>
      <c r="K102" s="154">
        <v>44317</v>
      </c>
      <c r="L102" s="133"/>
      <c r="M102" s="148"/>
      <c r="N102" s="149" t="s">
        <v>596</v>
      </c>
      <c r="O102" s="150"/>
      <c r="P102" s="57">
        <v>43566</v>
      </c>
      <c r="Q102" s="57" t="s">
        <v>30</v>
      </c>
      <c r="R102" s="57" t="s">
        <v>30</v>
      </c>
      <c r="S102" s="34" t="s">
        <v>30</v>
      </c>
      <c r="T102" s="57">
        <v>43860</v>
      </c>
      <c r="U102" s="57">
        <v>43889</v>
      </c>
      <c r="V102" s="57" t="s">
        <v>30</v>
      </c>
      <c r="W102" s="137">
        <f t="shared" ref="W102:W112" si="45">IF(P102="NC","NC",IF(P102="","erreur",P102+365))</f>
        <v>43931</v>
      </c>
      <c r="X102" s="57" t="str">
        <f t="shared" ref="X102:X133" si="46">IF(Q102="NC","NC",IF(Q102="","erreur",Q102+181))</f>
        <v>NC</v>
      </c>
      <c r="Y102" s="57" t="str">
        <f t="shared" ref="Y102:Y133" si="47">IF(R102="NC","NC",IF(R102="","erreur",R102+365))</f>
        <v>NC</v>
      </c>
      <c r="Z102" s="57" t="str">
        <f t="shared" ref="Z102:Z133" si="48">IF(S102="NC","NC",IF(S102="","erreur",S102+3650))</f>
        <v>NC</v>
      </c>
      <c r="AA102" s="57">
        <f t="shared" ref="AA102:AA133" si="49">IF(T102="NC","NC",IF(T102="","erreur",T102+365))</f>
        <v>44225</v>
      </c>
      <c r="AB102" s="57">
        <f t="shared" ref="AB102:AB133" si="50">IF(U102="NC","NC",IF(U102="","erreur",U102+365))</f>
        <v>44254</v>
      </c>
      <c r="AC102" s="57" t="str">
        <f t="shared" ref="AC102:AC133" si="51">IF(V102="NC","NC",IF(V102="","erreur",V102+730))</f>
        <v>NC</v>
      </c>
      <c r="AE102" s="123">
        <f t="shared" ref="AE102:AE133" ca="1" si="52">IF(W102="NC","NC",IF(W102="erreur","erreur",W102-$F$3))</f>
        <v>-1656</v>
      </c>
      <c r="AF102" s="123" t="str">
        <f t="shared" ref="AF102:AF133" si="53">IF(X102="NC","NC",IF(X102="erreur","erreur",X102-$F$3))</f>
        <v>NC</v>
      </c>
      <c r="AG102" s="123" t="str">
        <f t="shared" ref="AG102:AG133" si="54">IF(Y102="NC","NC",IF(Y102="erreur","erreur",Y102-$F$3))</f>
        <v>NC</v>
      </c>
      <c r="AH102" s="123" t="str">
        <f t="shared" ref="AH102:AH133" si="55">IF(Z102="NC","NC",IF(Z102="erreur","erreur",Z102-$F$3))</f>
        <v>NC</v>
      </c>
      <c r="AI102" s="123">
        <f t="shared" ref="AI102:AI133" ca="1" si="56">IF(AA102="NC","NC",IF(AA102="erreur","erreur",AA102-$F$3))</f>
        <v>-1362</v>
      </c>
      <c r="AJ102" s="123">
        <f t="shared" ref="AJ102:AJ133" ca="1" si="57">IF(AB102="NC","NC",IF(AB102="erreur","erreur",AB102-$F$3))</f>
        <v>-1333</v>
      </c>
      <c r="AK102" s="123" t="str">
        <f t="shared" ref="AK102:AK133" si="58">IF(AC102="NC","NC",IF(AC102="erreur","erreur",AC102-$F$3))</f>
        <v>NC</v>
      </c>
      <c r="AL102" s="138"/>
      <c r="AM102" s="151">
        <f t="shared" ref="AM102:AM133" si="59">I102*($AM$3-J102)/$I$4</f>
        <v>1.6938487595617648E-3</v>
      </c>
      <c r="AN102" s="152"/>
      <c r="AO102" s="124" t="s">
        <v>395</v>
      </c>
      <c r="AP102" s="138" t="s">
        <v>471</v>
      </c>
      <c r="AQ102" s="141" t="s">
        <v>643</v>
      </c>
      <c r="AR102" s="124" t="s">
        <v>756</v>
      </c>
      <c r="AS102" s="143" t="s">
        <v>1215</v>
      </c>
      <c r="AT102" s="143" t="s">
        <v>1237</v>
      </c>
      <c r="AU102" s="143" t="s">
        <v>1418</v>
      </c>
    </row>
    <row r="103" spans="1:47" s="124" customFormat="1" ht="14.4" customHeight="1" x14ac:dyDescent="0.3">
      <c r="A103" s="121" t="s">
        <v>186</v>
      </c>
      <c r="B103" s="117" t="s">
        <v>1417</v>
      </c>
      <c r="C103" s="121" t="s">
        <v>524</v>
      </c>
      <c r="D103" s="123" t="s">
        <v>357</v>
      </c>
      <c r="E103" s="123"/>
      <c r="F103" s="117" t="s">
        <v>244</v>
      </c>
      <c r="G103" s="99" t="s">
        <v>451</v>
      </c>
      <c r="H103" s="156">
        <v>43830</v>
      </c>
      <c r="I103" s="145">
        <v>17720000</v>
      </c>
      <c r="J103" s="146">
        <v>2018</v>
      </c>
      <c r="K103" s="154">
        <v>44317</v>
      </c>
      <c r="L103" s="133">
        <v>43983</v>
      </c>
      <c r="M103" s="148"/>
      <c r="N103" s="149" t="s">
        <v>596</v>
      </c>
      <c r="O103" s="150"/>
      <c r="P103" s="57">
        <v>43564</v>
      </c>
      <c r="Q103" s="57" t="s">
        <v>30</v>
      </c>
      <c r="R103" s="57" t="s">
        <v>30</v>
      </c>
      <c r="S103" s="34" t="s">
        <v>30</v>
      </c>
      <c r="T103" s="57">
        <v>43860</v>
      </c>
      <c r="U103" s="57">
        <v>43889</v>
      </c>
      <c r="V103" s="57" t="s">
        <v>30</v>
      </c>
      <c r="W103" s="137">
        <f t="shared" si="45"/>
        <v>43929</v>
      </c>
      <c r="X103" s="57" t="str">
        <f t="shared" si="46"/>
        <v>NC</v>
      </c>
      <c r="Y103" s="57" t="str">
        <f t="shared" si="47"/>
        <v>NC</v>
      </c>
      <c r="Z103" s="57" t="str">
        <f t="shared" si="48"/>
        <v>NC</v>
      </c>
      <c r="AA103" s="57">
        <f t="shared" si="49"/>
        <v>44225</v>
      </c>
      <c r="AB103" s="57">
        <f t="shared" si="50"/>
        <v>44254</v>
      </c>
      <c r="AC103" s="57" t="str">
        <f t="shared" si="51"/>
        <v>NC</v>
      </c>
      <c r="AE103" s="123">
        <f t="shared" ca="1" si="52"/>
        <v>-1658</v>
      </c>
      <c r="AF103" s="123" t="str">
        <f t="shared" si="53"/>
        <v>NC</v>
      </c>
      <c r="AG103" s="123" t="str">
        <f t="shared" si="54"/>
        <v>NC</v>
      </c>
      <c r="AH103" s="123" t="str">
        <f t="shared" si="55"/>
        <v>NC</v>
      </c>
      <c r="AI103" s="123">
        <f t="shared" ca="1" si="56"/>
        <v>-1362</v>
      </c>
      <c r="AJ103" s="123">
        <f t="shared" ca="1" si="57"/>
        <v>-1333</v>
      </c>
      <c r="AK103" s="123" t="str">
        <f t="shared" si="58"/>
        <v>NC</v>
      </c>
      <c r="AL103" s="138"/>
      <c r="AM103" s="151">
        <f t="shared" si="59"/>
        <v>1.6938487595617648E-3</v>
      </c>
      <c r="AN103" s="152"/>
      <c r="AP103" s="138" t="s">
        <v>471</v>
      </c>
      <c r="AQ103" s="141" t="s">
        <v>643</v>
      </c>
      <c r="AR103" s="124" t="s">
        <v>762</v>
      </c>
      <c r="AS103" s="143" t="s">
        <v>1215</v>
      </c>
      <c r="AT103" s="143" t="s">
        <v>1237</v>
      </c>
      <c r="AU103" s="143" t="s">
        <v>1418</v>
      </c>
    </row>
    <row r="104" spans="1:47" s="124" customFormat="1" ht="14.4" customHeight="1" x14ac:dyDescent="0.3">
      <c r="A104" s="122" t="s">
        <v>187</v>
      </c>
      <c r="B104" s="117" t="s">
        <v>1417</v>
      </c>
      <c r="C104" s="121" t="s">
        <v>524</v>
      </c>
      <c r="D104" s="123" t="s">
        <v>46</v>
      </c>
      <c r="E104" s="123"/>
      <c r="F104" s="117" t="s">
        <v>245</v>
      </c>
      <c r="G104" s="99" t="s">
        <v>452</v>
      </c>
      <c r="H104" s="144">
        <v>43830</v>
      </c>
      <c r="I104" s="153">
        <v>17720000</v>
      </c>
      <c r="J104" s="146">
        <v>2018</v>
      </c>
      <c r="K104" s="154">
        <v>44317</v>
      </c>
      <c r="L104" s="133"/>
      <c r="M104" s="148"/>
      <c r="N104" s="149" t="s">
        <v>596</v>
      </c>
      <c r="O104" s="150"/>
      <c r="P104" s="57">
        <v>43566</v>
      </c>
      <c r="Q104" s="57" t="s">
        <v>30</v>
      </c>
      <c r="R104" s="57" t="s">
        <v>30</v>
      </c>
      <c r="S104" s="34" t="s">
        <v>30</v>
      </c>
      <c r="T104" s="57">
        <v>43860</v>
      </c>
      <c r="U104" s="57">
        <v>43889</v>
      </c>
      <c r="V104" s="57" t="s">
        <v>30</v>
      </c>
      <c r="W104" s="137">
        <f t="shared" si="45"/>
        <v>43931</v>
      </c>
      <c r="X104" s="57" t="str">
        <f t="shared" si="46"/>
        <v>NC</v>
      </c>
      <c r="Y104" s="57" t="str">
        <f t="shared" si="47"/>
        <v>NC</v>
      </c>
      <c r="Z104" s="57" t="str">
        <f t="shared" si="48"/>
        <v>NC</v>
      </c>
      <c r="AA104" s="57">
        <f t="shared" si="49"/>
        <v>44225</v>
      </c>
      <c r="AB104" s="57">
        <f t="shared" si="50"/>
        <v>44254</v>
      </c>
      <c r="AC104" s="57" t="str">
        <f t="shared" si="51"/>
        <v>NC</v>
      </c>
      <c r="AE104" s="123">
        <f t="shared" ca="1" si="52"/>
        <v>-1656</v>
      </c>
      <c r="AF104" s="123" t="str">
        <f t="shared" si="53"/>
        <v>NC</v>
      </c>
      <c r="AG104" s="123" t="str">
        <f t="shared" si="54"/>
        <v>NC</v>
      </c>
      <c r="AH104" s="123" t="str">
        <f t="shared" si="55"/>
        <v>NC</v>
      </c>
      <c r="AI104" s="123">
        <f t="shared" ca="1" si="56"/>
        <v>-1362</v>
      </c>
      <c r="AJ104" s="123">
        <f t="shared" ca="1" si="57"/>
        <v>-1333</v>
      </c>
      <c r="AK104" s="123" t="str">
        <f t="shared" si="58"/>
        <v>NC</v>
      </c>
      <c r="AL104" s="138"/>
      <c r="AM104" s="151">
        <f t="shared" si="59"/>
        <v>1.6938487595617648E-3</v>
      </c>
      <c r="AN104" s="152"/>
      <c r="AO104" s="124" t="s">
        <v>395</v>
      </c>
      <c r="AP104" s="124" t="s">
        <v>471</v>
      </c>
      <c r="AQ104" s="141" t="s">
        <v>643</v>
      </c>
      <c r="AR104" s="124" t="s">
        <v>1039</v>
      </c>
      <c r="AS104" s="143" t="s">
        <v>1215</v>
      </c>
      <c r="AT104" s="143" t="s">
        <v>1237</v>
      </c>
      <c r="AU104" s="143" t="s">
        <v>1418</v>
      </c>
    </row>
    <row r="105" spans="1:47" s="124" customFormat="1" ht="15" customHeight="1" x14ac:dyDescent="0.3">
      <c r="A105" s="122" t="s">
        <v>188</v>
      </c>
      <c r="B105" s="117" t="s">
        <v>1417</v>
      </c>
      <c r="C105" s="121" t="s">
        <v>524</v>
      </c>
      <c r="D105" s="123" t="s">
        <v>46</v>
      </c>
      <c r="E105" s="123"/>
      <c r="F105" s="117" t="s">
        <v>246</v>
      </c>
      <c r="G105" s="99" t="s">
        <v>453</v>
      </c>
      <c r="H105" s="144">
        <v>43830</v>
      </c>
      <c r="I105" s="153">
        <v>17720000</v>
      </c>
      <c r="J105" s="146">
        <v>2018</v>
      </c>
      <c r="K105" s="154">
        <v>44317</v>
      </c>
      <c r="L105" s="133"/>
      <c r="M105" s="148"/>
      <c r="N105" s="149" t="s">
        <v>596</v>
      </c>
      <c r="O105" s="150"/>
      <c r="P105" s="57">
        <v>43566</v>
      </c>
      <c r="Q105" s="57" t="s">
        <v>30</v>
      </c>
      <c r="R105" s="57" t="s">
        <v>30</v>
      </c>
      <c r="S105" s="34" t="s">
        <v>30</v>
      </c>
      <c r="T105" s="57">
        <v>43860</v>
      </c>
      <c r="U105" s="57">
        <v>43889</v>
      </c>
      <c r="V105" s="57" t="s">
        <v>30</v>
      </c>
      <c r="W105" s="137">
        <f t="shared" si="45"/>
        <v>43931</v>
      </c>
      <c r="X105" s="57" t="str">
        <f t="shared" si="46"/>
        <v>NC</v>
      </c>
      <c r="Y105" s="57" t="str">
        <f t="shared" si="47"/>
        <v>NC</v>
      </c>
      <c r="Z105" s="57" t="str">
        <f t="shared" si="48"/>
        <v>NC</v>
      </c>
      <c r="AA105" s="57">
        <f t="shared" si="49"/>
        <v>44225</v>
      </c>
      <c r="AB105" s="57">
        <f t="shared" si="50"/>
        <v>44254</v>
      </c>
      <c r="AC105" s="57" t="str">
        <f t="shared" si="51"/>
        <v>NC</v>
      </c>
      <c r="AE105" s="123">
        <f t="shared" ca="1" si="52"/>
        <v>-1656</v>
      </c>
      <c r="AF105" s="123" t="str">
        <f t="shared" si="53"/>
        <v>NC</v>
      </c>
      <c r="AG105" s="123" t="str">
        <f t="shared" si="54"/>
        <v>NC</v>
      </c>
      <c r="AH105" s="123" t="str">
        <f t="shared" si="55"/>
        <v>NC</v>
      </c>
      <c r="AI105" s="123">
        <f t="shared" ca="1" si="56"/>
        <v>-1362</v>
      </c>
      <c r="AJ105" s="123">
        <f t="shared" ca="1" si="57"/>
        <v>-1333</v>
      </c>
      <c r="AK105" s="123" t="str">
        <f t="shared" si="58"/>
        <v>NC</v>
      </c>
      <c r="AL105" s="138"/>
      <c r="AM105" s="151">
        <f t="shared" si="59"/>
        <v>1.6938487595617648E-3</v>
      </c>
      <c r="AN105" s="152"/>
      <c r="AO105" s="124" t="s">
        <v>395</v>
      </c>
      <c r="AP105" s="138" t="s">
        <v>471</v>
      </c>
      <c r="AQ105" s="141" t="s">
        <v>643</v>
      </c>
      <c r="AR105" s="124" t="s">
        <v>1030</v>
      </c>
      <c r="AS105" s="143" t="s">
        <v>1215</v>
      </c>
      <c r="AT105" s="143" t="s">
        <v>1237</v>
      </c>
      <c r="AU105" s="143" t="s">
        <v>1418</v>
      </c>
    </row>
    <row r="106" spans="1:47" s="124" customFormat="1" ht="14.4" customHeight="1" x14ac:dyDescent="0.3">
      <c r="A106" s="117" t="s">
        <v>82</v>
      </c>
      <c r="B106" s="121" t="s">
        <v>1419</v>
      </c>
      <c r="C106" s="121" t="s">
        <v>525</v>
      </c>
      <c r="D106" s="123" t="s">
        <v>357</v>
      </c>
      <c r="E106" s="123"/>
      <c r="F106" s="117" t="s">
        <v>242</v>
      </c>
      <c r="G106" s="99" t="s">
        <v>490</v>
      </c>
      <c r="H106" s="144">
        <v>43830</v>
      </c>
      <c r="I106" s="145">
        <v>17720000</v>
      </c>
      <c r="J106" s="146">
        <v>2012</v>
      </c>
      <c r="K106" s="147" t="s">
        <v>609</v>
      </c>
      <c r="L106" s="133">
        <v>43983</v>
      </c>
      <c r="M106" s="148" t="s">
        <v>613</v>
      </c>
      <c r="N106" s="149" t="s">
        <v>596</v>
      </c>
      <c r="O106" s="150"/>
      <c r="P106" s="57">
        <v>43630</v>
      </c>
      <c r="Q106" s="57" t="s">
        <v>30</v>
      </c>
      <c r="R106" s="57" t="s">
        <v>30</v>
      </c>
      <c r="S106" s="34" t="s">
        <v>30</v>
      </c>
      <c r="T106" s="57">
        <v>43860</v>
      </c>
      <c r="U106" s="57">
        <v>43889</v>
      </c>
      <c r="V106" s="57" t="s">
        <v>30</v>
      </c>
      <c r="W106" s="137">
        <f t="shared" si="45"/>
        <v>43995</v>
      </c>
      <c r="X106" s="57" t="str">
        <f t="shared" si="46"/>
        <v>NC</v>
      </c>
      <c r="Y106" s="57" t="str">
        <f t="shared" si="47"/>
        <v>NC</v>
      </c>
      <c r="Z106" s="57" t="str">
        <f t="shared" si="48"/>
        <v>NC</v>
      </c>
      <c r="AA106" s="57">
        <f t="shared" si="49"/>
        <v>44225</v>
      </c>
      <c r="AB106" s="57">
        <f t="shared" si="50"/>
        <v>44254</v>
      </c>
      <c r="AC106" s="57" t="str">
        <f t="shared" si="51"/>
        <v>NC</v>
      </c>
      <c r="AE106" s="123">
        <f t="shared" ca="1" si="52"/>
        <v>-1592</v>
      </c>
      <c r="AF106" s="123" t="str">
        <f t="shared" si="53"/>
        <v>NC</v>
      </c>
      <c r="AG106" s="123" t="str">
        <f t="shared" si="54"/>
        <v>NC</v>
      </c>
      <c r="AH106" s="123" t="str">
        <f t="shared" si="55"/>
        <v>NC</v>
      </c>
      <c r="AI106" s="123">
        <f t="shared" ca="1" si="56"/>
        <v>-1362</v>
      </c>
      <c r="AJ106" s="123">
        <f t="shared" ca="1" si="57"/>
        <v>-1333</v>
      </c>
      <c r="AK106" s="123" t="str">
        <f t="shared" si="58"/>
        <v>NC</v>
      </c>
      <c r="AL106" s="138"/>
      <c r="AM106" s="151">
        <f t="shared" si="59"/>
        <v>7.8161936736401323E-3</v>
      </c>
      <c r="AN106" s="152"/>
      <c r="AP106" s="138" t="s">
        <v>471</v>
      </c>
      <c r="AQ106" s="141" t="s">
        <v>643</v>
      </c>
      <c r="AR106" s="124" t="s">
        <v>1016</v>
      </c>
      <c r="AS106" s="143" t="s">
        <v>1211</v>
      </c>
      <c r="AT106" s="143" t="s">
        <v>1232</v>
      </c>
      <c r="AU106" s="143" t="s">
        <v>1420</v>
      </c>
    </row>
    <row r="107" spans="1:47" s="124" customFormat="1" ht="14.4" customHeight="1" x14ac:dyDescent="0.3">
      <c r="A107" s="117" t="s">
        <v>83</v>
      </c>
      <c r="B107" s="117" t="s">
        <v>1511</v>
      </c>
      <c r="C107" s="121" t="s">
        <v>526</v>
      </c>
      <c r="D107" s="116" t="s">
        <v>357</v>
      </c>
      <c r="E107" s="116"/>
      <c r="F107" s="117" t="s">
        <v>247</v>
      </c>
      <c r="G107" s="99" t="s">
        <v>600</v>
      </c>
      <c r="H107" s="144">
        <v>43830</v>
      </c>
      <c r="I107" s="145">
        <v>17720000</v>
      </c>
      <c r="J107" s="131">
        <v>2018</v>
      </c>
      <c r="K107" s="154"/>
      <c r="L107" s="133"/>
      <c r="M107" s="134"/>
      <c r="N107" s="149" t="s">
        <v>596</v>
      </c>
      <c r="O107" s="136"/>
      <c r="P107" s="57">
        <v>43797</v>
      </c>
      <c r="Q107" s="57" t="s">
        <v>30</v>
      </c>
      <c r="R107" s="34" t="s">
        <v>30</v>
      </c>
      <c r="S107" s="34" t="s">
        <v>30</v>
      </c>
      <c r="T107" s="57">
        <v>43860</v>
      </c>
      <c r="U107" s="57">
        <v>43889</v>
      </c>
      <c r="V107" s="34" t="s">
        <v>30</v>
      </c>
      <c r="W107" s="137">
        <f t="shared" si="45"/>
        <v>44162</v>
      </c>
      <c r="X107" s="57" t="str">
        <f t="shared" si="46"/>
        <v>NC</v>
      </c>
      <c r="Y107" s="57" t="str">
        <f t="shared" si="47"/>
        <v>NC</v>
      </c>
      <c r="Z107" s="57" t="str">
        <f t="shared" si="48"/>
        <v>NC</v>
      </c>
      <c r="AA107" s="57">
        <f t="shared" si="49"/>
        <v>44225</v>
      </c>
      <c r="AB107" s="57">
        <f t="shared" si="50"/>
        <v>44254</v>
      </c>
      <c r="AC107" s="57" t="str">
        <f t="shared" si="51"/>
        <v>NC</v>
      </c>
      <c r="AE107" s="123">
        <f t="shared" ca="1" si="52"/>
        <v>-1425</v>
      </c>
      <c r="AF107" s="123" t="str">
        <f t="shared" si="53"/>
        <v>NC</v>
      </c>
      <c r="AG107" s="123" t="str">
        <f t="shared" si="54"/>
        <v>NC</v>
      </c>
      <c r="AH107" s="123" t="str">
        <f t="shared" si="55"/>
        <v>NC</v>
      </c>
      <c r="AI107" s="123">
        <f t="shared" ca="1" si="56"/>
        <v>-1362</v>
      </c>
      <c r="AJ107" s="123">
        <f t="shared" ca="1" si="57"/>
        <v>-1333</v>
      </c>
      <c r="AK107" s="123" t="str">
        <f t="shared" si="58"/>
        <v>NC</v>
      </c>
      <c r="AL107" s="138"/>
      <c r="AM107" s="151">
        <f t="shared" si="59"/>
        <v>1.6938487595617648E-3</v>
      </c>
      <c r="AN107" s="140"/>
      <c r="AO107" s="124" t="s">
        <v>395</v>
      </c>
      <c r="AP107" s="124" t="s">
        <v>471</v>
      </c>
      <c r="AQ107" s="138" t="s">
        <v>642</v>
      </c>
      <c r="AR107" s="124" t="s">
        <v>754</v>
      </c>
      <c r="AS107" s="143" t="s">
        <v>1215</v>
      </c>
      <c r="AT107" s="143" t="s">
        <v>1237</v>
      </c>
      <c r="AU107" s="143" t="s">
        <v>1418</v>
      </c>
    </row>
    <row r="108" spans="1:47" s="124" customFormat="1" ht="14.4" customHeight="1" x14ac:dyDescent="0.3">
      <c r="A108" s="117" t="s">
        <v>84</v>
      </c>
      <c r="B108" s="117" t="s">
        <v>1511</v>
      </c>
      <c r="C108" s="121" t="s">
        <v>526</v>
      </c>
      <c r="D108" s="116" t="s">
        <v>46</v>
      </c>
      <c r="E108" s="116"/>
      <c r="F108" s="117" t="s">
        <v>248</v>
      </c>
      <c r="G108" s="99" t="s">
        <v>602</v>
      </c>
      <c r="H108" s="144">
        <v>43830</v>
      </c>
      <c r="I108" s="145">
        <v>17720000</v>
      </c>
      <c r="J108" s="131">
        <v>2018</v>
      </c>
      <c r="K108" s="154"/>
      <c r="L108" s="133"/>
      <c r="M108" s="134"/>
      <c r="N108" s="149" t="s">
        <v>596</v>
      </c>
      <c r="O108" s="136"/>
      <c r="P108" s="57">
        <v>43797</v>
      </c>
      <c r="Q108" s="57" t="s">
        <v>30</v>
      </c>
      <c r="R108" s="34" t="s">
        <v>30</v>
      </c>
      <c r="S108" s="34" t="s">
        <v>30</v>
      </c>
      <c r="T108" s="57">
        <v>43860</v>
      </c>
      <c r="U108" s="57">
        <v>43889</v>
      </c>
      <c r="V108" s="34" t="s">
        <v>30</v>
      </c>
      <c r="W108" s="137">
        <f t="shared" si="45"/>
        <v>44162</v>
      </c>
      <c r="X108" s="57" t="str">
        <f t="shared" si="46"/>
        <v>NC</v>
      </c>
      <c r="Y108" s="57" t="str">
        <f t="shared" si="47"/>
        <v>NC</v>
      </c>
      <c r="Z108" s="57" t="str">
        <f t="shared" si="48"/>
        <v>NC</v>
      </c>
      <c r="AA108" s="57">
        <f t="shared" si="49"/>
        <v>44225</v>
      </c>
      <c r="AB108" s="57">
        <f t="shared" si="50"/>
        <v>44254</v>
      </c>
      <c r="AC108" s="57" t="str">
        <f t="shared" si="51"/>
        <v>NC</v>
      </c>
      <c r="AE108" s="123">
        <f t="shared" ca="1" si="52"/>
        <v>-1425</v>
      </c>
      <c r="AF108" s="123" t="str">
        <f t="shared" si="53"/>
        <v>NC</v>
      </c>
      <c r="AG108" s="123" t="str">
        <f t="shared" si="54"/>
        <v>NC</v>
      </c>
      <c r="AH108" s="123" t="str">
        <f t="shared" si="55"/>
        <v>NC</v>
      </c>
      <c r="AI108" s="123">
        <f t="shared" ca="1" si="56"/>
        <v>-1362</v>
      </c>
      <c r="AJ108" s="123">
        <f t="shared" ca="1" si="57"/>
        <v>-1333</v>
      </c>
      <c r="AK108" s="123" t="str">
        <f t="shared" si="58"/>
        <v>NC</v>
      </c>
      <c r="AL108" s="138"/>
      <c r="AM108" s="151">
        <f t="shared" si="59"/>
        <v>1.6938487595617648E-3</v>
      </c>
      <c r="AN108" s="140"/>
      <c r="AO108" s="124" t="s">
        <v>395</v>
      </c>
      <c r="AP108" s="124" t="s">
        <v>471</v>
      </c>
      <c r="AQ108" s="138" t="s">
        <v>642</v>
      </c>
      <c r="AR108" s="124" t="s">
        <v>758</v>
      </c>
      <c r="AS108" s="143" t="s">
        <v>1215</v>
      </c>
      <c r="AT108" s="143" t="s">
        <v>1237</v>
      </c>
      <c r="AU108" s="143" t="s">
        <v>1418</v>
      </c>
    </row>
    <row r="109" spans="1:47" s="124" customFormat="1" ht="14.4" customHeight="1" x14ac:dyDescent="0.3">
      <c r="A109" s="117" t="s">
        <v>85</v>
      </c>
      <c r="B109" s="117" t="s">
        <v>1511</v>
      </c>
      <c r="C109" s="121" t="s">
        <v>526</v>
      </c>
      <c r="D109" s="116" t="s">
        <v>46</v>
      </c>
      <c r="E109" s="116"/>
      <c r="F109" s="117" t="s">
        <v>249</v>
      </c>
      <c r="G109" s="99" t="s">
        <v>601</v>
      </c>
      <c r="H109" s="144">
        <v>43830</v>
      </c>
      <c r="I109" s="145">
        <v>17720000</v>
      </c>
      <c r="J109" s="131">
        <v>2018</v>
      </c>
      <c r="K109" s="154"/>
      <c r="L109" s="133"/>
      <c r="M109" s="134"/>
      <c r="N109" s="149" t="s">
        <v>596</v>
      </c>
      <c r="O109" s="136"/>
      <c r="P109" s="57">
        <v>43797</v>
      </c>
      <c r="Q109" s="57" t="s">
        <v>30</v>
      </c>
      <c r="R109" s="57" t="s">
        <v>30</v>
      </c>
      <c r="S109" s="34" t="s">
        <v>30</v>
      </c>
      <c r="T109" s="57">
        <v>43860</v>
      </c>
      <c r="U109" s="57">
        <v>43889</v>
      </c>
      <c r="V109" s="34" t="s">
        <v>30</v>
      </c>
      <c r="W109" s="137">
        <f t="shared" si="45"/>
        <v>44162</v>
      </c>
      <c r="X109" s="57" t="str">
        <f t="shared" si="46"/>
        <v>NC</v>
      </c>
      <c r="Y109" s="57" t="str">
        <f t="shared" si="47"/>
        <v>NC</v>
      </c>
      <c r="Z109" s="57" t="str">
        <f t="shared" si="48"/>
        <v>NC</v>
      </c>
      <c r="AA109" s="57">
        <f t="shared" si="49"/>
        <v>44225</v>
      </c>
      <c r="AB109" s="57">
        <f t="shared" si="50"/>
        <v>44254</v>
      </c>
      <c r="AC109" s="57" t="str">
        <f t="shared" si="51"/>
        <v>NC</v>
      </c>
      <c r="AE109" s="123">
        <f t="shared" ca="1" si="52"/>
        <v>-1425</v>
      </c>
      <c r="AF109" s="123" t="str">
        <f t="shared" si="53"/>
        <v>NC</v>
      </c>
      <c r="AG109" s="123" t="str">
        <f t="shared" si="54"/>
        <v>NC</v>
      </c>
      <c r="AH109" s="123" t="str">
        <f t="shared" si="55"/>
        <v>NC</v>
      </c>
      <c r="AI109" s="123">
        <f t="shared" ca="1" si="56"/>
        <v>-1362</v>
      </c>
      <c r="AJ109" s="123">
        <f t="shared" ca="1" si="57"/>
        <v>-1333</v>
      </c>
      <c r="AK109" s="123" t="str">
        <f t="shared" si="58"/>
        <v>NC</v>
      </c>
      <c r="AL109" s="138"/>
      <c r="AM109" s="151">
        <f t="shared" si="59"/>
        <v>1.6938487595617648E-3</v>
      </c>
      <c r="AN109" s="140"/>
      <c r="AO109" s="124" t="s">
        <v>395</v>
      </c>
      <c r="AP109" s="124" t="s">
        <v>471</v>
      </c>
      <c r="AQ109" s="138" t="s">
        <v>642</v>
      </c>
      <c r="AR109" s="124" t="s">
        <v>1031</v>
      </c>
      <c r="AS109" s="143" t="s">
        <v>1215</v>
      </c>
      <c r="AT109" s="143" t="s">
        <v>1237</v>
      </c>
      <c r="AU109" s="143" t="s">
        <v>1418</v>
      </c>
    </row>
    <row r="110" spans="1:47" s="124" customFormat="1" ht="14.4" customHeight="1" x14ac:dyDescent="0.3">
      <c r="A110" s="117" t="s">
        <v>86</v>
      </c>
      <c r="B110" s="117" t="s">
        <v>1511</v>
      </c>
      <c r="C110" s="121" t="s">
        <v>526</v>
      </c>
      <c r="D110" s="116" t="s">
        <v>46</v>
      </c>
      <c r="E110" s="116"/>
      <c r="F110" s="117" t="s">
        <v>250</v>
      </c>
      <c r="G110" s="99" t="s">
        <v>597</v>
      </c>
      <c r="H110" s="144">
        <v>43830</v>
      </c>
      <c r="I110" s="145">
        <v>17720000</v>
      </c>
      <c r="J110" s="131">
        <v>2018</v>
      </c>
      <c r="K110" s="154"/>
      <c r="L110" s="133"/>
      <c r="M110" s="134"/>
      <c r="N110" s="149" t="s">
        <v>596</v>
      </c>
      <c r="O110" s="136"/>
      <c r="P110" s="57">
        <v>43797</v>
      </c>
      <c r="Q110" s="57" t="s">
        <v>30</v>
      </c>
      <c r="R110" s="57" t="s">
        <v>30</v>
      </c>
      <c r="S110" s="34" t="s">
        <v>30</v>
      </c>
      <c r="T110" s="57">
        <v>43860</v>
      </c>
      <c r="U110" s="57">
        <v>43889</v>
      </c>
      <c r="V110" s="34" t="s">
        <v>30</v>
      </c>
      <c r="W110" s="137">
        <f t="shared" si="45"/>
        <v>44162</v>
      </c>
      <c r="X110" s="57" t="str">
        <f t="shared" si="46"/>
        <v>NC</v>
      </c>
      <c r="Y110" s="57" t="str">
        <f t="shared" si="47"/>
        <v>NC</v>
      </c>
      <c r="Z110" s="57" t="str">
        <f t="shared" si="48"/>
        <v>NC</v>
      </c>
      <c r="AA110" s="57">
        <f t="shared" si="49"/>
        <v>44225</v>
      </c>
      <c r="AB110" s="57">
        <f t="shared" si="50"/>
        <v>44254</v>
      </c>
      <c r="AC110" s="57" t="str">
        <f t="shared" si="51"/>
        <v>NC</v>
      </c>
      <c r="AE110" s="123">
        <f t="shared" ca="1" si="52"/>
        <v>-1425</v>
      </c>
      <c r="AF110" s="123" t="str">
        <f t="shared" si="53"/>
        <v>NC</v>
      </c>
      <c r="AG110" s="123" t="str">
        <f t="shared" si="54"/>
        <v>NC</v>
      </c>
      <c r="AH110" s="123" t="str">
        <f t="shared" si="55"/>
        <v>NC</v>
      </c>
      <c r="AI110" s="123">
        <f t="shared" ca="1" si="56"/>
        <v>-1362</v>
      </c>
      <c r="AJ110" s="123">
        <f t="shared" ca="1" si="57"/>
        <v>-1333</v>
      </c>
      <c r="AK110" s="123" t="str">
        <f t="shared" si="58"/>
        <v>NC</v>
      </c>
      <c r="AL110" s="138"/>
      <c r="AM110" s="151">
        <f t="shared" si="59"/>
        <v>1.6938487595617648E-3</v>
      </c>
      <c r="AN110" s="140"/>
      <c r="AO110" s="124" t="s">
        <v>395</v>
      </c>
      <c r="AP110" s="124" t="s">
        <v>471</v>
      </c>
      <c r="AQ110" s="138" t="s">
        <v>642</v>
      </c>
      <c r="AR110" s="124" t="s">
        <v>759</v>
      </c>
      <c r="AS110" s="143" t="s">
        <v>1215</v>
      </c>
      <c r="AT110" s="143" t="s">
        <v>1237</v>
      </c>
      <c r="AU110" s="143" t="s">
        <v>1418</v>
      </c>
    </row>
    <row r="111" spans="1:47" s="124" customFormat="1" ht="14.4" customHeight="1" x14ac:dyDescent="0.3">
      <c r="A111" s="117" t="s">
        <v>87</v>
      </c>
      <c r="B111" s="117" t="s">
        <v>1511</v>
      </c>
      <c r="C111" s="121" t="s">
        <v>526</v>
      </c>
      <c r="D111" s="116" t="s">
        <v>46</v>
      </c>
      <c r="E111" s="116"/>
      <c r="F111" s="117" t="s">
        <v>251</v>
      </c>
      <c r="G111" s="99" t="s">
        <v>598</v>
      </c>
      <c r="H111" s="144">
        <v>43830</v>
      </c>
      <c r="I111" s="145">
        <v>17720000</v>
      </c>
      <c r="J111" s="131">
        <v>2018</v>
      </c>
      <c r="K111" s="154"/>
      <c r="L111" s="133"/>
      <c r="M111" s="134"/>
      <c r="N111" s="149" t="s">
        <v>596</v>
      </c>
      <c r="O111" s="136"/>
      <c r="P111" s="57">
        <v>43798</v>
      </c>
      <c r="Q111" s="57" t="s">
        <v>30</v>
      </c>
      <c r="R111" s="57" t="s">
        <v>30</v>
      </c>
      <c r="S111" s="34" t="s">
        <v>30</v>
      </c>
      <c r="T111" s="57">
        <v>43860</v>
      </c>
      <c r="U111" s="57">
        <v>43889</v>
      </c>
      <c r="V111" s="34" t="s">
        <v>30</v>
      </c>
      <c r="W111" s="137">
        <f t="shared" si="45"/>
        <v>44163</v>
      </c>
      <c r="X111" s="57" t="str">
        <f t="shared" si="46"/>
        <v>NC</v>
      </c>
      <c r="Y111" s="57" t="str">
        <f t="shared" si="47"/>
        <v>NC</v>
      </c>
      <c r="Z111" s="57" t="str">
        <f t="shared" si="48"/>
        <v>NC</v>
      </c>
      <c r="AA111" s="57">
        <f t="shared" si="49"/>
        <v>44225</v>
      </c>
      <c r="AB111" s="57">
        <f t="shared" si="50"/>
        <v>44254</v>
      </c>
      <c r="AC111" s="57" t="str">
        <f t="shared" si="51"/>
        <v>NC</v>
      </c>
      <c r="AE111" s="123">
        <f t="shared" ca="1" si="52"/>
        <v>-1424</v>
      </c>
      <c r="AF111" s="123" t="str">
        <f t="shared" si="53"/>
        <v>NC</v>
      </c>
      <c r="AG111" s="123" t="str">
        <f t="shared" si="54"/>
        <v>NC</v>
      </c>
      <c r="AH111" s="123" t="str">
        <f t="shared" si="55"/>
        <v>NC</v>
      </c>
      <c r="AI111" s="123">
        <f t="shared" ca="1" si="56"/>
        <v>-1362</v>
      </c>
      <c r="AJ111" s="123">
        <f t="shared" ca="1" si="57"/>
        <v>-1333</v>
      </c>
      <c r="AK111" s="123" t="str">
        <f t="shared" si="58"/>
        <v>NC</v>
      </c>
      <c r="AL111" s="138"/>
      <c r="AM111" s="151">
        <f t="shared" si="59"/>
        <v>1.6938487595617648E-3</v>
      </c>
      <c r="AN111" s="140"/>
      <c r="AO111" s="124" t="s">
        <v>395</v>
      </c>
      <c r="AP111" s="124" t="s">
        <v>471</v>
      </c>
      <c r="AQ111" s="138" t="s">
        <v>642</v>
      </c>
      <c r="AR111" s="124" t="s">
        <v>1032</v>
      </c>
      <c r="AS111" s="143" t="s">
        <v>1215</v>
      </c>
      <c r="AT111" s="143" t="s">
        <v>1237</v>
      </c>
      <c r="AU111" s="143" t="s">
        <v>1418</v>
      </c>
    </row>
    <row r="112" spans="1:47" s="124" customFormat="1" ht="14.4" customHeight="1" x14ac:dyDescent="0.3">
      <c r="A112" s="117" t="s">
        <v>88</v>
      </c>
      <c r="B112" s="117" t="s">
        <v>1511</v>
      </c>
      <c r="C112" s="121" t="s">
        <v>526</v>
      </c>
      <c r="D112" s="116" t="s">
        <v>46</v>
      </c>
      <c r="E112" s="116"/>
      <c r="F112" s="117" t="s">
        <v>252</v>
      </c>
      <c r="G112" s="99" t="s">
        <v>599</v>
      </c>
      <c r="H112" s="144">
        <v>43830</v>
      </c>
      <c r="I112" s="145">
        <v>17720000</v>
      </c>
      <c r="J112" s="131">
        <v>2018</v>
      </c>
      <c r="K112" s="154"/>
      <c r="L112" s="133"/>
      <c r="M112" s="134"/>
      <c r="N112" s="149" t="s">
        <v>596</v>
      </c>
      <c r="O112" s="136"/>
      <c r="P112" s="57">
        <v>43797</v>
      </c>
      <c r="Q112" s="57" t="s">
        <v>30</v>
      </c>
      <c r="R112" s="57" t="s">
        <v>30</v>
      </c>
      <c r="S112" s="34" t="s">
        <v>30</v>
      </c>
      <c r="T112" s="57">
        <v>43860</v>
      </c>
      <c r="U112" s="57">
        <v>43889</v>
      </c>
      <c r="V112" s="34" t="s">
        <v>30</v>
      </c>
      <c r="W112" s="137">
        <f t="shared" si="45"/>
        <v>44162</v>
      </c>
      <c r="X112" s="57" t="str">
        <f t="shared" si="46"/>
        <v>NC</v>
      </c>
      <c r="Y112" s="57" t="str">
        <f t="shared" si="47"/>
        <v>NC</v>
      </c>
      <c r="Z112" s="57" t="str">
        <f t="shared" si="48"/>
        <v>NC</v>
      </c>
      <c r="AA112" s="57">
        <f t="shared" si="49"/>
        <v>44225</v>
      </c>
      <c r="AB112" s="57">
        <f t="shared" si="50"/>
        <v>44254</v>
      </c>
      <c r="AC112" s="57" t="str">
        <f t="shared" si="51"/>
        <v>NC</v>
      </c>
      <c r="AE112" s="123">
        <f t="shared" ca="1" si="52"/>
        <v>-1425</v>
      </c>
      <c r="AF112" s="123" t="str">
        <f t="shared" si="53"/>
        <v>NC</v>
      </c>
      <c r="AG112" s="123" t="str">
        <f t="shared" si="54"/>
        <v>NC</v>
      </c>
      <c r="AH112" s="123" t="str">
        <f t="shared" si="55"/>
        <v>NC</v>
      </c>
      <c r="AI112" s="123">
        <f t="shared" ca="1" si="56"/>
        <v>-1362</v>
      </c>
      <c r="AJ112" s="123">
        <f t="shared" ca="1" si="57"/>
        <v>-1333</v>
      </c>
      <c r="AK112" s="123" t="str">
        <f t="shared" si="58"/>
        <v>NC</v>
      </c>
      <c r="AL112" s="138"/>
      <c r="AM112" s="151">
        <f t="shared" si="59"/>
        <v>1.6938487595617648E-3</v>
      </c>
      <c r="AN112" s="140"/>
      <c r="AO112" s="124" t="s">
        <v>395</v>
      </c>
      <c r="AP112" s="124" t="s">
        <v>471</v>
      </c>
      <c r="AQ112" s="138" t="s">
        <v>642</v>
      </c>
      <c r="AR112" s="124" t="s">
        <v>1057</v>
      </c>
      <c r="AS112" s="143" t="s">
        <v>1215</v>
      </c>
      <c r="AT112" s="143" t="s">
        <v>1237</v>
      </c>
      <c r="AU112" s="143" t="s">
        <v>1418</v>
      </c>
    </row>
    <row r="113" spans="1:47" s="124" customFormat="1" ht="14.4" customHeight="1" x14ac:dyDescent="0.3">
      <c r="A113" s="116" t="s">
        <v>359</v>
      </c>
      <c r="B113" s="116" t="s">
        <v>360</v>
      </c>
      <c r="C113" s="121" t="s">
        <v>526</v>
      </c>
      <c r="D113" s="116" t="s">
        <v>46</v>
      </c>
      <c r="E113" s="116"/>
      <c r="F113" s="117" t="s">
        <v>500</v>
      </c>
      <c r="G113" s="120" t="s">
        <v>839</v>
      </c>
      <c r="H113" s="144">
        <v>43830</v>
      </c>
      <c r="I113" s="161">
        <v>14489339</v>
      </c>
      <c r="J113" s="131">
        <v>2018</v>
      </c>
      <c r="K113" s="154"/>
      <c r="L113" s="162"/>
      <c r="M113" s="116"/>
      <c r="N113" s="149" t="s">
        <v>596</v>
      </c>
      <c r="O113" s="136"/>
      <c r="P113" s="57">
        <v>43858</v>
      </c>
      <c r="Q113" s="57" t="s">
        <v>30</v>
      </c>
      <c r="R113" s="57" t="s">
        <v>30</v>
      </c>
      <c r="S113" s="34" t="s">
        <v>30</v>
      </c>
      <c r="T113" s="57" t="s">
        <v>30</v>
      </c>
      <c r="U113" s="57" t="s">
        <v>30</v>
      </c>
      <c r="V113" s="34" t="s">
        <v>30</v>
      </c>
      <c r="W113" s="137">
        <f>IF(P113="NC","NC",IF(P113="","erreur",P113+183))</f>
        <v>44041</v>
      </c>
      <c r="X113" s="57" t="str">
        <f t="shared" si="46"/>
        <v>NC</v>
      </c>
      <c r="Y113" s="57" t="str">
        <f t="shared" si="47"/>
        <v>NC</v>
      </c>
      <c r="Z113" s="57" t="str">
        <f t="shared" si="48"/>
        <v>NC</v>
      </c>
      <c r="AA113" s="57" t="str">
        <f t="shared" si="49"/>
        <v>NC</v>
      </c>
      <c r="AB113" s="57" t="str">
        <f t="shared" si="50"/>
        <v>NC</v>
      </c>
      <c r="AC113" s="57" t="str">
        <f t="shared" si="51"/>
        <v>NC</v>
      </c>
      <c r="AD113" s="138"/>
      <c r="AE113" s="123">
        <f t="shared" ca="1" si="52"/>
        <v>-1546</v>
      </c>
      <c r="AF113" s="123" t="str">
        <f t="shared" si="53"/>
        <v>NC</v>
      </c>
      <c r="AG113" s="123" t="str">
        <f t="shared" si="54"/>
        <v>NC</v>
      </c>
      <c r="AH113" s="123" t="str">
        <f t="shared" si="55"/>
        <v>NC</v>
      </c>
      <c r="AI113" s="123" t="str">
        <f t="shared" si="56"/>
        <v>NC</v>
      </c>
      <c r="AJ113" s="123" t="str">
        <f t="shared" si="57"/>
        <v>NC</v>
      </c>
      <c r="AK113" s="123" t="str">
        <f t="shared" si="58"/>
        <v>NC</v>
      </c>
      <c r="AL113" s="138"/>
      <c r="AM113" s="151">
        <f t="shared" si="59"/>
        <v>1.3850309758476245E-3</v>
      </c>
      <c r="AN113" s="138"/>
      <c r="AO113" s="138"/>
      <c r="AP113" s="124" t="s">
        <v>469</v>
      </c>
      <c r="AQ113" s="138" t="s">
        <v>642</v>
      </c>
      <c r="AR113" s="124" t="s">
        <v>1514</v>
      </c>
      <c r="AS113" s="143" t="s">
        <v>1208</v>
      </c>
      <c r="AT113" s="143" t="s">
        <v>1235</v>
      </c>
      <c r="AU113" s="143" t="s">
        <v>1234</v>
      </c>
    </row>
    <row r="114" spans="1:47" s="124" customFormat="1" ht="14.4" customHeight="1" x14ac:dyDescent="0.3">
      <c r="A114" s="116" t="s">
        <v>361</v>
      </c>
      <c r="B114" s="116" t="s">
        <v>1511</v>
      </c>
      <c r="C114" s="121" t="s">
        <v>526</v>
      </c>
      <c r="D114" s="116" t="s">
        <v>46</v>
      </c>
      <c r="E114" s="116"/>
      <c r="F114" s="117" t="s">
        <v>426</v>
      </c>
      <c r="G114" s="120" t="s">
        <v>652</v>
      </c>
      <c r="H114" s="144">
        <v>43830</v>
      </c>
      <c r="I114" s="134">
        <v>17720000</v>
      </c>
      <c r="J114" s="131">
        <v>2018</v>
      </c>
      <c r="K114" s="154"/>
      <c r="L114" s="162"/>
      <c r="M114" s="116"/>
      <c r="N114" s="149" t="s">
        <v>596</v>
      </c>
      <c r="O114" s="136"/>
      <c r="P114" s="57">
        <v>43816</v>
      </c>
      <c r="Q114" s="57" t="s">
        <v>30</v>
      </c>
      <c r="R114" s="57" t="s">
        <v>30</v>
      </c>
      <c r="S114" s="34" t="s">
        <v>30</v>
      </c>
      <c r="T114" s="57">
        <v>43860</v>
      </c>
      <c r="U114" s="57">
        <v>43889</v>
      </c>
      <c r="V114" s="34" t="s">
        <v>30</v>
      </c>
      <c r="W114" s="137">
        <f t="shared" ref="W114:W145" si="60">IF(P114="NC","NC",IF(P114="","erreur",P114+365))</f>
        <v>44181</v>
      </c>
      <c r="X114" s="57" t="str">
        <f t="shared" si="46"/>
        <v>NC</v>
      </c>
      <c r="Y114" s="57" t="str">
        <f t="shared" si="47"/>
        <v>NC</v>
      </c>
      <c r="Z114" s="57" t="str">
        <f t="shared" si="48"/>
        <v>NC</v>
      </c>
      <c r="AA114" s="57">
        <f t="shared" si="49"/>
        <v>44225</v>
      </c>
      <c r="AB114" s="57">
        <f t="shared" si="50"/>
        <v>44254</v>
      </c>
      <c r="AC114" s="57" t="str">
        <f t="shared" si="51"/>
        <v>NC</v>
      </c>
      <c r="AD114" s="138"/>
      <c r="AE114" s="123">
        <f t="shared" ca="1" si="52"/>
        <v>-1406</v>
      </c>
      <c r="AF114" s="123" t="str">
        <f t="shared" si="53"/>
        <v>NC</v>
      </c>
      <c r="AG114" s="123" t="str">
        <f t="shared" si="54"/>
        <v>NC</v>
      </c>
      <c r="AH114" s="123" t="str">
        <f t="shared" si="55"/>
        <v>NC</v>
      </c>
      <c r="AI114" s="123">
        <f t="shared" ca="1" si="56"/>
        <v>-1362</v>
      </c>
      <c r="AJ114" s="123">
        <f t="shared" ca="1" si="57"/>
        <v>-1333</v>
      </c>
      <c r="AK114" s="123" t="str">
        <f t="shared" si="58"/>
        <v>NC</v>
      </c>
      <c r="AL114" s="138"/>
      <c r="AM114" s="151">
        <f t="shared" si="59"/>
        <v>1.6938487595617648E-3</v>
      </c>
      <c r="AN114" s="138"/>
      <c r="AO114" s="138" t="s">
        <v>395</v>
      </c>
      <c r="AP114" s="124" t="s">
        <v>471</v>
      </c>
      <c r="AQ114" s="138" t="s">
        <v>642</v>
      </c>
      <c r="AR114" s="124" t="s">
        <v>760</v>
      </c>
      <c r="AS114" s="143" t="s">
        <v>1215</v>
      </c>
      <c r="AT114" s="143" t="s">
        <v>1237</v>
      </c>
      <c r="AU114" s="143" t="s">
        <v>1418</v>
      </c>
    </row>
    <row r="115" spans="1:47" s="124" customFormat="1" ht="14.4" customHeight="1" x14ac:dyDescent="0.3">
      <c r="A115" s="116" t="s">
        <v>362</v>
      </c>
      <c r="B115" s="116" t="s">
        <v>1511</v>
      </c>
      <c r="C115" s="121" t="s">
        <v>526</v>
      </c>
      <c r="D115" s="116" t="s">
        <v>46</v>
      </c>
      <c r="E115" s="116"/>
      <c r="F115" s="117" t="s">
        <v>427</v>
      </c>
      <c r="G115" s="120" t="s">
        <v>649</v>
      </c>
      <c r="H115" s="144">
        <v>43830</v>
      </c>
      <c r="I115" s="134">
        <v>17720000</v>
      </c>
      <c r="J115" s="131">
        <v>2018</v>
      </c>
      <c r="K115" s="154"/>
      <c r="L115" s="162"/>
      <c r="M115" s="116"/>
      <c r="N115" s="149" t="s">
        <v>596</v>
      </c>
      <c r="O115" s="136"/>
      <c r="P115" s="57">
        <v>43816</v>
      </c>
      <c r="Q115" s="57" t="s">
        <v>30</v>
      </c>
      <c r="R115" s="57" t="s">
        <v>30</v>
      </c>
      <c r="S115" s="34" t="s">
        <v>30</v>
      </c>
      <c r="T115" s="57">
        <v>43860</v>
      </c>
      <c r="U115" s="57">
        <v>43889</v>
      </c>
      <c r="V115" s="34" t="s">
        <v>30</v>
      </c>
      <c r="W115" s="137">
        <f t="shared" si="60"/>
        <v>44181</v>
      </c>
      <c r="X115" s="57" t="str">
        <f t="shared" si="46"/>
        <v>NC</v>
      </c>
      <c r="Y115" s="57" t="str">
        <f t="shared" si="47"/>
        <v>NC</v>
      </c>
      <c r="Z115" s="57" t="str">
        <f t="shared" si="48"/>
        <v>NC</v>
      </c>
      <c r="AA115" s="57">
        <f t="shared" si="49"/>
        <v>44225</v>
      </c>
      <c r="AB115" s="57">
        <f t="shared" si="50"/>
        <v>44254</v>
      </c>
      <c r="AC115" s="57" t="str">
        <f t="shared" si="51"/>
        <v>NC</v>
      </c>
      <c r="AD115" s="138"/>
      <c r="AE115" s="123">
        <f t="shared" ca="1" si="52"/>
        <v>-1406</v>
      </c>
      <c r="AF115" s="123" t="str">
        <f t="shared" si="53"/>
        <v>NC</v>
      </c>
      <c r="AG115" s="123" t="str">
        <f t="shared" si="54"/>
        <v>NC</v>
      </c>
      <c r="AH115" s="123" t="str">
        <f t="shared" si="55"/>
        <v>NC</v>
      </c>
      <c r="AI115" s="123">
        <f t="shared" ca="1" si="56"/>
        <v>-1362</v>
      </c>
      <c r="AJ115" s="123">
        <f t="shared" ca="1" si="57"/>
        <v>-1333</v>
      </c>
      <c r="AK115" s="123" t="str">
        <f t="shared" si="58"/>
        <v>NC</v>
      </c>
      <c r="AL115" s="138"/>
      <c r="AM115" s="151">
        <f t="shared" si="59"/>
        <v>1.6938487595617648E-3</v>
      </c>
      <c r="AN115" s="138"/>
      <c r="AO115" s="138" t="s">
        <v>395</v>
      </c>
      <c r="AP115" s="124" t="s">
        <v>471</v>
      </c>
      <c r="AQ115" s="138" t="s">
        <v>642</v>
      </c>
      <c r="AR115" s="124" t="s">
        <v>1033</v>
      </c>
      <c r="AS115" s="143" t="s">
        <v>1215</v>
      </c>
      <c r="AT115" s="143" t="s">
        <v>1237</v>
      </c>
      <c r="AU115" s="143" t="s">
        <v>1418</v>
      </c>
    </row>
    <row r="116" spans="1:47" s="138" customFormat="1" ht="14.4" customHeight="1" x14ac:dyDescent="0.3">
      <c r="A116" s="116" t="s">
        <v>363</v>
      </c>
      <c r="B116" s="116" t="s">
        <v>1511</v>
      </c>
      <c r="C116" s="121" t="s">
        <v>526</v>
      </c>
      <c r="D116" s="116" t="s">
        <v>46</v>
      </c>
      <c r="E116" s="116"/>
      <c r="F116" s="117" t="s">
        <v>428</v>
      </c>
      <c r="G116" s="120" t="s">
        <v>648</v>
      </c>
      <c r="H116" s="144">
        <v>43830</v>
      </c>
      <c r="I116" s="134">
        <v>17720000</v>
      </c>
      <c r="J116" s="131">
        <v>2018</v>
      </c>
      <c r="K116" s="154"/>
      <c r="L116" s="162"/>
      <c r="M116" s="116"/>
      <c r="N116" s="149" t="s">
        <v>596</v>
      </c>
      <c r="O116" s="136"/>
      <c r="P116" s="57">
        <v>43816</v>
      </c>
      <c r="Q116" s="57" t="s">
        <v>30</v>
      </c>
      <c r="R116" s="57" t="s">
        <v>30</v>
      </c>
      <c r="S116" s="34" t="s">
        <v>30</v>
      </c>
      <c r="T116" s="57">
        <v>43860</v>
      </c>
      <c r="U116" s="57">
        <v>43889</v>
      </c>
      <c r="V116" s="34" t="s">
        <v>30</v>
      </c>
      <c r="W116" s="137">
        <f t="shared" si="60"/>
        <v>44181</v>
      </c>
      <c r="X116" s="57" t="str">
        <f t="shared" si="46"/>
        <v>NC</v>
      </c>
      <c r="Y116" s="57" t="str">
        <f t="shared" si="47"/>
        <v>NC</v>
      </c>
      <c r="Z116" s="57" t="str">
        <f t="shared" si="48"/>
        <v>NC</v>
      </c>
      <c r="AA116" s="57">
        <f t="shared" si="49"/>
        <v>44225</v>
      </c>
      <c r="AB116" s="57">
        <f t="shared" si="50"/>
        <v>44254</v>
      </c>
      <c r="AC116" s="57" t="str">
        <f t="shared" si="51"/>
        <v>NC</v>
      </c>
      <c r="AE116" s="123">
        <f t="shared" ca="1" si="52"/>
        <v>-1406</v>
      </c>
      <c r="AF116" s="123" t="str">
        <f t="shared" si="53"/>
        <v>NC</v>
      </c>
      <c r="AG116" s="123" t="str">
        <f t="shared" si="54"/>
        <v>NC</v>
      </c>
      <c r="AH116" s="123" t="str">
        <f t="shared" si="55"/>
        <v>NC</v>
      </c>
      <c r="AI116" s="123">
        <f t="shared" ca="1" si="56"/>
        <v>-1362</v>
      </c>
      <c r="AJ116" s="123">
        <f t="shared" ca="1" si="57"/>
        <v>-1333</v>
      </c>
      <c r="AK116" s="123" t="str">
        <f t="shared" si="58"/>
        <v>NC</v>
      </c>
      <c r="AM116" s="151">
        <f t="shared" si="59"/>
        <v>1.6938487595617648E-3</v>
      </c>
      <c r="AO116" s="138" t="s">
        <v>395</v>
      </c>
      <c r="AP116" s="124" t="s">
        <v>471</v>
      </c>
      <c r="AQ116" s="138" t="s">
        <v>642</v>
      </c>
      <c r="AR116" s="124" t="s">
        <v>1056</v>
      </c>
      <c r="AS116" s="143" t="s">
        <v>1215</v>
      </c>
      <c r="AT116" s="143" t="s">
        <v>1237</v>
      </c>
      <c r="AU116" s="143" t="s">
        <v>1418</v>
      </c>
    </row>
    <row r="117" spans="1:47" s="138" customFormat="1" ht="14.4" customHeight="1" x14ac:dyDescent="0.3">
      <c r="A117" s="116" t="s">
        <v>364</v>
      </c>
      <c r="B117" s="116" t="s">
        <v>1511</v>
      </c>
      <c r="C117" s="121" t="s">
        <v>526</v>
      </c>
      <c r="D117" s="116" t="s">
        <v>46</v>
      </c>
      <c r="E117" s="116"/>
      <c r="F117" s="117" t="s">
        <v>429</v>
      </c>
      <c r="G117" s="120" t="s">
        <v>650</v>
      </c>
      <c r="H117" s="144">
        <v>43830</v>
      </c>
      <c r="I117" s="134">
        <v>17720000</v>
      </c>
      <c r="J117" s="131">
        <v>2018</v>
      </c>
      <c r="K117" s="154"/>
      <c r="L117" s="162"/>
      <c r="M117" s="116"/>
      <c r="N117" s="149" t="s">
        <v>596</v>
      </c>
      <c r="O117" s="136"/>
      <c r="P117" s="57">
        <v>43816</v>
      </c>
      <c r="Q117" s="57" t="s">
        <v>30</v>
      </c>
      <c r="R117" s="57" t="s">
        <v>30</v>
      </c>
      <c r="S117" s="34" t="s">
        <v>30</v>
      </c>
      <c r="T117" s="57">
        <v>43860</v>
      </c>
      <c r="U117" s="57">
        <v>43889</v>
      </c>
      <c r="V117" s="34" t="s">
        <v>30</v>
      </c>
      <c r="W117" s="137">
        <f t="shared" si="60"/>
        <v>44181</v>
      </c>
      <c r="X117" s="57" t="str">
        <f t="shared" si="46"/>
        <v>NC</v>
      </c>
      <c r="Y117" s="57" t="str">
        <f t="shared" si="47"/>
        <v>NC</v>
      </c>
      <c r="Z117" s="57" t="str">
        <f t="shared" si="48"/>
        <v>NC</v>
      </c>
      <c r="AA117" s="57">
        <f t="shared" si="49"/>
        <v>44225</v>
      </c>
      <c r="AB117" s="57">
        <f t="shared" si="50"/>
        <v>44254</v>
      </c>
      <c r="AC117" s="57" t="str">
        <f t="shared" si="51"/>
        <v>NC</v>
      </c>
      <c r="AE117" s="123">
        <f t="shared" ca="1" si="52"/>
        <v>-1406</v>
      </c>
      <c r="AF117" s="123" t="str">
        <f t="shared" si="53"/>
        <v>NC</v>
      </c>
      <c r="AG117" s="123" t="str">
        <f t="shared" si="54"/>
        <v>NC</v>
      </c>
      <c r="AH117" s="123" t="str">
        <f t="shared" si="55"/>
        <v>NC</v>
      </c>
      <c r="AI117" s="123">
        <f t="shared" ca="1" si="56"/>
        <v>-1362</v>
      </c>
      <c r="AJ117" s="123">
        <f t="shared" ca="1" si="57"/>
        <v>-1333</v>
      </c>
      <c r="AK117" s="123" t="str">
        <f t="shared" si="58"/>
        <v>NC</v>
      </c>
      <c r="AM117" s="151">
        <f t="shared" si="59"/>
        <v>1.6938487595617648E-3</v>
      </c>
      <c r="AO117" s="138" t="s">
        <v>395</v>
      </c>
      <c r="AP117" s="124" t="s">
        <v>471</v>
      </c>
      <c r="AQ117" s="138" t="s">
        <v>642</v>
      </c>
      <c r="AR117" s="124" t="s">
        <v>761</v>
      </c>
      <c r="AS117" s="143" t="s">
        <v>1215</v>
      </c>
      <c r="AT117" s="143" t="s">
        <v>1237</v>
      </c>
      <c r="AU117" s="143" t="s">
        <v>1418</v>
      </c>
    </row>
    <row r="118" spans="1:47" s="138" customFormat="1" ht="14.4" customHeight="1" x14ac:dyDescent="0.3">
      <c r="A118" s="116" t="s">
        <v>365</v>
      </c>
      <c r="B118" s="116" t="s">
        <v>1511</v>
      </c>
      <c r="C118" s="121" t="s">
        <v>526</v>
      </c>
      <c r="D118" s="116" t="s">
        <v>46</v>
      </c>
      <c r="E118" s="116"/>
      <c r="F118" s="117" t="s">
        <v>430</v>
      </c>
      <c r="G118" s="120" t="s">
        <v>655</v>
      </c>
      <c r="H118" s="144">
        <v>43830</v>
      </c>
      <c r="I118" s="134">
        <v>17720000</v>
      </c>
      <c r="J118" s="131">
        <v>2018</v>
      </c>
      <c r="K118" s="154"/>
      <c r="L118" s="162"/>
      <c r="M118" s="116"/>
      <c r="N118" s="149" t="s">
        <v>596</v>
      </c>
      <c r="O118" s="136"/>
      <c r="P118" s="57">
        <v>43463</v>
      </c>
      <c r="Q118" s="57" t="s">
        <v>30</v>
      </c>
      <c r="R118" s="57" t="s">
        <v>30</v>
      </c>
      <c r="S118" s="34" t="s">
        <v>30</v>
      </c>
      <c r="T118" s="57">
        <v>43860</v>
      </c>
      <c r="U118" s="57">
        <v>43889</v>
      </c>
      <c r="V118" s="34" t="s">
        <v>30</v>
      </c>
      <c r="W118" s="137">
        <f t="shared" si="60"/>
        <v>43828</v>
      </c>
      <c r="X118" s="57" t="str">
        <f t="shared" si="46"/>
        <v>NC</v>
      </c>
      <c r="Y118" s="57" t="str">
        <f t="shared" si="47"/>
        <v>NC</v>
      </c>
      <c r="Z118" s="57" t="str">
        <f t="shared" si="48"/>
        <v>NC</v>
      </c>
      <c r="AA118" s="57">
        <f t="shared" si="49"/>
        <v>44225</v>
      </c>
      <c r="AB118" s="57">
        <f t="shared" si="50"/>
        <v>44254</v>
      </c>
      <c r="AC118" s="57" t="str">
        <f t="shared" si="51"/>
        <v>NC</v>
      </c>
      <c r="AE118" s="123">
        <f t="shared" ca="1" si="52"/>
        <v>-1759</v>
      </c>
      <c r="AF118" s="123" t="str">
        <f t="shared" si="53"/>
        <v>NC</v>
      </c>
      <c r="AG118" s="123" t="str">
        <f t="shared" si="54"/>
        <v>NC</v>
      </c>
      <c r="AH118" s="123" t="str">
        <f t="shared" si="55"/>
        <v>NC</v>
      </c>
      <c r="AI118" s="123">
        <f t="shared" ca="1" si="56"/>
        <v>-1362</v>
      </c>
      <c r="AJ118" s="123">
        <f t="shared" ca="1" si="57"/>
        <v>-1333</v>
      </c>
      <c r="AK118" s="123" t="str">
        <f t="shared" si="58"/>
        <v>NC</v>
      </c>
      <c r="AM118" s="151">
        <f t="shared" si="59"/>
        <v>1.6938487595617648E-3</v>
      </c>
      <c r="AO118" s="138" t="s">
        <v>395</v>
      </c>
      <c r="AP118" s="124" t="s">
        <v>471</v>
      </c>
      <c r="AQ118" s="138" t="s">
        <v>642</v>
      </c>
      <c r="AR118" s="138" t="s">
        <v>763</v>
      </c>
      <c r="AS118" s="143" t="s">
        <v>1215</v>
      </c>
      <c r="AT118" s="143" t="s">
        <v>1237</v>
      </c>
      <c r="AU118" s="143" t="s">
        <v>1418</v>
      </c>
    </row>
    <row r="119" spans="1:47" s="138" customFormat="1" ht="14.4" customHeight="1" x14ac:dyDescent="0.3">
      <c r="A119" s="116" t="s">
        <v>366</v>
      </c>
      <c r="B119" s="116" t="s">
        <v>1511</v>
      </c>
      <c r="C119" s="121" t="s">
        <v>526</v>
      </c>
      <c r="D119" s="116" t="s">
        <v>46</v>
      </c>
      <c r="E119" s="116"/>
      <c r="F119" s="117" t="s">
        <v>431</v>
      </c>
      <c r="G119" s="120" t="s">
        <v>651</v>
      </c>
      <c r="H119" s="144">
        <v>43830</v>
      </c>
      <c r="I119" s="134">
        <v>17720000</v>
      </c>
      <c r="J119" s="131">
        <v>2018</v>
      </c>
      <c r="K119" s="154"/>
      <c r="L119" s="162"/>
      <c r="M119" s="116"/>
      <c r="N119" s="149" t="s">
        <v>596</v>
      </c>
      <c r="O119" s="136"/>
      <c r="P119" s="57">
        <v>43816</v>
      </c>
      <c r="Q119" s="57" t="s">
        <v>30</v>
      </c>
      <c r="R119" s="57" t="s">
        <v>30</v>
      </c>
      <c r="S119" s="34" t="s">
        <v>30</v>
      </c>
      <c r="T119" s="57">
        <v>43860</v>
      </c>
      <c r="U119" s="57">
        <v>43889</v>
      </c>
      <c r="V119" s="34" t="s">
        <v>30</v>
      </c>
      <c r="W119" s="137">
        <f t="shared" si="60"/>
        <v>44181</v>
      </c>
      <c r="X119" s="57" t="str">
        <f t="shared" si="46"/>
        <v>NC</v>
      </c>
      <c r="Y119" s="57" t="str">
        <f t="shared" si="47"/>
        <v>NC</v>
      </c>
      <c r="Z119" s="57" t="str">
        <f t="shared" si="48"/>
        <v>NC</v>
      </c>
      <c r="AA119" s="57">
        <f t="shared" si="49"/>
        <v>44225</v>
      </c>
      <c r="AB119" s="57">
        <f t="shared" si="50"/>
        <v>44254</v>
      </c>
      <c r="AC119" s="57" t="str">
        <f t="shared" si="51"/>
        <v>NC</v>
      </c>
      <c r="AE119" s="123">
        <f t="shared" ca="1" si="52"/>
        <v>-1406</v>
      </c>
      <c r="AF119" s="123" t="str">
        <f t="shared" si="53"/>
        <v>NC</v>
      </c>
      <c r="AG119" s="123" t="str">
        <f t="shared" si="54"/>
        <v>NC</v>
      </c>
      <c r="AH119" s="123" t="str">
        <f t="shared" si="55"/>
        <v>NC</v>
      </c>
      <c r="AI119" s="123">
        <f t="shared" ca="1" si="56"/>
        <v>-1362</v>
      </c>
      <c r="AJ119" s="123">
        <f t="shared" ca="1" si="57"/>
        <v>-1333</v>
      </c>
      <c r="AK119" s="123" t="str">
        <f t="shared" si="58"/>
        <v>NC</v>
      </c>
      <c r="AM119" s="151">
        <f t="shared" si="59"/>
        <v>1.6938487595617648E-3</v>
      </c>
      <c r="AO119" s="138" t="s">
        <v>395</v>
      </c>
      <c r="AP119" s="124" t="s">
        <v>471</v>
      </c>
      <c r="AQ119" s="138" t="s">
        <v>642</v>
      </c>
      <c r="AR119" s="138" t="s">
        <v>1034</v>
      </c>
      <c r="AS119" s="142" t="s">
        <v>1215</v>
      </c>
      <c r="AT119" s="143" t="s">
        <v>1237</v>
      </c>
      <c r="AU119" s="143" t="s">
        <v>1418</v>
      </c>
    </row>
    <row r="120" spans="1:47" s="138" customFormat="1" ht="14.4" customHeight="1" x14ac:dyDescent="0.3">
      <c r="A120" s="116" t="s">
        <v>671</v>
      </c>
      <c r="B120" s="116" t="s">
        <v>1421</v>
      </c>
      <c r="C120" s="117" t="s">
        <v>788</v>
      </c>
      <c r="D120" s="116" t="s">
        <v>145</v>
      </c>
      <c r="E120" s="116"/>
      <c r="F120" s="117" t="s">
        <v>828</v>
      </c>
      <c r="G120" s="156" t="s">
        <v>918</v>
      </c>
      <c r="H120" s="144">
        <v>43830</v>
      </c>
      <c r="I120" s="134">
        <v>11440678</v>
      </c>
      <c r="J120" s="120">
        <v>2019</v>
      </c>
      <c r="K120" s="132"/>
      <c r="L120" s="158">
        <v>44075</v>
      </c>
      <c r="M120" s="116"/>
      <c r="N120" s="135" t="s">
        <v>596</v>
      </c>
      <c r="O120" s="116"/>
      <c r="P120" s="57">
        <v>43635</v>
      </c>
      <c r="Q120" s="57" t="s">
        <v>30</v>
      </c>
      <c r="R120" s="57" t="s">
        <v>30</v>
      </c>
      <c r="S120" s="34" t="s">
        <v>30</v>
      </c>
      <c r="T120" s="57" t="s">
        <v>30</v>
      </c>
      <c r="U120" s="57" t="s">
        <v>30</v>
      </c>
      <c r="V120" s="34" t="s">
        <v>30</v>
      </c>
      <c r="W120" s="137">
        <f t="shared" si="60"/>
        <v>44000</v>
      </c>
      <c r="X120" s="57" t="str">
        <f t="shared" si="46"/>
        <v>NC</v>
      </c>
      <c r="Y120" s="57" t="str">
        <f t="shared" si="47"/>
        <v>NC</v>
      </c>
      <c r="Z120" s="57" t="str">
        <f t="shared" si="48"/>
        <v>NC</v>
      </c>
      <c r="AA120" s="57" t="str">
        <f t="shared" si="49"/>
        <v>NC</v>
      </c>
      <c r="AB120" s="57" t="str">
        <f t="shared" si="50"/>
        <v>NC</v>
      </c>
      <c r="AC120" s="57" t="str">
        <f t="shared" si="51"/>
        <v>NC</v>
      </c>
      <c r="AE120" s="123">
        <f t="shared" ca="1" si="52"/>
        <v>-1587</v>
      </c>
      <c r="AF120" s="123" t="str">
        <f t="shared" si="53"/>
        <v>NC</v>
      </c>
      <c r="AG120" s="123" t="str">
        <f t="shared" si="54"/>
        <v>NC</v>
      </c>
      <c r="AH120" s="123" t="str">
        <f t="shared" si="55"/>
        <v>NC</v>
      </c>
      <c r="AI120" s="123" t="str">
        <f t="shared" si="56"/>
        <v>NC</v>
      </c>
      <c r="AJ120" s="123" t="str">
        <f t="shared" si="57"/>
        <v>NC</v>
      </c>
      <c r="AK120" s="123" t="str">
        <f t="shared" si="58"/>
        <v>NC</v>
      </c>
      <c r="AM120" s="139">
        <f t="shared" si="59"/>
        <v>4.3480899798876207E-4</v>
      </c>
      <c r="AP120" s="138" t="s">
        <v>473</v>
      </c>
      <c r="AQ120" s="141" t="s">
        <v>643</v>
      </c>
      <c r="AR120" s="138" t="s">
        <v>771</v>
      </c>
      <c r="AS120" s="142" t="s">
        <v>1236</v>
      </c>
      <c r="AT120" s="143" t="s">
        <v>1239</v>
      </c>
      <c r="AU120" s="143" t="s">
        <v>1422</v>
      </c>
    </row>
    <row r="121" spans="1:47" s="138" customFormat="1" ht="14.4" customHeight="1" x14ac:dyDescent="0.3">
      <c r="A121" s="116" t="s">
        <v>672</v>
      </c>
      <c r="B121" s="116" t="s">
        <v>1421</v>
      </c>
      <c r="C121" s="117" t="s">
        <v>788</v>
      </c>
      <c r="D121" s="116" t="s">
        <v>145</v>
      </c>
      <c r="E121" s="116"/>
      <c r="F121" s="117" t="s">
        <v>829</v>
      </c>
      <c r="G121" s="120" t="s">
        <v>919</v>
      </c>
      <c r="H121" s="144">
        <v>43830</v>
      </c>
      <c r="I121" s="134">
        <v>11440678</v>
      </c>
      <c r="J121" s="120">
        <v>2019</v>
      </c>
      <c r="K121" s="132"/>
      <c r="L121" s="158">
        <v>44166</v>
      </c>
      <c r="M121" s="116"/>
      <c r="N121" s="135" t="s">
        <v>596</v>
      </c>
      <c r="O121" s="116"/>
      <c r="P121" s="57">
        <v>43635</v>
      </c>
      <c r="Q121" s="57" t="s">
        <v>30</v>
      </c>
      <c r="R121" s="57" t="s">
        <v>30</v>
      </c>
      <c r="S121" s="34" t="s">
        <v>30</v>
      </c>
      <c r="T121" s="57" t="s">
        <v>30</v>
      </c>
      <c r="U121" s="57" t="s">
        <v>30</v>
      </c>
      <c r="V121" s="34" t="s">
        <v>30</v>
      </c>
      <c r="W121" s="137">
        <f t="shared" si="60"/>
        <v>44000</v>
      </c>
      <c r="X121" s="57" t="str">
        <f t="shared" si="46"/>
        <v>NC</v>
      </c>
      <c r="Y121" s="57" t="str">
        <f t="shared" si="47"/>
        <v>NC</v>
      </c>
      <c r="Z121" s="57" t="str">
        <f t="shared" si="48"/>
        <v>NC</v>
      </c>
      <c r="AA121" s="57" t="str">
        <f t="shared" si="49"/>
        <v>NC</v>
      </c>
      <c r="AB121" s="57" t="str">
        <f t="shared" si="50"/>
        <v>NC</v>
      </c>
      <c r="AC121" s="57" t="str">
        <f t="shared" si="51"/>
        <v>NC</v>
      </c>
      <c r="AE121" s="123">
        <f t="shared" ca="1" si="52"/>
        <v>-1587</v>
      </c>
      <c r="AF121" s="123" t="str">
        <f t="shared" si="53"/>
        <v>NC</v>
      </c>
      <c r="AG121" s="123" t="str">
        <f t="shared" si="54"/>
        <v>NC</v>
      </c>
      <c r="AH121" s="123" t="str">
        <f t="shared" si="55"/>
        <v>NC</v>
      </c>
      <c r="AI121" s="123" t="str">
        <f t="shared" si="56"/>
        <v>NC</v>
      </c>
      <c r="AJ121" s="123" t="str">
        <f t="shared" si="57"/>
        <v>NC</v>
      </c>
      <c r="AK121" s="123" t="str">
        <f t="shared" si="58"/>
        <v>NC</v>
      </c>
      <c r="AM121" s="139">
        <f t="shared" si="59"/>
        <v>4.3480899798876207E-4</v>
      </c>
      <c r="AP121" s="138" t="s">
        <v>473</v>
      </c>
      <c r="AQ121" s="141" t="s">
        <v>643</v>
      </c>
      <c r="AR121" s="138" t="s">
        <v>772</v>
      </c>
      <c r="AS121" s="142" t="s">
        <v>1236</v>
      </c>
      <c r="AT121" s="143" t="s">
        <v>1239</v>
      </c>
      <c r="AU121" s="143" t="s">
        <v>1422</v>
      </c>
    </row>
    <row r="122" spans="1:47" s="138" customFormat="1" ht="14.4" customHeight="1" x14ac:dyDescent="0.3">
      <c r="A122" s="116" t="s">
        <v>673</v>
      </c>
      <c r="B122" s="116" t="s">
        <v>1421</v>
      </c>
      <c r="C122" s="117" t="s">
        <v>788</v>
      </c>
      <c r="D122" s="116" t="s">
        <v>145</v>
      </c>
      <c r="E122" s="116"/>
      <c r="F122" s="117" t="s">
        <v>830</v>
      </c>
      <c r="G122" s="120" t="s">
        <v>937</v>
      </c>
      <c r="H122" s="144">
        <v>43830</v>
      </c>
      <c r="I122" s="134">
        <v>11440678</v>
      </c>
      <c r="J122" s="120">
        <v>2019</v>
      </c>
      <c r="K122" s="132"/>
      <c r="L122" s="158">
        <v>44013</v>
      </c>
      <c r="M122" s="116"/>
      <c r="N122" s="135" t="s">
        <v>596</v>
      </c>
      <c r="O122" s="116"/>
      <c r="P122" s="57">
        <v>43635</v>
      </c>
      <c r="Q122" s="57" t="s">
        <v>30</v>
      </c>
      <c r="R122" s="57" t="s">
        <v>30</v>
      </c>
      <c r="S122" s="34" t="s">
        <v>30</v>
      </c>
      <c r="T122" s="57" t="s">
        <v>30</v>
      </c>
      <c r="U122" s="57" t="s">
        <v>30</v>
      </c>
      <c r="V122" s="34" t="s">
        <v>30</v>
      </c>
      <c r="W122" s="137">
        <f t="shared" si="60"/>
        <v>44000</v>
      </c>
      <c r="X122" s="57" t="str">
        <f t="shared" si="46"/>
        <v>NC</v>
      </c>
      <c r="Y122" s="57" t="str">
        <f t="shared" si="47"/>
        <v>NC</v>
      </c>
      <c r="Z122" s="57" t="str">
        <f t="shared" si="48"/>
        <v>NC</v>
      </c>
      <c r="AA122" s="57" t="str">
        <f t="shared" si="49"/>
        <v>NC</v>
      </c>
      <c r="AB122" s="57" t="str">
        <f t="shared" si="50"/>
        <v>NC</v>
      </c>
      <c r="AC122" s="57" t="str">
        <f t="shared" si="51"/>
        <v>NC</v>
      </c>
      <c r="AE122" s="123">
        <f t="shared" ca="1" si="52"/>
        <v>-1587</v>
      </c>
      <c r="AF122" s="123" t="str">
        <f t="shared" si="53"/>
        <v>NC</v>
      </c>
      <c r="AG122" s="123" t="str">
        <f t="shared" si="54"/>
        <v>NC</v>
      </c>
      <c r="AH122" s="123" t="str">
        <f t="shared" si="55"/>
        <v>NC</v>
      </c>
      <c r="AI122" s="123" t="str">
        <f t="shared" si="56"/>
        <v>NC</v>
      </c>
      <c r="AJ122" s="123" t="str">
        <f t="shared" si="57"/>
        <v>NC</v>
      </c>
      <c r="AK122" s="123" t="str">
        <f t="shared" si="58"/>
        <v>NC</v>
      </c>
      <c r="AM122" s="139">
        <f t="shared" si="59"/>
        <v>4.3480899798876207E-4</v>
      </c>
      <c r="AP122" s="138" t="s">
        <v>473</v>
      </c>
      <c r="AQ122" s="141" t="s">
        <v>643</v>
      </c>
      <c r="AR122" s="138" t="s">
        <v>764</v>
      </c>
      <c r="AS122" s="142" t="s">
        <v>1236</v>
      </c>
      <c r="AT122" s="143" t="s">
        <v>1239</v>
      </c>
      <c r="AU122" s="143" t="s">
        <v>1422</v>
      </c>
    </row>
    <row r="123" spans="1:47" s="138" customFormat="1" ht="14.4" customHeight="1" x14ac:dyDescent="0.3">
      <c r="A123" s="116" t="s">
        <v>674</v>
      </c>
      <c r="B123" s="116" t="s">
        <v>1421</v>
      </c>
      <c r="C123" s="117" t="s">
        <v>788</v>
      </c>
      <c r="D123" s="116" t="s">
        <v>145</v>
      </c>
      <c r="E123" s="116"/>
      <c r="F123" s="117" t="s">
        <v>831</v>
      </c>
      <c r="G123" s="120" t="s">
        <v>936</v>
      </c>
      <c r="H123" s="144">
        <v>43830</v>
      </c>
      <c r="I123" s="134">
        <v>11440678</v>
      </c>
      <c r="J123" s="120">
        <v>2019</v>
      </c>
      <c r="K123" s="132"/>
      <c r="L123" s="158">
        <v>44044</v>
      </c>
      <c r="M123" s="116"/>
      <c r="N123" s="135" t="s">
        <v>596</v>
      </c>
      <c r="O123" s="116"/>
      <c r="P123" s="57">
        <v>43636</v>
      </c>
      <c r="Q123" s="57" t="s">
        <v>30</v>
      </c>
      <c r="R123" s="57" t="s">
        <v>30</v>
      </c>
      <c r="S123" s="34" t="s">
        <v>30</v>
      </c>
      <c r="T123" s="57" t="s">
        <v>30</v>
      </c>
      <c r="U123" s="57" t="s">
        <v>30</v>
      </c>
      <c r="V123" s="34" t="s">
        <v>30</v>
      </c>
      <c r="W123" s="137">
        <f t="shared" si="60"/>
        <v>44001</v>
      </c>
      <c r="X123" s="57" t="str">
        <f t="shared" si="46"/>
        <v>NC</v>
      </c>
      <c r="Y123" s="57" t="str">
        <f t="shared" si="47"/>
        <v>NC</v>
      </c>
      <c r="Z123" s="57" t="str">
        <f t="shared" si="48"/>
        <v>NC</v>
      </c>
      <c r="AA123" s="57" t="str">
        <f t="shared" si="49"/>
        <v>NC</v>
      </c>
      <c r="AB123" s="57" t="str">
        <f t="shared" si="50"/>
        <v>NC</v>
      </c>
      <c r="AC123" s="57" t="str">
        <f t="shared" si="51"/>
        <v>NC</v>
      </c>
      <c r="AE123" s="123">
        <f t="shared" ca="1" si="52"/>
        <v>-1586</v>
      </c>
      <c r="AF123" s="123" t="str">
        <f t="shared" si="53"/>
        <v>NC</v>
      </c>
      <c r="AG123" s="123" t="str">
        <f t="shared" si="54"/>
        <v>NC</v>
      </c>
      <c r="AH123" s="123" t="str">
        <f t="shared" si="55"/>
        <v>NC</v>
      </c>
      <c r="AI123" s="123" t="str">
        <f t="shared" si="56"/>
        <v>NC</v>
      </c>
      <c r="AJ123" s="123" t="str">
        <f t="shared" si="57"/>
        <v>NC</v>
      </c>
      <c r="AK123" s="123" t="str">
        <f t="shared" si="58"/>
        <v>NC</v>
      </c>
      <c r="AM123" s="139">
        <f t="shared" si="59"/>
        <v>4.3480899798876207E-4</v>
      </c>
      <c r="AP123" s="138" t="s">
        <v>473</v>
      </c>
      <c r="AQ123" s="141" t="s">
        <v>643</v>
      </c>
      <c r="AR123" s="138" t="s">
        <v>765</v>
      </c>
      <c r="AS123" s="142" t="s">
        <v>1236</v>
      </c>
      <c r="AT123" s="143" t="s">
        <v>1239</v>
      </c>
      <c r="AU123" s="143" t="s">
        <v>1422</v>
      </c>
    </row>
    <row r="124" spans="1:47" s="138" customFormat="1" ht="14.4" customHeight="1" x14ac:dyDescent="0.3">
      <c r="A124" s="116" t="s">
        <v>675</v>
      </c>
      <c r="B124" s="116" t="s">
        <v>1421</v>
      </c>
      <c r="C124" s="117" t="s">
        <v>788</v>
      </c>
      <c r="D124" s="116" t="s">
        <v>145</v>
      </c>
      <c r="E124" s="116"/>
      <c r="F124" s="117" t="s">
        <v>832</v>
      </c>
      <c r="G124" s="120" t="s">
        <v>1040</v>
      </c>
      <c r="H124" s="144">
        <v>43830</v>
      </c>
      <c r="I124" s="134">
        <v>11440678</v>
      </c>
      <c r="J124" s="120">
        <v>2019</v>
      </c>
      <c r="K124" s="132"/>
      <c r="L124" s="158">
        <v>44044</v>
      </c>
      <c r="M124" s="116"/>
      <c r="N124" s="135" t="s">
        <v>596</v>
      </c>
      <c r="O124" s="116"/>
      <c r="P124" s="57">
        <v>43636</v>
      </c>
      <c r="Q124" s="57" t="s">
        <v>30</v>
      </c>
      <c r="R124" s="57" t="s">
        <v>30</v>
      </c>
      <c r="S124" s="34" t="s">
        <v>30</v>
      </c>
      <c r="T124" s="57" t="s">
        <v>30</v>
      </c>
      <c r="U124" s="57" t="s">
        <v>30</v>
      </c>
      <c r="V124" s="34" t="s">
        <v>30</v>
      </c>
      <c r="W124" s="137">
        <f t="shared" si="60"/>
        <v>44001</v>
      </c>
      <c r="X124" s="57" t="str">
        <f t="shared" si="46"/>
        <v>NC</v>
      </c>
      <c r="Y124" s="57" t="str">
        <f t="shared" si="47"/>
        <v>NC</v>
      </c>
      <c r="Z124" s="57" t="str">
        <f t="shared" si="48"/>
        <v>NC</v>
      </c>
      <c r="AA124" s="57" t="str">
        <f t="shared" si="49"/>
        <v>NC</v>
      </c>
      <c r="AB124" s="57" t="str">
        <f t="shared" si="50"/>
        <v>NC</v>
      </c>
      <c r="AC124" s="57" t="str">
        <f t="shared" si="51"/>
        <v>NC</v>
      </c>
      <c r="AE124" s="123">
        <f t="shared" ca="1" si="52"/>
        <v>-1586</v>
      </c>
      <c r="AF124" s="123" t="str">
        <f t="shared" si="53"/>
        <v>NC</v>
      </c>
      <c r="AG124" s="123" t="str">
        <f t="shared" si="54"/>
        <v>NC</v>
      </c>
      <c r="AH124" s="123" t="str">
        <f t="shared" si="55"/>
        <v>NC</v>
      </c>
      <c r="AI124" s="123" t="str">
        <f t="shared" si="56"/>
        <v>NC</v>
      </c>
      <c r="AJ124" s="123" t="str">
        <f t="shared" si="57"/>
        <v>NC</v>
      </c>
      <c r="AK124" s="123" t="str">
        <f t="shared" si="58"/>
        <v>NC</v>
      </c>
      <c r="AM124" s="139">
        <f t="shared" si="59"/>
        <v>4.3480899798876207E-4</v>
      </c>
      <c r="AP124" s="138" t="s">
        <v>473</v>
      </c>
      <c r="AQ124" s="141" t="s">
        <v>643</v>
      </c>
      <c r="AR124" s="138" t="s">
        <v>834</v>
      </c>
      <c r="AS124" s="142" t="s">
        <v>1236</v>
      </c>
      <c r="AT124" s="143" t="s">
        <v>1239</v>
      </c>
      <c r="AU124" s="143" t="s">
        <v>1422</v>
      </c>
    </row>
    <row r="125" spans="1:47" s="138" customFormat="1" ht="14.4" customHeight="1" x14ac:dyDescent="0.3">
      <c r="A125" s="116" t="s">
        <v>676</v>
      </c>
      <c r="B125" s="116" t="s">
        <v>1421</v>
      </c>
      <c r="C125" s="117" t="s">
        <v>788</v>
      </c>
      <c r="D125" s="116" t="s">
        <v>145</v>
      </c>
      <c r="E125" s="116"/>
      <c r="F125" s="117" t="s">
        <v>864</v>
      </c>
      <c r="G125" s="120" t="s">
        <v>900</v>
      </c>
      <c r="H125" s="144">
        <v>43830</v>
      </c>
      <c r="I125" s="134">
        <v>11440678</v>
      </c>
      <c r="J125" s="120">
        <v>2019</v>
      </c>
      <c r="K125" s="132"/>
      <c r="L125" s="158">
        <v>44166</v>
      </c>
      <c r="M125" s="116"/>
      <c r="N125" s="135" t="s">
        <v>596</v>
      </c>
      <c r="O125" s="116"/>
      <c r="P125" s="57">
        <v>43691</v>
      </c>
      <c r="Q125" s="57" t="s">
        <v>30</v>
      </c>
      <c r="R125" s="57" t="s">
        <v>30</v>
      </c>
      <c r="S125" s="34" t="s">
        <v>30</v>
      </c>
      <c r="T125" s="57" t="s">
        <v>30</v>
      </c>
      <c r="U125" s="57" t="s">
        <v>30</v>
      </c>
      <c r="V125" s="34" t="s">
        <v>30</v>
      </c>
      <c r="W125" s="137">
        <f t="shared" si="60"/>
        <v>44056</v>
      </c>
      <c r="X125" s="57" t="str">
        <f t="shared" si="46"/>
        <v>NC</v>
      </c>
      <c r="Y125" s="57" t="str">
        <f t="shared" si="47"/>
        <v>NC</v>
      </c>
      <c r="Z125" s="57" t="str">
        <f t="shared" si="48"/>
        <v>NC</v>
      </c>
      <c r="AA125" s="57" t="str">
        <f t="shared" si="49"/>
        <v>NC</v>
      </c>
      <c r="AB125" s="57" t="str">
        <f t="shared" si="50"/>
        <v>NC</v>
      </c>
      <c r="AC125" s="57" t="str">
        <f t="shared" si="51"/>
        <v>NC</v>
      </c>
      <c r="AE125" s="123">
        <f t="shared" ca="1" si="52"/>
        <v>-1531</v>
      </c>
      <c r="AF125" s="123" t="str">
        <f t="shared" si="53"/>
        <v>NC</v>
      </c>
      <c r="AG125" s="123" t="str">
        <f t="shared" si="54"/>
        <v>NC</v>
      </c>
      <c r="AH125" s="123" t="str">
        <f t="shared" si="55"/>
        <v>NC</v>
      </c>
      <c r="AI125" s="123" t="str">
        <f t="shared" si="56"/>
        <v>NC</v>
      </c>
      <c r="AJ125" s="123" t="str">
        <f t="shared" si="57"/>
        <v>NC</v>
      </c>
      <c r="AK125" s="123" t="str">
        <f t="shared" si="58"/>
        <v>NC</v>
      </c>
      <c r="AM125" s="139">
        <f t="shared" si="59"/>
        <v>4.3480899798876207E-4</v>
      </c>
      <c r="AP125" s="138" t="s">
        <v>473</v>
      </c>
      <c r="AQ125" s="141" t="s">
        <v>643</v>
      </c>
      <c r="AR125" s="138" t="s">
        <v>935</v>
      </c>
      <c r="AS125" s="142" t="s">
        <v>1236</v>
      </c>
      <c r="AT125" s="143" t="s">
        <v>1239</v>
      </c>
      <c r="AU125" s="143" t="s">
        <v>1422</v>
      </c>
    </row>
    <row r="126" spans="1:47" s="138" customFormat="1" ht="14.4" customHeight="1" x14ac:dyDescent="0.3">
      <c r="A126" s="116" t="s">
        <v>677</v>
      </c>
      <c r="B126" s="116" t="s">
        <v>1421</v>
      </c>
      <c r="C126" s="117" t="s">
        <v>788</v>
      </c>
      <c r="D126" s="116" t="s">
        <v>145</v>
      </c>
      <c r="E126" s="116"/>
      <c r="F126" s="117" t="s">
        <v>862</v>
      </c>
      <c r="G126" s="120" t="s">
        <v>886</v>
      </c>
      <c r="H126" s="144">
        <v>43830</v>
      </c>
      <c r="I126" s="134">
        <v>11440678</v>
      </c>
      <c r="J126" s="120">
        <v>2019</v>
      </c>
      <c r="K126" s="132"/>
      <c r="L126" s="158">
        <v>44166</v>
      </c>
      <c r="M126" s="116"/>
      <c r="N126" s="135" t="s">
        <v>596</v>
      </c>
      <c r="O126" s="116"/>
      <c r="P126" s="57">
        <v>43691</v>
      </c>
      <c r="Q126" s="57" t="s">
        <v>30</v>
      </c>
      <c r="R126" s="57" t="s">
        <v>30</v>
      </c>
      <c r="S126" s="34" t="s">
        <v>30</v>
      </c>
      <c r="T126" s="57" t="s">
        <v>30</v>
      </c>
      <c r="U126" s="57" t="s">
        <v>30</v>
      </c>
      <c r="V126" s="34" t="s">
        <v>30</v>
      </c>
      <c r="W126" s="137">
        <f t="shared" si="60"/>
        <v>44056</v>
      </c>
      <c r="X126" s="57" t="str">
        <f t="shared" si="46"/>
        <v>NC</v>
      </c>
      <c r="Y126" s="57" t="str">
        <f t="shared" si="47"/>
        <v>NC</v>
      </c>
      <c r="Z126" s="57" t="str">
        <f t="shared" si="48"/>
        <v>NC</v>
      </c>
      <c r="AA126" s="57" t="str">
        <f t="shared" si="49"/>
        <v>NC</v>
      </c>
      <c r="AB126" s="57" t="str">
        <f t="shared" si="50"/>
        <v>NC</v>
      </c>
      <c r="AC126" s="57" t="str">
        <f t="shared" si="51"/>
        <v>NC</v>
      </c>
      <c r="AE126" s="123">
        <f t="shared" ca="1" si="52"/>
        <v>-1531</v>
      </c>
      <c r="AF126" s="123" t="str">
        <f t="shared" si="53"/>
        <v>NC</v>
      </c>
      <c r="AG126" s="123" t="str">
        <f t="shared" si="54"/>
        <v>NC</v>
      </c>
      <c r="AH126" s="123" t="str">
        <f t="shared" si="55"/>
        <v>NC</v>
      </c>
      <c r="AI126" s="123" t="str">
        <f t="shared" si="56"/>
        <v>NC</v>
      </c>
      <c r="AJ126" s="123" t="str">
        <f t="shared" si="57"/>
        <v>NC</v>
      </c>
      <c r="AK126" s="123" t="str">
        <f t="shared" si="58"/>
        <v>NC</v>
      </c>
      <c r="AM126" s="139">
        <f t="shared" si="59"/>
        <v>4.3480899798876207E-4</v>
      </c>
      <c r="AP126" s="138" t="s">
        <v>473</v>
      </c>
      <c r="AQ126" s="141" t="s">
        <v>643</v>
      </c>
      <c r="AR126" s="138" t="s">
        <v>826</v>
      </c>
      <c r="AS126" s="142" t="s">
        <v>1236</v>
      </c>
      <c r="AT126" s="143" t="s">
        <v>1239</v>
      </c>
      <c r="AU126" s="143" t="s">
        <v>1422</v>
      </c>
    </row>
    <row r="127" spans="1:47" s="138" customFormat="1" ht="14.4" customHeight="1" x14ac:dyDescent="0.3">
      <c r="A127" s="116" t="s">
        <v>678</v>
      </c>
      <c r="B127" s="116" t="s">
        <v>1421</v>
      </c>
      <c r="C127" s="117" t="s">
        <v>788</v>
      </c>
      <c r="D127" s="116" t="s">
        <v>145</v>
      </c>
      <c r="E127" s="116"/>
      <c r="F127" s="117" t="s">
        <v>863</v>
      </c>
      <c r="G127" s="120" t="s">
        <v>901</v>
      </c>
      <c r="H127" s="144">
        <v>43830</v>
      </c>
      <c r="I127" s="134">
        <v>11440678</v>
      </c>
      <c r="J127" s="120">
        <v>2019</v>
      </c>
      <c r="K127" s="132"/>
      <c r="L127" s="158">
        <v>44166</v>
      </c>
      <c r="M127" s="116"/>
      <c r="N127" s="135" t="s">
        <v>596</v>
      </c>
      <c r="O127" s="116"/>
      <c r="P127" s="57">
        <v>43691</v>
      </c>
      <c r="Q127" s="57" t="s">
        <v>30</v>
      </c>
      <c r="R127" s="57" t="s">
        <v>30</v>
      </c>
      <c r="S127" s="34" t="s">
        <v>30</v>
      </c>
      <c r="T127" s="57" t="s">
        <v>30</v>
      </c>
      <c r="U127" s="57" t="s">
        <v>30</v>
      </c>
      <c r="V127" s="34" t="s">
        <v>30</v>
      </c>
      <c r="W127" s="137">
        <f t="shared" si="60"/>
        <v>44056</v>
      </c>
      <c r="X127" s="57" t="str">
        <f t="shared" si="46"/>
        <v>NC</v>
      </c>
      <c r="Y127" s="57" t="str">
        <f t="shared" si="47"/>
        <v>NC</v>
      </c>
      <c r="Z127" s="57" t="str">
        <f t="shared" si="48"/>
        <v>NC</v>
      </c>
      <c r="AA127" s="57" t="str">
        <f t="shared" si="49"/>
        <v>NC</v>
      </c>
      <c r="AB127" s="57" t="str">
        <f t="shared" si="50"/>
        <v>NC</v>
      </c>
      <c r="AC127" s="57" t="str">
        <f t="shared" si="51"/>
        <v>NC</v>
      </c>
      <c r="AE127" s="123">
        <f t="shared" ca="1" si="52"/>
        <v>-1531</v>
      </c>
      <c r="AF127" s="123" t="str">
        <f t="shared" si="53"/>
        <v>NC</v>
      </c>
      <c r="AG127" s="123" t="str">
        <f t="shared" si="54"/>
        <v>NC</v>
      </c>
      <c r="AH127" s="123" t="str">
        <f t="shared" si="55"/>
        <v>NC</v>
      </c>
      <c r="AI127" s="123" t="str">
        <f t="shared" si="56"/>
        <v>NC</v>
      </c>
      <c r="AJ127" s="123" t="str">
        <f t="shared" si="57"/>
        <v>NC</v>
      </c>
      <c r="AK127" s="123" t="str">
        <f t="shared" si="58"/>
        <v>NC</v>
      </c>
      <c r="AM127" s="139">
        <f t="shared" si="59"/>
        <v>4.3480899798876207E-4</v>
      </c>
      <c r="AP127" s="138" t="s">
        <v>473</v>
      </c>
      <c r="AQ127" s="141" t="s">
        <v>643</v>
      </c>
      <c r="AR127" s="138" t="s">
        <v>835</v>
      </c>
      <c r="AS127" s="142" t="s">
        <v>1236</v>
      </c>
      <c r="AT127" s="143" t="s">
        <v>1239</v>
      </c>
      <c r="AU127" s="143" t="s">
        <v>1422</v>
      </c>
    </row>
    <row r="128" spans="1:47" s="138" customFormat="1" ht="14.4" customHeight="1" x14ac:dyDescent="0.3">
      <c r="A128" s="116" t="s">
        <v>679</v>
      </c>
      <c r="B128" s="116" t="s">
        <v>1511</v>
      </c>
      <c r="C128" s="117" t="s">
        <v>788</v>
      </c>
      <c r="D128" s="116" t="s">
        <v>357</v>
      </c>
      <c r="E128" s="116"/>
      <c r="F128" s="117" t="s">
        <v>809</v>
      </c>
      <c r="G128" s="120" t="s">
        <v>850</v>
      </c>
      <c r="H128" s="156">
        <v>43830</v>
      </c>
      <c r="I128" s="134">
        <v>17720000</v>
      </c>
      <c r="J128" s="120">
        <v>2019</v>
      </c>
      <c r="K128" s="132"/>
      <c r="L128" s="158">
        <v>43983</v>
      </c>
      <c r="M128" s="116"/>
      <c r="N128" s="135" t="s">
        <v>596</v>
      </c>
      <c r="O128" s="116"/>
      <c r="P128" s="57">
        <v>43616</v>
      </c>
      <c r="Q128" s="57" t="s">
        <v>30</v>
      </c>
      <c r="R128" s="57" t="s">
        <v>30</v>
      </c>
      <c r="S128" s="34" t="s">
        <v>30</v>
      </c>
      <c r="T128" s="57">
        <v>43683</v>
      </c>
      <c r="U128" s="57">
        <v>43889</v>
      </c>
      <c r="V128" s="34" t="s">
        <v>30</v>
      </c>
      <c r="W128" s="137">
        <f t="shared" si="60"/>
        <v>43981</v>
      </c>
      <c r="X128" s="57" t="str">
        <f t="shared" si="46"/>
        <v>NC</v>
      </c>
      <c r="Y128" s="57" t="str">
        <f t="shared" si="47"/>
        <v>NC</v>
      </c>
      <c r="Z128" s="57" t="str">
        <f t="shared" si="48"/>
        <v>NC</v>
      </c>
      <c r="AA128" s="57">
        <f t="shared" si="49"/>
        <v>44048</v>
      </c>
      <c r="AB128" s="57">
        <f t="shared" si="50"/>
        <v>44254</v>
      </c>
      <c r="AC128" s="57" t="str">
        <f t="shared" si="51"/>
        <v>NC</v>
      </c>
      <c r="AE128" s="123">
        <f t="shared" ca="1" si="52"/>
        <v>-1606</v>
      </c>
      <c r="AF128" s="123" t="str">
        <f t="shared" si="53"/>
        <v>NC</v>
      </c>
      <c r="AG128" s="123" t="str">
        <f t="shared" si="54"/>
        <v>NC</v>
      </c>
      <c r="AH128" s="123" t="str">
        <f t="shared" si="55"/>
        <v>NC</v>
      </c>
      <c r="AI128" s="123">
        <f t="shared" ca="1" si="56"/>
        <v>-1539</v>
      </c>
      <c r="AJ128" s="123">
        <f t="shared" ca="1" si="57"/>
        <v>-1333</v>
      </c>
      <c r="AK128" s="123" t="str">
        <f t="shared" si="58"/>
        <v>NC</v>
      </c>
      <c r="AM128" s="139">
        <f t="shared" si="59"/>
        <v>6.7345794054870383E-4</v>
      </c>
      <c r="AP128" s="138" t="s">
        <v>471</v>
      </c>
      <c r="AQ128" s="138" t="s">
        <v>922</v>
      </c>
      <c r="AR128" s="138" t="s">
        <v>1029</v>
      </c>
      <c r="AS128" s="142" t="s">
        <v>1215</v>
      </c>
      <c r="AT128" s="143" t="s">
        <v>1237</v>
      </c>
      <c r="AU128" s="143" t="s">
        <v>1418</v>
      </c>
    </row>
    <row r="129" spans="1:47" s="124" customFormat="1" ht="14.4" customHeight="1" x14ac:dyDescent="0.3">
      <c r="A129" s="116" t="s">
        <v>680</v>
      </c>
      <c r="B129" s="116" t="s">
        <v>1511</v>
      </c>
      <c r="C129" s="117" t="s">
        <v>788</v>
      </c>
      <c r="D129" s="116" t="s">
        <v>357</v>
      </c>
      <c r="E129" s="116"/>
      <c r="F129" s="117" t="s">
        <v>810</v>
      </c>
      <c r="G129" s="120" t="s">
        <v>851</v>
      </c>
      <c r="H129" s="156">
        <v>43830</v>
      </c>
      <c r="I129" s="134">
        <v>17720000</v>
      </c>
      <c r="J129" s="120">
        <v>2019</v>
      </c>
      <c r="K129" s="132"/>
      <c r="L129" s="158">
        <v>43983</v>
      </c>
      <c r="M129" s="116"/>
      <c r="N129" s="135" t="s">
        <v>596</v>
      </c>
      <c r="O129" s="116"/>
      <c r="P129" s="57">
        <v>43616</v>
      </c>
      <c r="Q129" s="57" t="s">
        <v>30</v>
      </c>
      <c r="R129" s="57" t="s">
        <v>30</v>
      </c>
      <c r="S129" s="34" t="s">
        <v>30</v>
      </c>
      <c r="T129" s="57">
        <v>43683</v>
      </c>
      <c r="U129" s="57">
        <v>43889</v>
      </c>
      <c r="V129" s="34" t="s">
        <v>30</v>
      </c>
      <c r="W129" s="137">
        <f t="shared" si="60"/>
        <v>43981</v>
      </c>
      <c r="X129" s="57" t="str">
        <f t="shared" si="46"/>
        <v>NC</v>
      </c>
      <c r="Y129" s="57" t="str">
        <f t="shared" si="47"/>
        <v>NC</v>
      </c>
      <c r="Z129" s="57" t="str">
        <f t="shared" si="48"/>
        <v>NC</v>
      </c>
      <c r="AA129" s="57">
        <f t="shared" si="49"/>
        <v>44048</v>
      </c>
      <c r="AB129" s="57">
        <f t="shared" si="50"/>
        <v>44254</v>
      </c>
      <c r="AC129" s="57" t="str">
        <f t="shared" si="51"/>
        <v>NC</v>
      </c>
      <c r="AD129" s="138"/>
      <c r="AE129" s="123">
        <f t="shared" ca="1" si="52"/>
        <v>-1606</v>
      </c>
      <c r="AF129" s="123" t="str">
        <f t="shared" si="53"/>
        <v>NC</v>
      </c>
      <c r="AG129" s="123" t="str">
        <f t="shared" si="54"/>
        <v>NC</v>
      </c>
      <c r="AH129" s="123" t="str">
        <f t="shared" si="55"/>
        <v>NC</v>
      </c>
      <c r="AI129" s="123">
        <f t="shared" ca="1" si="56"/>
        <v>-1539</v>
      </c>
      <c r="AJ129" s="123">
        <f t="shared" ca="1" si="57"/>
        <v>-1333</v>
      </c>
      <c r="AK129" s="123" t="str">
        <f t="shared" si="58"/>
        <v>NC</v>
      </c>
      <c r="AL129" s="138"/>
      <c r="AM129" s="139">
        <f t="shared" si="59"/>
        <v>6.7345794054870383E-4</v>
      </c>
      <c r="AN129" s="138"/>
      <c r="AO129" s="138"/>
      <c r="AP129" s="138" t="s">
        <v>471</v>
      </c>
      <c r="AQ129" s="138" t="s">
        <v>922</v>
      </c>
      <c r="AR129" s="138" t="s">
        <v>789</v>
      </c>
      <c r="AS129" s="142" t="s">
        <v>1215</v>
      </c>
      <c r="AT129" s="143" t="s">
        <v>1237</v>
      </c>
      <c r="AU129" s="143" t="s">
        <v>1418</v>
      </c>
    </row>
    <row r="130" spans="1:47" s="138" customFormat="1" ht="14.4" customHeight="1" x14ac:dyDescent="0.3">
      <c r="A130" s="116" t="s">
        <v>681</v>
      </c>
      <c r="B130" s="116" t="s">
        <v>1511</v>
      </c>
      <c r="C130" s="117" t="s">
        <v>788</v>
      </c>
      <c r="D130" s="116" t="s">
        <v>357</v>
      </c>
      <c r="E130" s="116"/>
      <c r="F130" s="117" t="s">
        <v>811</v>
      </c>
      <c r="G130" s="120" t="s">
        <v>852</v>
      </c>
      <c r="H130" s="156">
        <v>43830</v>
      </c>
      <c r="I130" s="134">
        <v>17720000</v>
      </c>
      <c r="J130" s="120">
        <v>2019</v>
      </c>
      <c r="K130" s="132"/>
      <c r="L130" s="158">
        <v>43983</v>
      </c>
      <c r="M130" s="116"/>
      <c r="N130" s="135" t="s">
        <v>596</v>
      </c>
      <c r="O130" s="116"/>
      <c r="P130" s="57">
        <v>43616</v>
      </c>
      <c r="Q130" s="57" t="s">
        <v>30</v>
      </c>
      <c r="R130" s="57" t="s">
        <v>30</v>
      </c>
      <c r="S130" s="34" t="s">
        <v>30</v>
      </c>
      <c r="T130" s="57">
        <v>43683</v>
      </c>
      <c r="U130" s="57">
        <v>43889</v>
      </c>
      <c r="V130" s="34" t="s">
        <v>30</v>
      </c>
      <c r="W130" s="137">
        <f t="shared" si="60"/>
        <v>43981</v>
      </c>
      <c r="X130" s="57" t="str">
        <f t="shared" si="46"/>
        <v>NC</v>
      </c>
      <c r="Y130" s="57" t="str">
        <f t="shared" si="47"/>
        <v>NC</v>
      </c>
      <c r="Z130" s="57" t="str">
        <f t="shared" si="48"/>
        <v>NC</v>
      </c>
      <c r="AA130" s="57">
        <f t="shared" si="49"/>
        <v>44048</v>
      </c>
      <c r="AB130" s="57">
        <f t="shared" si="50"/>
        <v>44254</v>
      </c>
      <c r="AC130" s="57" t="str">
        <f t="shared" si="51"/>
        <v>NC</v>
      </c>
      <c r="AE130" s="123">
        <f t="shared" ca="1" si="52"/>
        <v>-1606</v>
      </c>
      <c r="AF130" s="123" t="str">
        <f t="shared" si="53"/>
        <v>NC</v>
      </c>
      <c r="AG130" s="123" t="str">
        <f t="shared" si="54"/>
        <v>NC</v>
      </c>
      <c r="AH130" s="123" t="str">
        <f t="shared" si="55"/>
        <v>NC</v>
      </c>
      <c r="AI130" s="123">
        <f t="shared" ca="1" si="56"/>
        <v>-1539</v>
      </c>
      <c r="AJ130" s="123">
        <f t="shared" ca="1" si="57"/>
        <v>-1333</v>
      </c>
      <c r="AK130" s="123" t="str">
        <f t="shared" si="58"/>
        <v>NC</v>
      </c>
      <c r="AM130" s="139">
        <f t="shared" si="59"/>
        <v>6.7345794054870383E-4</v>
      </c>
      <c r="AP130" s="138" t="s">
        <v>471</v>
      </c>
      <c r="AQ130" s="138" t="s">
        <v>922</v>
      </c>
      <c r="AR130" s="138" t="s">
        <v>791</v>
      </c>
      <c r="AS130" s="142" t="s">
        <v>1215</v>
      </c>
      <c r="AT130" s="143" t="s">
        <v>1237</v>
      </c>
      <c r="AU130" s="143" t="s">
        <v>1418</v>
      </c>
    </row>
    <row r="131" spans="1:47" s="160" customFormat="1" ht="14.4" customHeight="1" x14ac:dyDescent="0.3">
      <c r="A131" s="116" t="s">
        <v>682</v>
      </c>
      <c r="B131" s="116" t="s">
        <v>1511</v>
      </c>
      <c r="C131" s="117" t="s">
        <v>788</v>
      </c>
      <c r="D131" s="116" t="s">
        <v>357</v>
      </c>
      <c r="E131" s="116"/>
      <c r="F131" s="117" t="s">
        <v>812</v>
      </c>
      <c r="G131" s="120" t="s">
        <v>853</v>
      </c>
      <c r="H131" s="156">
        <v>43830</v>
      </c>
      <c r="I131" s="134">
        <v>17720000</v>
      </c>
      <c r="J131" s="120">
        <v>2019</v>
      </c>
      <c r="K131" s="132"/>
      <c r="L131" s="158">
        <v>43983</v>
      </c>
      <c r="M131" s="116"/>
      <c r="N131" s="135" t="s">
        <v>596</v>
      </c>
      <c r="O131" s="116"/>
      <c r="P131" s="57">
        <v>43614</v>
      </c>
      <c r="Q131" s="57" t="s">
        <v>30</v>
      </c>
      <c r="R131" s="57" t="s">
        <v>30</v>
      </c>
      <c r="S131" s="34" t="s">
        <v>30</v>
      </c>
      <c r="T131" s="57">
        <v>43683</v>
      </c>
      <c r="U131" s="57">
        <v>43889</v>
      </c>
      <c r="V131" s="34" t="s">
        <v>30</v>
      </c>
      <c r="W131" s="137">
        <f t="shared" si="60"/>
        <v>43979</v>
      </c>
      <c r="X131" s="57" t="str">
        <f t="shared" si="46"/>
        <v>NC</v>
      </c>
      <c r="Y131" s="57" t="str">
        <f t="shared" si="47"/>
        <v>NC</v>
      </c>
      <c r="Z131" s="57" t="str">
        <f t="shared" si="48"/>
        <v>NC</v>
      </c>
      <c r="AA131" s="57">
        <f t="shared" si="49"/>
        <v>44048</v>
      </c>
      <c r="AB131" s="57">
        <f t="shared" si="50"/>
        <v>44254</v>
      </c>
      <c r="AC131" s="57" t="str">
        <f t="shared" si="51"/>
        <v>NC</v>
      </c>
      <c r="AD131" s="138"/>
      <c r="AE131" s="123">
        <f t="shared" ca="1" si="52"/>
        <v>-1608</v>
      </c>
      <c r="AF131" s="123" t="str">
        <f t="shared" si="53"/>
        <v>NC</v>
      </c>
      <c r="AG131" s="123" t="str">
        <f t="shared" si="54"/>
        <v>NC</v>
      </c>
      <c r="AH131" s="123" t="str">
        <f t="shared" si="55"/>
        <v>NC</v>
      </c>
      <c r="AI131" s="123">
        <f t="shared" ca="1" si="56"/>
        <v>-1539</v>
      </c>
      <c r="AJ131" s="123">
        <f t="shared" ca="1" si="57"/>
        <v>-1333</v>
      </c>
      <c r="AK131" s="123" t="str">
        <f t="shared" si="58"/>
        <v>NC</v>
      </c>
      <c r="AL131" s="138"/>
      <c r="AM131" s="139">
        <f t="shared" si="59"/>
        <v>6.7345794054870383E-4</v>
      </c>
      <c r="AN131" s="138"/>
      <c r="AO131" s="138"/>
      <c r="AP131" s="138" t="s">
        <v>471</v>
      </c>
      <c r="AQ131" s="138" t="s">
        <v>922</v>
      </c>
      <c r="AR131" s="138" t="s">
        <v>790</v>
      </c>
      <c r="AS131" s="142" t="s">
        <v>1215</v>
      </c>
      <c r="AT131" s="143" t="s">
        <v>1237</v>
      </c>
      <c r="AU131" s="143" t="s">
        <v>1418</v>
      </c>
    </row>
    <row r="132" spans="1:47" s="138" customFormat="1" ht="14.4" customHeight="1" x14ac:dyDescent="0.3">
      <c r="A132" s="116" t="s">
        <v>1026</v>
      </c>
      <c r="B132" s="116" t="s">
        <v>1511</v>
      </c>
      <c r="C132" s="117" t="s">
        <v>788</v>
      </c>
      <c r="D132" s="116" t="s">
        <v>46</v>
      </c>
      <c r="E132" s="116"/>
      <c r="F132" s="117" t="s">
        <v>1512</v>
      </c>
      <c r="G132" s="120" t="s">
        <v>1513</v>
      </c>
      <c r="H132" s="120"/>
      <c r="I132" s="134">
        <v>17720000</v>
      </c>
      <c r="J132" s="120">
        <v>2019</v>
      </c>
      <c r="K132" s="132"/>
      <c r="L132" s="116"/>
      <c r="M132" s="116"/>
      <c r="N132" s="135" t="s">
        <v>596</v>
      </c>
      <c r="O132" s="116"/>
      <c r="P132" s="57">
        <v>43892</v>
      </c>
      <c r="Q132" s="57" t="s">
        <v>30</v>
      </c>
      <c r="R132" s="57" t="s">
        <v>30</v>
      </c>
      <c r="S132" s="34" t="s">
        <v>30</v>
      </c>
      <c r="T132" s="57"/>
      <c r="U132" s="57"/>
      <c r="V132" s="34" t="s">
        <v>30</v>
      </c>
      <c r="W132" s="137">
        <f t="shared" si="60"/>
        <v>44257</v>
      </c>
      <c r="X132" s="57" t="str">
        <f t="shared" si="46"/>
        <v>NC</v>
      </c>
      <c r="Y132" s="57" t="str">
        <f t="shared" si="47"/>
        <v>NC</v>
      </c>
      <c r="Z132" s="57" t="str">
        <f t="shared" si="48"/>
        <v>NC</v>
      </c>
      <c r="AA132" s="57" t="str">
        <f t="shared" si="49"/>
        <v>erreur</v>
      </c>
      <c r="AB132" s="57" t="str">
        <f t="shared" si="50"/>
        <v>erreur</v>
      </c>
      <c r="AC132" s="57" t="str">
        <f t="shared" si="51"/>
        <v>NC</v>
      </c>
      <c r="AE132" s="116">
        <f t="shared" ca="1" si="52"/>
        <v>-1330</v>
      </c>
      <c r="AF132" s="116" t="str">
        <f t="shared" si="53"/>
        <v>NC</v>
      </c>
      <c r="AG132" s="116" t="str">
        <f t="shared" si="54"/>
        <v>NC</v>
      </c>
      <c r="AH132" s="116" t="str">
        <f t="shared" si="55"/>
        <v>NC</v>
      </c>
      <c r="AI132" s="116" t="str">
        <f t="shared" si="56"/>
        <v>erreur</v>
      </c>
      <c r="AJ132" s="116" t="str">
        <f t="shared" si="57"/>
        <v>erreur</v>
      </c>
      <c r="AK132" s="116" t="str">
        <f t="shared" si="58"/>
        <v>NC</v>
      </c>
      <c r="AM132" s="139">
        <f t="shared" si="59"/>
        <v>6.7345794054870383E-4</v>
      </c>
      <c r="AP132" s="138" t="s">
        <v>473</v>
      </c>
      <c r="AR132" s="138" t="s">
        <v>757</v>
      </c>
      <c r="AS132" s="142" t="s">
        <v>1215</v>
      </c>
      <c r="AT132" s="142" t="s">
        <v>1237</v>
      </c>
      <c r="AU132" s="142" t="s">
        <v>1418</v>
      </c>
    </row>
    <row r="133" spans="1:47" s="124" customFormat="1" ht="14.4" customHeight="1" x14ac:dyDescent="0.3">
      <c r="A133" s="116" t="s">
        <v>998</v>
      </c>
      <c r="B133" s="116" t="s">
        <v>1511</v>
      </c>
      <c r="C133" s="117" t="s">
        <v>788</v>
      </c>
      <c r="D133" s="116" t="s">
        <v>357</v>
      </c>
      <c r="E133" s="116"/>
      <c r="F133" s="117" t="s">
        <v>997</v>
      </c>
      <c r="G133" s="120" t="s">
        <v>1054</v>
      </c>
      <c r="H133" s="156">
        <v>44196</v>
      </c>
      <c r="I133" s="134">
        <v>17720000</v>
      </c>
      <c r="J133" s="120">
        <v>2019</v>
      </c>
      <c r="K133" s="132"/>
      <c r="L133" s="158">
        <v>43983</v>
      </c>
      <c r="M133" s="116"/>
      <c r="N133" s="135" t="s">
        <v>596</v>
      </c>
      <c r="O133" s="116"/>
      <c r="P133" s="57">
        <v>43852</v>
      </c>
      <c r="Q133" s="57" t="s">
        <v>30</v>
      </c>
      <c r="R133" s="57" t="s">
        <v>30</v>
      </c>
      <c r="S133" s="34" t="s">
        <v>30</v>
      </c>
      <c r="T133" s="57"/>
      <c r="U133" s="57"/>
      <c r="V133" s="34" t="s">
        <v>30</v>
      </c>
      <c r="W133" s="137">
        <f t="shared" si="60"/>
        <v>44217</v>
      </c>
      <c r="X133" s="57" t="str">
        <f t="shared" si="46"/>
        <v>NC</v>
      </c>
      <c r="Y133" s="57" t="str">
        <f t="shared" si="47"/>
        <v>NC</v>
      </c>
      <c r="Z133" s="57" t="str">
        <f t="shared" si="48"/>
        <v>NC</v>
      </c>
      <c r="AA133" s="57" t="str">
        <f t="shared" si="49"/>
        <v>erreur</v>
      </c>
      <c r="AB133" s="57" t="str">
        <f t="shared" si="50"/>
        <v>erreur</v>
      </c>
      <c r="AC133" s="57" t="str">
        <f t="shared" si="51"/>
        <v>NC</v>
      </c>
      <c r="AD133" s="138"/>
      <c r="AE133" s="116">
        <f t="shared" ca="1" si="52"/>
        <v>-1370</v>
      </c>
      <c r="AF133" s="116" t="str">
        <f t="shared" si="53"/>
        <v>NC</v>
      </c>
      <c r="AG133" s="116" t="str">
        <f t="shared" si="54"/>
        <v>NC</v>
      </c>
      <c r="AH133" s="116" t="str">
        <f t="shared" si="55"/>
        <v>NC</v>
      </c>
      <c r="AI133" s="116" t="str">
        <f t="shared" si="56"/>
        <v>erreur</v>
      </c>
      <c r="AJ133" s="116" t="str">
        <f t="shared" si="57"/>
        <v>erreur</v>
      </c>
      <c r="AK133" s="116" t="str">
        <f t="shared" si="58"/>
        <v>NC</v>
      </c>
      <c r="AL133" s="138"/>
      <c r="AM133" s="139">
        <f t="shared" si="59"/>
        <v>6.7345794054870383E-4</v>
      </c>
      <c r="AN133" s="138"/>
      <c r="AO133" s="138"/>
      <c r="AP133" s="138" t="s">
        <v>471</v>
      </c>
      <c r="AQ133" s="138" t="s">
        <v>922</v>
      </c>
      <c r="AR133" s="138" t="s">
        <v>768</v>
      </c>
      <c r="AS133" s="142" t="s">
        <v>1215</v>
      </c>
      <c r="AT133" s="143" t="s">
        <v>1237</v>
      </c>
      <c r="AU133" s="142" t="s">
        <v>1418</v>
      </c>
    </row>
    <row r="134" spans="1:47" s="124" customFormat="1" ht="14.4" customHeight="1" x14ac:dyDescent="0.3">
      <c r="A134" s="121" t="s">
        <v>89</v>
      </c>
      <c r="B134" s="121" t="s">
        <v>1423</v>
      </c>
      <c r="C134" s="121" t="s">
        <v>527</v>
      </c>
      <c r="D134" s="123" t="s">
        <v>357</v>
      </c>
      <c r="E134" s="123"/>
      <c r="F134" s="117" t="s">
        <v>253</v>
      </c>
      <c r="G134" s="99" t="s">
        <v>454</v>
      </c>
      <c r="H134" s="156">
        <v>43830</v>
      </c>
      <c r="I134" s="145">
        <v>17000000</v>
      </c>
      <c r="J134" s="146">
        <v>2014</v>
      </c>
      <c r="K134" s="154">
        <v>43770</v>
      </c>
      <c r="L134" s="133">
        <v>43983</v>
      </c>
      <c r="M134" s="148"/>
      <c r="N134" s="149" t="s">
        <v>596</v>
      </c>
      <c r="O134" s="150"/>
      <c r="P134" s="57">
        <v>43794</v>
      </c>
      <c r="Q134" s="57" t="s">
        <v>30</v>
      </c>
      <c r="R134" s="57" t="s">
        <v>30</v>
      </c>
      <c r="S134" s="34" t="s">
        <v>30</v>
      </c>
      <c r="T134" s="57">
        <v>43860</v>
      </c>
      <c r="U134" s="57">
        <v>43889</v>
      </c>
      <c r="V134" s="163">
        <v>43777</v>
      </c>
      <c r="W134" s="137">
        <f t="shared" si="60"/>
        <v>44159</v>
      </c>
      <c r="X134" s="57" t="str">
        <f t="shared" ref="X134:X165" si="61">IF(Q134="NC","NC",IF(Q134="","erreur",Q134+181))</f>
        <v>NC</v>
      </c>
      <c r="Y134" s="57" t="str">
        <f t="shared" ref="Y134:Y165" si="62">IF(R134="NC","NC",IF(R134="","erreur",R134+365))</f>
        <v>NC</v>
      </c>
      <c r="Z134" s="57" t="str">
        <f t="shared" ref="Z134:Z165" si="63">IF(S134="NC","NC",IF(S134="","erreur",S134+3650))</f>
        <v>NC</v>
      </c>
      <c r="AA134" s="57">
        <f t="shared" ref="AA134:AA165" si="64">IF(T134="NC","NC",IF(T134="","erreur",T134+365))</f>
        <v>44225</v>
      </c>
      <c r="AB134" s="57">
        <f t="shared" ref="AB134:AB165" si="65">IF(U134="NC","NC",IF(U134="","erreur",U134+365))</f>
        <v>44254</v>
      </c>
      <c r="AC134" s="57">
        <f t="shared" ref="AC134:AC165" si="66">IF(V134="NC","NC",IF(V134="","erreur",V134+730))</f>
        <v>44507</v>
      </c>
      <c r="AE134" s="123">
        <f t="shared" ref="AE134:AE165" ca="1" si="67">IF(W134="NC","NC",IF(W134="erreur","erreur",W134-$F$3))</f>
        <v>-1428</v>
      </c>
      <c r="AF134" s="123" t="str">
        <f t="shared" ref="AF134:AF165" si="68">IF(X134="NC","NC",IF(X134="erreur","erreur",X134-$F$3))</f>
        <v>NC</v>
      </c>
      <c r="AG134" s="123" t="str">
        <f t="shared" ref="AG134:AG165" si="69">IF(Y134="NC","NC",IF(Y134="erreur","erreur",Y134-$F$3))</f>
        <v>NC</v>
      </c>
      <c r="AH134" s="123" t="str">
        <f t="shared" ref="AH134:AH165" si="70">IF(Z134="NC","NC",IF(Z134="erreur","erreur",Z134-$F$3))</f>
        <v>NC</v>
      </c>
      <c r="AI134" s="123">
        <f t="shared" ref="AI134:AI165" ca="1" si="71">IF(AA134="NC","NC",IF(AA134="erreur","erreur",AA134-$F$3))</f>
        <v>-1362</v>
      </c>
      <c r="AJ134" s="123">
        <f t="shared" ref="AJ134:AJ165" ca="1" si="72">IF(AB134="NC","NC",IF(AB134="erreur","erreur",AB134-$F$3))</f>
        <v>-1333</v>
      </c>
      <c r="AK134" s="123">
        <f t="shared" ref="AK134:AK165" ca="1" si="73">IF(AC134="NC","NC",IF(AC134="erreur","erreur",AC134-$F$3))</f>
        <v>-1080</v>
      </c>
      <c r="AL134" s="138"/>
      <c r="AM134" s="151">
        <f t="shared" ref="AM134:AM170" si="74">I134*($AM$3-J134)/$I$4</f>
        <v>5.5407451808938014E-3</v>
      </c>
      <c r="AN134" s="152"/>
      <c r="AP134" s="124" t="s">
        <v>470</v>
      </c>
      <c r="AQ134" s="141" t="s">
        <v>643</v>
      </c>
      <c r="AS134" s="143" t="s">
        <v>1211</v>
      </c>
      <c r="AT134" s="143" t="s">
        <v>1240</v>
      </c>
      <c r="AU134" s="143" t="s">
        <v>1425</v>
      </c>
    </row>
    <row r="135" spans="1:47" s="124" customFormat="1" ht="14.4" customHeight="1" x14ac:dyDescent="0.3">
      <c r="A135" s="117" t="s">
        <v>172</v>
      </c>
      <c r="B135" s="117" t="s">
        <v>1424</v>
      </c>
      <c r="C135" s="121" t="s">
        <v>528</v>
      </c>
      <c r="D135" s="116" t="s">
        <v>46</v>
      </c>
      <c r="E135" s="116"/>
      <c r="F135" s="117" t="s">
        <v>254</v>
      </c>
      <c r="G135" s="99" t="s">
        <v>806</v>
      </c>
      <c r="H135" s="144">
        <v>43830</v>
      </c>
      <c r="I135" s="134">
        <v>37288136</v>
      </c>
      <c r="J135" s="131">
        <v>2018</v>
      </c>
      <c r="K135" s="154">
        <v>44835</v>
      </c>
      <c r="L135" s="133">
        <v>43952</v>
      </c>
      <c r="M135" s="134"/>
      <c r="N135" s="149" t="s">
        <v>596</v>
      </c>
      <c r="O135" s="136"/>
      <c r="P135" s="57">
        <v>43720</v>
      </c>
      <c r="Q135" s="57" t="s">
        <v>30</v>
      </c>
      <c r="R135" s="57" t="s">
        <v>30</v>
      </c>
      <c r="S135" s="34" t="s">
        <v>30</v>
      </c>
      <c r="T135" s="57">
        <v>43621</v>
      </c>
      <c r="U135" s="57">
        <v>43889</v>
      </c>
      <c r="V135" s="163">
        <v>43621</v>
      </c>
      <c r="W135" s="137">
        <f t="shared" si="60"/>
        <v>44085</v>
      </c>
      <c r="X135" s="57" t="str">
        <f t="shared" si="61"/>
        <v>NC</v>
      </c>
      <c r="Y135" s="57" t="str">
        <f t="shared" si="62"/>
        <v>NC</v>
      </c>
      <c r="Z135" s="57" t="str">
        <f t="shared" si="63"/>
        <v>NC</v>
      </c>
      <c r="AA135" s="57">
        <f t="shared" si="64"/>
        <v>43986</v>
      </c>
      <c r="AB135" s="57">
        <f t="shared" si="65"/>
        <v>44254</v>
      </c>
      <c r="AC135" s="57">
        <f t="shared" si="66"/>
        <v>44351</v>
      </c>
      <c r="AE135" s="123">
        <f t="shared" ca="1" si="67"/>
        <v>-1502</v>
      </c>
      <c r="AF135" s="123" t="str">
        <f t="shared" si="68"/>
        <v>NC</v>
      </c>
      <c r="AG135" s="123" t="str">
        <f t="shared" si="69"/>
        <v>NC</v>
      </c>
      <c r="AH135" s="123" t="str">
        <f t="shared" si="70"/>
        <v>NC</v>
      </c>
      <c r="AI135" s="123">
        <f t="shared" ca="1" si="71"/>
        <v>-1601</v>
      </c>
      <c r="AJ135" s="123">
        <f t="shared" ca="1" si="72"/>
        <v>-1333</v>
      </c>
      <c r="AK135" s="123">
        <f t="shared" ca="1" si="73"/>
        <v>-1236</v>
      </c>
      <c r="AL135" s="138"/>
      <c r="AM135" s="151">
        <f t="shared" si="74"/>
        <v>3.5643602093662751E-3</v>
      </c>
      <c r="AN135" s="152"/>
      <c r="AO135" s="124" t="s">
        <v>395</v>
      </c>
      <c r="AP135" s="138" t="s">
        <v>473</v>
      </c>
      <c r="AQ135" s="141" t="s">
        <v>643</v>
      </c>
      <c r="AS135" s="143" t="s">
        <v>1215</v>
      </c>
      <c r="AT135" s="143" t="s">
        <v>1238</v>
      </c>
      <c r="AU135" s="143" t="s">
        <v>1242</v>
      </c>
    </row>
    <row r="136" spans="1:47" s="124" customFormat="1" ht="14.4" customHeight="1" x14ac:dyDescent="0.3">
      <c r="A136" s="117" t="s">
        <v>173</v>
      </c>
      <c r="B136" s="117" t="s">
        <v>1424</v>
      </c>
      <c r="C136" s="121" t="s">
        <v>528</v>
      </c>
      <c r="D136" s="116" t="s">
        <v>46</v>
      </c>
      <c r="E136" s="116"/>
      <c r="F136" s="117" t="s">
        <v>255</v>
      </c>
      <c r="G136" s="99" t="s">
        <v>807</v>
      </c>
      <c r="H136" s="144">
        <v>43830</v>
      </c>
      <c r="I136" s="134">
        <v>37288136</v>
      </c>
      <c r="J136" s="131">
        <v>2018</v>
      </c>
      <c r="K136" s="154">
        <v>44896</v>
      </c>
      <c r="L136" s="133">
        <v>43952</v>
      </c>
      <c r="M136" s="134"/>
      <c r="N136" s="149" t="s">
        <v>596</v>
      </c>
      <c r="O136" s="136"/>
      <c r="P136" s="57">
        <v>43763</v>
      </c>
      <c r="Q136" s="57" t="s">
        <v>30</v>
      </c>
      <c r="R136" s="57" t="s">
        <v>30</v>
      </c>
      <c r="S136" s="34" t="s">
        <v>30</v>
      </c>
      <c r="T136" s="57">
        <v>43621</v>
      </c>
      <c r="U136" s="57">
        <v>43889</v>
      </c>
      <c r="V136" s="163">
        <v>43621</v>
      </c>
      <c r="W136" s="137">
        <f t="shared" si="60"/>
        <v>44128</v>
      </c>
      <c r="X136" s="57" t="str">
        <f t="shared" si="61"/>
        <v>NC</v>
      </c>
      <c r="Y136" s="57" t="str">
        <f t="shared" si="62"/>
        <v>NC</v>
      </c>
      <c r="Z136" s="57" t="str">
        <f t="shared" si="63"/>
        <v>NC</v>
      </c>
      <c r="AA136" s="57">
        <f t="shared" si="64"/>
        <v>43986</v>
      </c>
      <c r="AB136" s="57">
        <f t="shared" si="65"/>
        <v>44254</v>
      </c>
      <c r="AC136" s="57">
        <f t="shared" si="66"/>
        <v>44351</v>
      </c>
      <c r="AE136" s="123">
        <f t="shared" ca="1" si="67"/>
        <v>-1459</v>
      </c>
      <c r="AF136" s="123" t="str">
        <f t="shared" si="68"/>
        <v>NC</v>
      </c>
      <c r="AG136" s="123" t="str">
        <f t="shared" si="69"/>
        <v>NC</v>
      </c>
      <c r="AH136" s="123" t="str">
        <f t="shared" si="70"/>
        <v>NC</v>
      </c>
      <c r="AI136" s="123">
        <f t="shared" ca="1" si="71"/>
        <v>-1601</v>
      </c>
      <c r="AJ136" s="123">
        <f t="shared" ca="1" si="72"/>
        <v>-1333</v>
      </c>
      <c r="AK136" s="123">
        <f t="shared" ca="1" si="73"/>
        <v>-1236</v>
      </c>
      <c r="AL136" s="138"/>
      <c r="AM136" s="151">
        <f t="shared" si="74"/>
        <v>3.5643602093662751E-3</v>
      </c>
      <c r="AN136" s="152"/>
      <c r="AO136" s="124" t="s">
        <v>395</v>
      </c>
      <c r="AP136" s="138" t="s">
        <v>473</v>
      </c>
      <c r="AQ136" s="141" t="s">
        <v>643</v>
      </c>
      <c r="AR136" s="138"/>
      <c r="AS136" s="142" t="s">
        <v>1215</v>
      </c>
      <c r="AT136" s="143" t="s">
        <v>1238</v>
      </c>
      <c r="AU136" s="143" t="s">
        <v>1242</v>
      </c>
    </row>
    <row r="137" spans="1:47" s="124" customFormat="1" ht="14.4" customHeight="1" x14ac:dyDescent="0.3">
      <c r="A137" s="116" t="s">
        <v>377</v>
      </c>
      <c r="B137" s="116" t="s">
        <v>1084</v>
      </c>
      <c r="C137" s="117" t="s">
        <v>529</v>
      </c>
      <c r="D137" s="116" t="s">
        <v>46</v>
      </c>
      <c r="E137" s="116"/>
      <c r="F137" s="117" t="s">
        <v>686</v>
      </c>
      <c r="G137" s="120"/>
      <c r="H137" s="156">
        <v>43830</v>
      </c>
      <c r="I137" s="134">
        <v>45200000</v>
      </c>
      <c r="J137" s="120">
        <v>2005</v>
      </c>
      <c r="K137" s="132"/>
      <c r="L137" s="158">
        <v>43952</v>
      </c>
      <c r="M137" s="116"/>
      <c r="N137" s="135" t="s">
        <v>596</v>
      </c>
      <c r="O137" s="116"/>
      <c r="P137" s="57"/>
      <c r="Q137" s="57" t="s">
        <v>30</v>
      </c>
      <c r="R137" s="57" t="s">
        <v>30</v>
      </c>
      <c r="S137" s="34" t="s">
        <v>30</v>
      </c>
      <c r="T137" s="57"/>
      <c r="U137" s="57"/>
      <c r="V137" s="34"/>
      <c r="W137" s="137" t="str">
        <f t="shared" si="60"/>
        <v>erreur</v>
      </c>
      <c r="X137" s="57" t="str">
        <f t="shared" si="61"/>
        <v>NC</v>
      </c>
      <c r="Y137" s="57" t="str">
        <f t="shared" si="62"/>
        <v>NC</v>
      </c>
      <c r="Z137" s="57" t="str">
        <f t="shared" si="63"/>
        <v>NC</v>
      </c>
      <c r="AA137" s="57" t="str">
        <f t="shared" si="64"/>
        <v>erreur</v>
      </c>
      <c r="AB137" s="57" t="str">
        <f t="shared" si="65"/>
        <v>erreur</v>
      </c>
      <c r="AC137" s="57" t="str">
        <f t="shared" si="66"/>
        <v>erreur</v>
      </c>
      <c r="AD137" s="138"/>
      <c r="AE137" s="123" t="str">
        <f t="shared" si="67"/>
        <v>erreur</v>
      </c>
      <c r="AF137" s="123" t="str">
        <f t="shared" si="68"/>
        <v>NC</v>
      </c>
      <c r="AG137" s="123" t="str">
        <f t="shared" si="69"/>
        <v>NC</v>
      </c>
      <c r="AH137" s="123" t="str">
        <f t="shared" si="70"/>
        <v>NC</v>
      </c>
      <c r="AI137" s="123" t="str">
        <f t="shared" si="71"/>
        <v>erreur</v>
      </c>
      <c r="AJ137" s="123" t="str">
        <f t="shared" si="72"/>
        <v>erreur</v>
      </c>
      <c r="AK137" s="123" t="str">
        <f t="shared" si="73"/>
        <v>erreur</v>
      </c>
      <c r="AL137" s="138"/>
      <c r="AM137" s="151">
        <f t="shared" si="74"/>
        <v>3.8157088554416844E-2</v>
      </c>
      <c r="AN137" s="138"/>
      <c r="AO137" s="138"/>
      <c r="AP137" s="138" t="s">
        <v>470</v>
      </c>
      <c r="AQ137" s="141" t="s">
        <v>643</v>
      </c>
      <c r="AS137" s="143" t="s">
        <v>1243</v>
      </c>
      <c r="AT137" s="143" t="s">
        <v>1244</v>
      </c>
      <c r="AU137" s="143" t="s">
        <v>1245</v>
      </c>
    </row>
    <row r="138" spans="1:47" s="124" customFormat="1" ht="14.4" customHeight="1" x14ac:dyDescent="0.3">
      <c r="A138" s="125" t="s">
        <v>5</v>
      </c>
      <c r="B138" s="117" t="s">
        <v>1085</v>
      </c>
      <c r="C138" s="121" t="s">
        <v>530</v>
      </c>
      <c r="D138" s="116" t="s">
        <v>46</v>
      </c>
      <c r="E138" s="116"/>
      <c r="F138" s="117" t="s">
        <v>256</v>
      </c>
      <c r="G138" s="99" t="s">
        <v>455</v>
      </c>
      <c r="H138" s="144">
        <v>43830</v>
      </c>
      <c r="I138" s="153">
        <v>67563571</v>
      </c>
      <c r="J138" s="146">
        <v>2015</v>
      </c>
      <c r="K138" s="154">
        <v>44652</v>
      </c>
      <c r="L138" s="133">
        <v>43831</v>
      </c>
      <c r="M138" s="148"/>
      <c r="N138" s="149" t="s">
        <v>596</v>
      </c>
      <c r="O138" s="150">
        <v>5086</v>
      </c>
      <c r="P138" s="57">
        <v>43893</v>
      </c>
      <c r="Q138" s="57" t="s">
        <v>30</v>
      </c>
      <c r="R138" s="57" t="s">
        <v>30</v>
      </c>
      <c r="S138" s="34" t="s">
        <v>30</v>
      </c>
      <c r="T138" s="57">
        <v>43860</v>
      </c>
      <c r="U138" s="57">
        <v>43889</v>
      </c>
      <c r="V138" s="163" t="s">
        <v>1515</v>
      </c>
      <c r="W138" s="137">
        <f t="shared" si="60"/>
        <v>44258</v>
      </c>
      <c r="X138" s="57" t="str">
        <f t="shared" si="61"/>
        <v>NC</v>
      </c>
      <c r="Y138" s="57" t="str">
        <f t="shared" si="62"/>
        <v>NC</v>
      </c>
      <c r="Z138" s="57" t="str">
        <f t="shared" si="63"/>
        <v>NC</v>
      </c>
      <c r="AA138" s="57">
        <f t="shared" si="64"/>
        <v>44225</v>
      </c>
      <c r="AB138" s="57">
        <f t="shared" si="65"/>
        <v>44254</v>
      </c>
      <c r="AC138" s="57" t="e">
        <f t="shared" si="66"/>
        <v>#VALUE!</v>
      </c>
      <c r="AE138" s="123">
        <f t="shared" ca="1" si="67"/>
        <v>-1329</v>
      </c>
      <c r="AF138" s="123" t="str">
        <f t="shared" si="68"/>
        <v>NC</v>
      </c>
      <c r="AG138" s="123" t="str">
        <f t="shared" si="69"/>
        <v>NC</v>
      </c>
      <c r="AH138" s="123" t="str">
        <f t="shared" si="70"/>
        <v>NC</v>
      </c>
      <c r="AI138" s="123">
        <f t="shared" ca="1" si="71"/>
        <v>-1362</v>
      </c>
      <c r="AJ138" s="123">
        <f t="shared" ca="1" si="72"/>
        <v>-1333</v>
      </c>
      <c r="AK138" s="123" t="e">
        <f t="shared" si="73"/>
        <v>#VALUE!</v>
      </c>
      <c r="AL138" s="138"/>
      <c r="AM138" s="151">
        <f t="shared" si="74"/>
        <v>1.8130147492907707E-2</v>
      </c>
      <c r="AN138" s="152"/>
      <c r="AP138" s="124" t="s">
        <v>470</v>
      </c>
      <c r="AQ138" s="141" t="s">
        <v>643</v>
      </c>
      <c r="AS138" s="143" t="s">
        <v>1243</v>
      </c>
      <c r="AT138" s="143" t="s">
        <v>1246</v>
      </c>
      <c r="AU138" s="143" t="s">
        <v>1245</v>
      </c>
    </row>
    <row r="139" spans="1:47" s="124" customFormat="1" ht="14.4" customHeight="1" x14ac:dyDescent="0.3">
      <c r="A139" s="125" t="s">
        <v>6</v>
      </c>
      <c r="B139" s="117" t="s">
        <v>1085</v>
      </c>
      <c r="C139" s="121" t="s">
        <v>530</v>
      </c>
      <c r="D139" s="116" t="s">
        <v>46</v>
      </c>
      <c r="E139" s="116"/>
      <c r="F139" s="117" t="s">
        <v>257</v>
      </c>
      <c r="G139" s="99" t="s">
        <v>456</v>
      </c>
      <c r="H139" s="144">
        <v>43830</v>
      </c>
      <c r="I139" s="153">
        <v>67563571</v>
      </c>
      <c r="J139" s="146">
        <v>2015</v>
      </c>
      <c r="K139" s="154">
        <v>44652</v>
      </c>
      <c r="L139" s="133">
        <v>43831</v>
      </c>
      <c r="M139" s="148"/>
      <c r="N139" s="149" t="s">
        <v>596</v>
      </c>
      <c r="O139" s="150">
        <v>4933</v>
      </c>
      <c r="P139" s="57">
        <v>43893</v>
      </c>
      <c r="Q139" s="57" t="s">
        <v>30</v>
      </c>
      <c r="R139" s="57" t="s">
        <v>30</v>
      </c>
      <c r="S139" s="34" t="s">
        <v>30</v>
      </c>
      <c r="T139" s="57">
        <v>43860</v>
      </c>
      <c r="U139" s="57">
        <v>43889</v>
      </c>
      <c r="V139" s="163">
        <v>43185</v>
      </c>
      <c r="W139" s="137">
        <f t="shared" si="60"/>
        <v>44258</v>
      </c>
      <c r="X139" s="57" t="str">
        <f t="shared" si="61"/>
        <v>NC</v>
      </c>
      <c r="Y139" s="57" t="str">
        <f t="shared" si="62"/>
        <v>NC</v>
      </c>
      <c r="Z139" s="57" t="str">
        <f t="shared" si="63"/>
        <v>NC</v>
      </c>
      <c r="AA139" s="57">
        <f t="shared" si="64"/>
        <v>44225</v>
      </c>
      <c r="AB139" s="57">
        <f t="shared" si="65"/>
        <v>44254</v>
      </c>
      <c r="AC139" s="57">
        <f t="shared" si="66"/>
        <v>43915</v>
      </c>
      <c r="AE139" s="123">
        <f t="shared" ca="1" si="67"/>
        <v>-1329</v>
      </c>
      <c r="AF139" s="123" t="str">
        <f t="shared" si="68"/>
        <v>NC</v>
      </c>
      <c r="AG139" s="123" t="str">
        <f t="shared" si="69"/>
        <v>NC</v>
      </c>
      <c r="AH139" s="123" t="str">
        <f t="shared" si="70"/>
        <v>NC</v>
      </c>
      <c r="AI139" s="123">
        <f t="shared" ca="1" si="71"/>
        <v>-1362</v>
      </c>
      <c r="AJ139" s="123">
        <f t="shared" ca="1" si="72"/>
        <v>-1333</v>
      </c>
      <c r="AK139" s="123">
        <f t="shared" ca="1" si="73"/>
        <v>-1672</v>
      </c>
      <c r="AL139" s="138"/>
      <c r="AM139" s="151">
        <f t="shared" si="74"/>
        <v>1.8130147492907707E-2</v>
      </c>
      <c r="AN139" s="152"/>
      <c r="AP139" s="124" t="s">
        <v>470</v>
      </c>
      <c r="AQ139" s="141" t="s">
        <v>643</v>
      </c>
      <c r="AS139" s="143" t="s">
        <v>1243</v>
      </c>
      <c r="AT139" s="143" t="s">
        <v>1246</v>
      </c>
      <c r="AU139" s="143" t="s">
        <v>1245</v>
      </c>
    </row>
    <row r="140" spans="1:47" s="124" customFormat="1" ht="14.4" customHeight="1" x14ac:dyDescent="0.3">
      <c r="A140" s="125" t="s">
        <v>7</v>
      </c>
      <c r="B140" s="117" t="s">
        <v>1085</v>
      </c>
      <c r="C140" s="121" t="s">
        <v>530</v>
      </c>
      <c r="D140" s="116" t="s">
        <v>46</v>
      </c>
      <c r="E140" s="116"/>
      <c r="F140" s="117" t="s">
        <v>258</v>
      </c>
      <c r="G140" s="99" t="s">
        <v>457</v>
      </c>
      <c r="H140" s="144">
        <v>43830</v>
      </c>
      <c r="I140" s="153">
        <v>67563571</v>
      </c>
      <c r="J140" s="146">
        <v>2015</v>
      </c>
      <c r="K140" s="154">
        <v>44652</v>
      </c>
      <c r="L140" s="133">
        <v>43952</v>
      </c>
      <c r="M140" s="148"/>
      <c r="N140" s="149" t="s">
        <v>596</v>
      </c>
      <c r="O140" s="150">
        <v>5041</v>
      </c>
      <c r="P140" s="57">
        <v>43893</v>
      </c>
      <c r="Q140" s="57" t="s">
        <v>30</v>
      </c>
      <c r="R140" s="57" t="s">
        <v>30</v>
      </c>
      <c r="S140" s="34" t="s">
        <v>30</v>
      </c>
      <c r="T140" s="57">
        <v>43860</v>
      </c>
      <c r="U140" s="57">
        <v>43889</v>
      </c>
      <c r="V140" s="163">
        <v>43185</v>
      </c>
      <c r="W140" s="137">
        <f t="shared" si="60"/>
        <v>44258</v>
      </c>
      <c r="X140" s="57" t="str">
        <f t="shared" si="61"/>
        <v>NC</v>
      </c>
      <c r="Y140" s="57" t="str">
        <f t="shared" si="62"/>
        <v>NC</v>
      </c>
      <c r="Z140" s="57" t="str">
        <f t="shared" si="63"/>
        <v>NC</v>
      </c>
      <c r="AA140" s="57">
        <f t="shared" si="64"/>
        <v>44225</v>
      </c>
      <c r="AB140" s="57">
        <f t="shared" si="65"/>
        <v>44254</v>
      </c>
      <c r="AC140" s="57">
        <f t="shared" si="66"/>
        <v>43915</v>
      </c>
      <c r="AE140" s="123">
        <f t="shared" ca="1" si="67"/>
        <v>-1329</v>
      </c>
      <c r="AF140" s="123" t="str">
        <f t="shared" si="68"/>
        <v>NC</v>
      </c>
      <c r="AG140" s="123" t="str">
        <f t="shared" si="69"/>
        <v>NC</v>
      </c>
      <c r="AH140" s="123" t="str">
        <f t="shared" si="70"/>
        <v>NC</v>
      </c>
      <c r="AI140" s="123">
        <f t="shared" ca="1" si="71"/>
        <v>-1362</v>
      </c>
      <c r="AJ140" s="123">
        <f t="shared" ca="1" si="72"/>
        <v>-1333</v>
      </c>
      <c r="AK140" s="123">
        <f t="shared" ca="1" si="73"/>
        <v>-1672</v>
      </c>
      <c r="AL140" s="138"/>
      <c r="AM140" s="151">
        <f t="shared" si="74"/>
        <v>1.8130147492907707E-2</v>
      </c>
      <c r="AN140" s="152"/>
      <c r="AP140" s="124" t="s">
        <v>470</v>
      </c>
      <c r="AQ140" s="141" t="s">
        <v>643</v>
      </c>
      <c r="AS140" s="143" t="s">
        <v>1243</v>
      </c>
      <c r="AT140" s="143" t="s">
        <v>1246</v>
      </c>
      <c r="AU140" s="143" t="s">
        <v>1245</v>
      </c>
    </row>
    <row r="141" spans="1:47" s="124" customFormat="1" ht="14.4" customHeight="1" x14ac:dyDescent="0.3">
      <c r="A141" s="121" t="s">
        <v>90</v>
      </c>
      <c r="B141" s="117" t="s">
        <v>1085</v>
      </c>
      <c r="C141" s="121" t="s">
        <v>530</v>
      </c>
      <c r="D141" s="123" t="s">
        <v>46</v>
      </c>
      <c r="E141" s="123"/>
      <c r="F141" s="117" t="s">
        <v>259</v>
      </c>
      <c r="G141" s="120" t="s">
        <v>584</v>
      </c>
      <c r="H141" s="156">
        <v>43830</v>
      </c>
      <c r="I141" s="145">
        <v>67563571</v>
      </c>
      <c r="J141" s="146">
        <v>2015</v>
      </c>
      <c r="K141" s="154">
        <v>44652</v>
      </c>
      <c r="L141" s="133">
        <v>43952</v>
      </c>
      <c r="M141" s="148"/>
      <c r="N141" s="149" t="s">
        <v>596</v>
      </c>
      <c r="O141" s="150">
        <v>430</v>
      </c>
      <c r="P141" s="57">
        <v>43678</v>
      </c>
      <c r="Q141" s="57" t="s">
        <v>30</v>
      </c>
      <c r="R141" s="57" t="s">
        <v>30</v>
      </c>
      <c r="S141" s="34" t="s">
        <v>30</v>
      </c>
      <c r="T141" s="57">
        <v>43836</v>
      </c>
      <c r="U141" s="57">
        <v>43889</v>
      </c>
      <c r="V141" s="163">
        <v>43325</v>
      </c>
      <c r="W141" s="137">
        <f t="shared" si="60"/>
        <v>44043</v>
      </c>
      <c r="X141" s="57" t="str">
        <f t="shared" si="61"/>
        <v>NC</v>
      </c>
      <c r="Y141" s="57" t="str">
        <f t="shared" si="62"/>
        <v>NC</v>
      </c>
      <c r="Z141" s="57" t="str">
        <f t="shared" si="63"/>
        <v>NC</v>
      </c>
      <c r="AA141" s="57">
        <f t="shared" si="64"/>
        <v>44201</v>
      </c>
      <c r="AB141" s="57">
        <f t="shared" si="65"/>
        <v>44254</v>
      </c>
      <c r="AC141" s="57">
        <f t="shared" si="66"/>
        <v>44055</v>
      </c>
      <c r="AE141" s="123">
        <f t="shared" ca="1" si="67"/>
        <v>-1544</v>
      </c>
      <c r="AF141" s="123" t="str">
        <f t="shared" si="68"/>
        <v>NC</v>
      </c>
      <c r="AG141" s="123" t="str">
        <f t="shared" si="69"/>
        <v>NC</v>
      </c>
      <c r="AH141" s="123" t="str">
        <f t="shared" si="70"/>
        <v>NC</v>
      </c>
      <c r="AI141" s="123">
        <f t="shared" ca="1" si="71"/>
        <v>-1386</v>
      </c>
      <c r="AJ141" s="123">
        <f t="shared" ca="1" si="72"/>
        <v>-1333</v>
      </c>
      <c r="AK141" s="123">
        <f t="shared" ca="1" si="73"/>
        <v>-1532</v>
      </c>
      <c r="AL141" s="138"/>
      <c r="AM141" s="151">
        <f t="shared" si="74"/>
        <v>1.8130147492907707E-2</v>
      </c>
      <c r="AN141" s="152"/>
      <c r="AP141" s="124" t="s">
        <v>470</v>
      </c>
      <c r="AQ141" s="141" t="s">
        <v>643</v>
      </c>
      <c r="AS141" s="143" t="s">
        <v>1243</v>
      </c>
      <c r="AT141" s="143" t="s">
        <v>1246</v>
      </c>
      <c r="AU141" s="143" t="s">
        <v>1245</v>
      </c>
    </row>
    <row r="142" spans="1:47" s="138" customFormat="1" ht="14.4" customHeight="1" x14ac:dyDescent="0.3">
      <c r="A142" s="121" t="s">
        <v>8</v>
      </c>
      <c r="B142" s="117" t="s">
        <v>1085</v>
      </c>
      <c r="C142" s="121" t="s">
        <v>530</v>
      </c>
      <c r="D142" s="123" t="s">
        <v>46</v>
      </c>
      <c r="E142" s="123"/>
      <c r="F142" s="117" t="s">
        <v>260</v>
      </c>
      <c r="G142" s="120" t="s">
        <v>478</v>
      </c>
      <c r="H142" s="164">
        <v>43830</v>
      </c>
      <c r="I142" s="153">
        <v>67563571</v>
      </c>
      <c r="J142" s="146">
        <v>2015</v>
      </c>
      <c r="K142" s="154">
        <v>43983</v>
      </c>
      <c r="L142" s="133">
        <v>43952</v>
      </c>
      <c r="M142" s="148"/>
      <c r="N142" s="149" t="s">
        <v>596</v>
      </c>
      <c r="O142" s="150">
        <v>4844</v>
      </c>
      <c r="P142" s="57">
        <v>43847</v>
      </c>
      <c r="Q142" s="57" t="s">
        <v>30</v>
      </c>
      <c r="R142" s="57" t="s">
        <v>30</v>
      </c>
      <c r="S142" s="34" t="s">
        <v>30</v>
      </c>
      <c r="T142" s="57">
        <v>43860</v>
      </c>
      <c r="U142" s="57">
        <v>43889</v>
      </c>
      <c r="V142" s="163">
        <v>43503</v>
      </c>
      <c r="W142" s="137">
        <f t="shared" si="60"/>
        <v>44212</v>
      </c>
      <c r="X142" s="57" t="str">
        <f t="shared" si="61"/>
        <v>NC</v>
      </c>
      <c r="Y142" s="57" t="str">
        <f t="shared" si="62"/>
        <v>NC</v>
      </c>
      <c r="Z142" s="57" t="str">
        <f t="shared" si="63"/>
        <v>NC</v>
      </c>
      <c r="AA142" s="57">
        <f t="shared" si="64"/>
        <v>44225</v>
      </c>
      <c r="AB142" s="57">
        <f t="shared" si="65"/>
        <v>44254</v>
      </c>
      <c r="AC142" s="57">
        <f t="shared" si="66"/>
        <v>44233</v>
      </c>
      <c r="AD142" s="124"/>
      <c r="AE142" s="123">
        <f t="shared" ca="1" si="67"/>
        <v>-1375</v>
      </c>
      <c r="AF142" s="123" t="str">
        <f t="shared" si="68"/>
        <v>NC</v>
      </c>
      <c r="AG142" s="123" t="str">
        <f t="shared" si="69"/>
        <v>NC</v>
      </c>
      <c r="AH142" s="123" t="str">
        <f t="shared" si="70"/>
        <v>NC</v>
      </c>
      <c r="AI142" s="123">
        <f t="shared" ca="1" si="71"/>
        <v>-1362</v>
      </c>
      <c r="AJ142" s="123">
        <f t="shared" ca="1" si="72"/>
        <v>-1333</v>
      </c>
      <c r="AK142" s="123">
        <f t="shared" ca="1" si="73"/>
        <v>-1354</v>
      </c>
      <c r="AM142" s="151">
        <f t="shared" si="74"/>
        <v>1.8130147492907707E-2</v>
      </c>
      <c r="AN142" s="152"/>
      <c r="AO142" s="124"/>
      <c r="AP142" s="124" t="s">
        <v>470</v>
      </c>
      <c r="AQ142" s="141" t="s">
        <v>643</v>
      </c>
      <c r="AR142" s="124"/>
      <c r="AS142" s="143" t="s">
        <v>1243</v>
      </c>
      <c r="AT142" s="143" t="s">
        <v>1246</v>
      </c>
      <c r="AU142" s="143" t="s">
        <v>1245</v>
      </c>
    </row>
    <row r="143" spans="1:47" s="124" customFormat="1" ht="14.4" customHeight="1" x14ac:dyDescent="0.3">
      <c r="A143" s="121" t="s">
        <v>9</v>
      </c>
      <c r="B143" s="117" t="s">
        <v>1085</v>
      </c>
      <c r="C143" s="121" t="s">
        <v>530</v>
      </c>
      <c r="D143" s="123" t="s">
        <v>46</v>
      </c>
      <c r="E143" s="123"/>
      <c r="F143" s="117" t="s">
        <v>261</v>
      </c>
      <c r="G143" s="120" t="s">
        <v>479</v>
      </c>
      <c r="H143" s="156">
        <v>43830</v>
      </c>
      <c r="I143" s="153">
        <v>67563571</v>
      </c>
      <c r="J143" s="146">
        <v>2015</v>
      </c>
      <c r="K143" s="154">
        <v>43983</v>
      </c>
      <c r="L143" s="133">
        <v>43952</v>
      </c>
      <c r="M143" s="148"/>
      <c r="N143" s="149" t="s">
        <v>596</v>
      </c>
      <c r="O143" s="150">
        <v>4913</v>
      </c>
      <c r="P143" s="57">
        <v>43847</v>
      </c>
      <c r="Q143" s="57" t="s">
        <v>30</v>
      </c>
      <c r="R143" s="57" t="s">
        <v>30</v>
      </c>
      <c r="S143" s="34" t="s">
        <v>30</v>
      </c>
      <c r="T143" s="57">
        <v>43860</v>
      </c>
      <c r="U143" s="57">
        <v>43889</v>
      </c>
      <c r="V143" s="163">
        <v>43503</v>
      </c>
      <c r="W143" s="137">
        <f t="shared" si="60"/>
        <v>44212</v>
      </c>
      <c r="X143" s="57" t="str">
        <f t="shared" si="61"/>
        <v>NC</v>
      </c>
      <c r="Y143" s="57" t="str">
        <f t="shared" si="62"/>
        <v>NC</v>
      </c>
      <c r="Z143" s="57" t="str">
        <f t="shared" si="63"/>
        <v>NC</v>
      </c>
      <c r="AA143" s="57">
        <f t="shared" si="64"/>
        <v>44225</v>
      </c>
      <c r="AB143" s="57">
        <f t="shared" si="65"/>
        <v>44254</v>
      </c>
      <c r="AC143" s="57">
        <f t="shared" si="66"/>
        <v>44233</v>
      </c>
      <c r="AE143" s="123">
        <f t="shared" ca="1" si="67"/>
        <v>-1375</v>
      </c>
      <c r="AF143" s="123" t="str">
        <f t="shared" si="68"/>
        <v>NC</v>
      </c>
      <c r="AG143" s="123" t="str">
        <f t="shared" si="69"/>
        <v>NC</v>
      </c>
      <c r="AH143" s="123" t="str">
        <f t="shared" si="70"/>
        <v>NC</v>
      </c>
      <c r="AI143" s="123">
        <f t="shared" ca="1" si="71"/>
        <v>-1362</v>
      </c>
      <c r="AJ143" s="123">
        <f t="shared" ca="1" si="72"/>
        <v>-1333</v>
      </c>
      <c r="AK143" s="123">
        <f t="shared" ca="1" si="73"/>
        <v>-1354</v>
      </c>
      <c r="AL143" s="138"/>
      <c r="AM143" s="151">
        <f t="shared" si="74"/>
        <v>1.8130147492907707E-2</v>
      </c>
      <c r="AN143" s="152"/>
      <c r="AP143" s="124" t="s">
        <v>470</v>
      </c>
      <c r="AQ143" s="141" t="s">
        <v>643</v>
      </c>
      <c r="AS143" s="143" t="s">
        <v>1243</v>
      </c>
      <c r="AT143" s="143" t="s">
        <v>1246</v>
      </c>
      <c r="AU143" s="143" t="s">
        <v>1245</v>
      </c>
    </row>
    <row r="144" spans="1:47" s="124" customFormat="1" ht="14.4" customHeight="1" x14ac:dyDescent="0.3">
      <c r="A144" s="121" t="s">
        <v>10</v>
      </c>
      <c r="B144" s="117" t="s">
        <v>1085</v>
      </c>
      <c r="C144" s="121" t="s">
        <v>530</v>
      </c>
      <c r="D144" s="123" t="s">
        <v>46</v>
      </c>
      <c r="E144" s="123"/>
      <c r="F144" s="117" t="s">
        <v>262</v>
      </c>
      <c r="G144" s="120" t="s">
        <v>480</v>
      </c>
      <c r="H144" s="156">
        <v>43830</v>
      </c>
      <c r="I144" s="153">
        <v>67563571</v>
      </c>
      <c r="J144" s="146">
        <v>2015</v>
      </c>
      <c r="K144" s="154">
        <v>44013</v>
      </c>
      <c r="L144" s="133">
        <v>43952</v>
      </c>
      <c r="M144" s="148"/>
      <c r="N144" s="149" t="s">
        <v>596</v>
      </c>
      <c r="O144" s="150">
        <v>5020</v>
      </c>
      <c r="P144" s="57">
        <v>43847</v>
      </c>
      <c r="Q144" s="57" t="s">
        <v>30</v>
      </c>
      <c r="R144" s="57" t="s">
        <v>30</v>
      </c>
      <c r="S144" s="34" t="s">
        <v>30</v>
      </c>
      <c r="T144" s="57">
        <v>43860</v>
      </c>
      <c r="U144" s="57">
        <v>43889</v>
      </c>
      <c r="V144" s="163">
        <v>43503</v>
      </c>
      <c r="W144" s="137">
        <f t="shared" si="60"/>
        <v>44212</v>
      </c>
      <c r="X144" s="57" t="str">
        <f t="shared" si="61"/>
        <v>NC</v>
      </c>
      <c r="Y144" s="57" t="str">
        <f t="shared" si="62"/>
        <v>NC</v>
      </c>
      <c r="Z144" s="57" t="str">
        <f t="shared" si="63"/>
        <v>NC</v>
      </c>
      <c r="AA144" s="57">
        <f t="shared" si="64"/>
        <v>44225</v>
      </c>
      <c r="AB144" s="57">
        <f t="shared" si="65"/>
        <v>44254</v>
      </c>
      <c r="AC144" s="57">
        <f t="shared" si="66"/>
        <v>44233</v>
      </c>
      <c r="AE144" s="123">
        <f t="shared" ca="1" si="67"/>
        <v>-1375</v>
      </c>
      <c r="AF144" s="123" t="str">
        <f t="shared" si="68"/>
        <v>NC</v>
      </c>
      <c r="AG144" s="123" t="str">
        <f t="shared" si="69"/>
        <v>NC</v>
      </c>
      <c r="AH144" s="123" t="str">
        <f t="shared" si="70"/>
        <v>NC</v>
      </c>
      <c r="AI144" s="123">
        <f t="shared" ca="1" si="71"/>
        <v>-1362</v>
      </c>
      <c r="AJ144" s="123">
        <f t="shared" ca="1" si="72"/>
        <v>-1333</v>
      </c>
      <c r="AK144" s="123">
        <f t="shared" ca="1" si="73"/>
        <v>-1354</v>
      </c>
      <c r="AL144" s="138"/>
      <c r="AM144" s="151">
        <f t="shared" si="74"/>
        <v>1.8130147492907707E-2</v>
      </c>
      <c r="AN144" s="152"/>
      <c r="AP144" s="124" t="s">
        <v>470</v>
      </c>
      <c r="AQ144" s="141" t="s">
        <v>643</v>
      </c>
      <c r="AS144" s="143" t="s">
        <v>1243</v>
      </c>
      <c r="AT144" s="143" t="s">
        <v>1246</v>
      </c>
      <c r="AU144" s="143" t="s">
        <v>1245</v>
      </c>
    </row>
    <row r="145" spans="1:47" s="124" customFormat="1" ht="14.4" customHeight="1" x14ac:dyDescent="0.3">
      <c r="A145" s="121" t="s">
        <v>11</v>
      </c>
      <c r="B145" s="117" t="s">
        <v>1085</v>
      </c>
      <c r="C145" s="121" t="s">
        <v>530</v>
      </c>
      <c r="D145" s="165" t="s">
        <v>46</v>
      </c>
      <c r="E145" s="165"/>
      <c r="F145" s="117" t="s">
        <v>710</v>
      </c>
      <c r="G145" s="120" t="s">
        <v>481</v>
      </c>
      <c r="H145" s="156">
        <v>43830</v>
      </c>
      <c r="I145" s="153">
        <v>67563571</v>
      </c>
      <c r="J145" s="146">
        <v>2015</v>
      </c>
      <c r="K145" s="154">
        <v>43983</v>
      </c>
      <c r="L145" s="133">
        <v>43952</v>
      </c>
      <c r="M145" s="148"/>
      <c r="N145" s="149" t="s">
        <v>596</v>
      </c>
      <c r="O145" s="150">
        <v>4786</v>
      </c>
      <c r="P145" s="57">
        <v>43847</v>
      </c>
      <c r="Q145" s="57" t="s">
        <v>30</v>
      </c>
      <c r="R145" s="57" t="s">
        <v>30</v>
      </c>
      <c r="S145" s="34" t="s">
        <v>30</v>
      </c>
      <c r="T145" s="57">
        <v>43860</v>
      </c>
      <c r="U145" s="57">
        <v>43889</v>
      </c>
      <c r="V145" s="163">
        <v>43503</v>
      </c>
      <c r="W145" s="137">
        <f t="shared" si="60"/>
        <v>44212</v>
      </c>
      <c r="X145" s="57" t="str">
        <f t="shared" si="61"/>
        <v>NC</v>
      </c>
      <c r="Y145" s="57" t="str">
        <f t="shared" si="62"/>
        <v>NC</v>
      </c>
      <c r="Z145" s="57" t="str">
        <f t="shared" si="63"/>
        <v>NC</v>
      </c>
      <c r="AA145" s="57">
        <f t="shared" si="64"/>
        <v>44225</v>
      </c>
      <c r="AB145" s="57">
        <f t="shared" si="65"/>
        <v>44254</v>
      </c>
      <c r="AC145" s="57">
        <f t="shared" si="66"/>
        <v>44233</v>
      </c>
      <c r="AE145" s="123">
        <f t="shared" ca="1" si="67"/>
        <v>-1375</v>
      </c>
      <c r="AF145" s="123" t="str">
        <f t="shared" si="68"/>
        <v>NC</v>
      </c>
      <c r="AG145" s="123" t="str">
        <f t="shared" si="69"/>
        <v>NC</v>
      </c>
      <c r="AH145" s="123" t="str">
        <f t="shared" si="70"/>
        <v>NC</v>
      </c>
      <c r="AI145" s="123">
        <f t="shared" ca="1" si="71"/>
        <v>-1362</v>
      </c>
      <c r="AJ145" s="123">
        <f t="shared" ca="1" si="72"/>
        <v>-1333</v>
      </c>
      <c r="AK145" s="123">
        <f t="shared" ca="1" si="73"/>
        <v>-1354</v>
      </c>
      <c r="AL145" s="138"/>
      <c r="AM145" s="151">
        <f t="shared" si="74"/>
        <v>1.8130147492907707E-2</v>
      </c>
      <c r="AN145" s="152"/>
      <c r="AP145" s="124" t="s">
        <v>470</v>
      </c>
      <c r="AQ145" s="141" t="s">
        <v>643</v>
      </c>
      <c r="AS145" s="143" t="s">
        <v>1243</v>
      </c>
      <c r="AT145" s="143" t="s">
        <v>1246</v>
      </c>
      <c r="AU145" s="143" t="s">
        <v>1245</v>
      </c>
    </row>
    <row r="146" spans="1:47" s="124" customFormat="1" ht="14.4" customHeight="1" x14ac:dyDescent="0.3">
      <c r="A146" s="121" t="s">
        <v>12</v>
      </c>
      <c r="B146" s="117" t="s">
        <v>1085</v>
      </c>
      <c r="C146" s="121" t="s">
        <v>530</v>
      </c>
      <c r="D146" s="123" t="s">
        <v>46</v>
      </c>
      <c r="E146" s="123"/>
      <c r="F146" s="117" t="s">
        <v>263</v>
      </c>
      <c r="G146" s="120" t="s">
        <v>482</v>
      </c>
      <c r="H146" s="156">
        <v>43830</v>
      </c>
      <c r="I146" s="153">
        <v>67563571</v>
      </c>
      <c r="J146" s="146">
        <v>2015</v>
      </c>
      <c r="K146" s="154">
        <v>43983</v>
      </c>
      <c r="L146" s="133">
        <v>43952</v>
      </c>
      <c r="M146" s="148"/>
      <c r="N146" s="149" t="s">
        <v>596</v>
      </c>
      <c r="O146" s="150">
        <v>4811</v>
      </c>
      <c r="P146" s="57">
        <v>43847</v>
      </c>
      <c r="Q146" s="57" t="s">
        <v>30</v>
      </c>
      <c r="R146" s="57" t="s">
        <v>30</v>
      </c>
      <c r="S146" s="34" t="s">
        <v>30</v>
      </c>
      <c r="T146" s="57">
        <v>43860</v>
      </c>
      <c r="U146" s="57">
        <v>43889</v>
      </c>
      <c r="V146" s="163">
        <v>43503</v>
      </c>
      <c r="W146" s="137">
        <f t="shared" ref="W146:W177" si="75">IF(P146="NC","NC",IF(P146="","erreur",P146+365))</f>
        <v>44212</v>
      </c>
      <c r="X146" s="57" t="str">
        <f t="shared" si="61"/>
        <v>NC</v>
      </c>
      <c r="Y146" s="57" t="str">
        <f t="shared" si="62"/>
        <v>NC</v>
      </c>
      <c r="Z146" s="57" t="str">
        <f t="shared" si="63"/>
        <v>NC</v>
      </c>
      <c r="AA146" s="57">
        <f t="shared" si="64"/>
        <v>44225</v>
      </c>
      <c r="AB146" s="57">
        <f t="shared" si="65"/>
        <v>44254</v>
      </c>
      <c r="AC146" s="57">
        <f t="shared" si="66"/>
        <v>44233</v>
      </c>
      <c r="AE146" s="123">
        <f t="shared" ca="1" si="67"/>
        <v>-1375</v>
      </c>
      <c r="AF146" s="123" t="str">
        <f t="shared" si="68"/>
        <v>NC</v>
      </c>
      <c r="AG146" s="123" t="str">
        <f t="shared" si="69"/>
        <v>NC</v>
      </c>
      <c r="AH146" s="123" t="str">
        <f t="shared" si="70"/>
        <v>NC</v>
      </c>
      <c r="AI146" s="123">
        <f t="shared" ca="1" si="71"/>
        <v>-1362</v>
      </c>
      <c r="AJ146" s="123">
        <f t="shared" ca="1" si="72"/>
        <v>-1333</v>
      </c>
      <c r="AK146" s="123">
        <f t="shared" ca="1" si="73"/>
        <v>-1354</v>
      </c>
      <c r="AL146" s="138"/>
      <c r="AM146" s="151">
        <f t="shared" si="74"/>
        <v>1.8130147492907707E-2</v>
      </c>
      <c r="AN146" s="152"/>
      <c r="AP146" s="124" t="s">
        <v>470</v>
      </c>
      <c r="AQ146" s="141" t="s">
        <v>643</v>
      </c>
      <c r="AS146" s="143" t="s">
        <v>1243</v>
      </c>
      <c r="AT146" s="143" t="s">
        <v>1246</v>
      </c>
      <c r="AU146" s="143" t="s">
        <v>1245</v>
      </c>
    </row>
    <row r="147" spans="1:47" s="124" customFormat="1" ht="14.4" customHeight="1" x14ac:dyDescent="0.3">
      <c r="A147" s="121" t="s">
        <v>13</v>
      </c>
      <c r="B147" s="117" t="s">
        <v>1085</v>
      </c>
      <c r="C147" s="121" t="s">
        <v>530</v>
      </c>
      <c r="D147" s="123" t="s">
        <v>46</v>
      </c>
      <c r="E147" s="123"/>
      <c r="F147" s="117" t="s">
        <v>711</v>
      </c>
      <c r="G147" s="120" t="s">
        <v>483</v>
      </c>
      <c r="H147" s="156">
        <v>43830</v>
      </c>
      <c r="I147" s="153">
        <v>67563571</v>
      </c>
      <c r="J147" s="146">
        <v>2015</v>
      </c>
      <c r="K147" s="154">
        <v>43983</v>
      </c>
      <c r="L147" s="133">
        <v>43952</v>
      </c>
      <c r="M147" s="148"/>
      <c r="N147" s="149" t="s">
        <v>596</v>
      </c>
      <c r="O147" s="150">
        <v>4905</v>
      </c>
      <c r="P147" s="57">
        <v>43847</v>
      </c>
      <c r="Q147" s="57" t="s">
        <v>30</v>
      </c>
      <c r="R147" s="57" t="s">
        <v>30</v>
      </c>
      <c r="S147" s="34" t="s">
        <v>30</v>
      </c>
      <c r="T147" s="57">
        <v>43860</v>
      </c>
      <c r="U147" s="57">
        <v>43889</v>
      </c>
      <c r="V147" s="163">
        <v>43503</v>
      </c>
      <c r="W147" s="137">
        <f t="shared" si="75"/>
        <v>44212</v>
      </c>
      <c r="X147" s="57" t="str">
        <f t="shared" si="61"/>
        <v>NC</v>
      </c>
      <c r="Y147" s="57" t="str">
        <f t="shared" si="62"/>
        <v>NC</v>
      </c>
      <c r="Z147" s="57" t="str">
        <f t="shared" si="63"/>
        <v>NC</v>
      </c>
      <c r="AA147" s="57">
        <f t="shared" si="64"/>
        <v>44225</v>
      </c>
      <c r="AB147" s="57">
        <f t="shared" si="65"/>
        <v>44254</v>
      </c>
      <c r="AC147" s="57">
        <f t="shared" si="66"/>
        <v>44233</v>
      </c>
      <c r="AE147" s="123">
        <f t="shared" ca="1" si="67"/>
        <v>-1375</v>
      </c>
      <c r="AF147" s="123" t="str">
        <f t="shared" si="68"/>
        <v>NC</v>
      </c>
      <c r="AG147" s="123" t="str">
        <f t="shared" si="69"/>
        <v>NC</v>
      </c>
      <c r="AH147" s="123" t="str">
        <f t="shared" si="70"/>
        <v>NC</v>
      </c>
      <c r="AI147" s="123">
        <f t="shared" ca="1" si="71"/>
        <v>-1362</v>
      </c>
      <c r="AJ147" s="123">
        <f t="shared" ca="1" si="72"/>
        <v>-1333</v>
      </c>
      <c r="AK147" s="123">
        <f t="shared" ca="1" si="73"/>
        <v>-1354</v>
      </c>
      <c r="AL147" s="138"/>
      <c r="AM147" s="151">
        <f t="shared" si="74"/>
        <v>1.8130147492907707E-2</v>
      </c>
      <c r="AN147" s="152"/>
      <c r="AP147" s="124" t="s">
        <v>470</v>
      </c>
      <c r="AQ147" s="141" t="s">
        <v>643</v>
      </c>
      <c r="AR147" s="138"/>
      <c r="AS147" s="142" t="s">
        <v>1243</v>
      </c>
      <c r="AT147" s="143" t="s">
        <v>1246</v>
      </c>
      <c r="AU147" s="143" t="s">
        <v>1245</v>
      </c>
    </row>
    <row r="148" spans="1:47" s="124" customFormat="1" x14ac:dyDescent="0.3">
      <c r="A148" s="116" t="s">
        <v>378</v>
      </c>
      <c r="B148" s="117" t="s">
        <v>1086</v>
      </c>
      <c r="C148" s="117" t="s">
        <v>530</v>
      </c>
      <c r="D148" s="116" t="s">
        <v>145</v>
      </c>
      <c r="E148" s="116"/>
      <c r="F148" s="117" t="s">
        <v>647</v>
      </c>
      <c r="G148" s="120" t="s">
        <v>984</v>
      </c>
      <c r="H148" s="156">
        <v>43830</v>
      </c>
      <c r="I148" s="161">
        <v>99705464</v>
      </c>
      <c r="J148" s="146">
        <v>2018</v>
      </c>
      <c r="K148" s="132"/>
      <c r="L148" s="158">
        <v>44166</v>
      </c>
      <c r="M148" s="116"/>
      <c r="N148" s="135" t="s">
        <v>596</v>
      </c>
      <c r="O148" s="116"/>
      <c r="P148" s="57">
        <v>43795</v>
      </c>
      <c r="Q148" s="57">
        <v>43886</v>
      </c>
      <c r="R148" s="57" t="s">
        <v>30</v>
      </c>
      <c r="S148" s="34" t="s">
        <v>30</v>
      </c>
      <c r="T148" s="57">
        <v>43796</v>
      </c>
      <c r="U148" s="57">
        <v>43889</v>
      </c>
      <c r="V148" s="34">
        <v>43796</v>
      </c>
      <c r="W148" s="137">
        <f t="shared" si="75"/>
        <v>44160</v>
      </c>
      <c r="X148" s="57">
        <f t="shared" si="61"/>
        <v>44067</v>
      </c>
      <c r="Y148" s="57" t="str">
        <f t="shared" si="62"/>
        <v>NC</v>
      </c>
      <c r="Z148" s="57" t="str">
        <f t="shared" si="63"/>
        <v>NC</v>
      </c>
      <c r="AA148" s="57">
        <f t="shared" si="64"/>
        <v>44161</v>
      </c>
      <c r="AB148" s="57">
        <f t="shared" si="65"/>
        <v>44254</v>
      </c>
      <c r="AC148" s="57">
        <f t="shared" si="66"/>
        <v>44526</v>
      </c>
      <c r="AD148" s="138"/>
      <c r="AE148" s="123">
        <f t="shared" ca="1" si="67"/>
        <v>-1427</v>
      </c>
      <c r="AF148" s="123">
        <f t="shared" ca="1" si="68"/>
        <v>-1520</v>
      </c>
      <c r="AG148" s="123" t="str">
        <f t="shared" si="69"/>
        <v>NC</v>
      </c>
      <c r="AH148" s="123" t="str">
        <f t="shared" si="70"/>
        <v>NC</v>
      </c>
      <c r="AI148" s="123">
        <f t="shared" ca="1" si="71"/>
        <v>-1426</v>
      </c>
      <c r="AJ148" s="123">
        <f t="shared" ca="1" si="72"/>
        <v>-1333</v>
      </c>
      <c r="AK148" s="123">
        <f t="shared" ca="1" si="73"/>
        <v>-1061</v>
      </c>
      <c r="AL148" s="138"/>
      <c r="AM148" s="151">
        <f t="shared" si="74"/>
        <v>9.5308113159102842E-3</v>
      </c>
      <c r="AN148" s="138"/>
      <c r="AO148" s="138"/>
      <c r="AP148" s="138" t="s">
        <v>470</v>
      </c>
      <c r="AQ148" s="141" t="s">
        <v>643</v>
      </c>
      <c r="AS148" s="143" t="s">
        <v>1243</v>
      </c>
      <c r="AT148" s="143" t="s">
        <v>1246</v>
      </c>
      <c r="AU148" s="143" t="s">
        <v>1247</v>
      </c>
    </row>
    <row r="149" spans="1:47" s="124" customFormat="1" ht="14.4" customHeight="1" x14ac:dyDescent="0.3">
      <c r="A149" s="116" t="s">
        <v>727</v>
      </c>
      <c r="B149" s="117" t="s">
        <v>1085</v>
      </c>
      <c r="C149" s="117" t="s">
        <v>530</v>
      </c>
      <c r="D149" s="116" t="s">
        <v>145</v>
      </c>
      <c r="E149" s="116"/>
      <c r="F149" s="117" t="s">
        <v>731</v>
      </c>
      <c r="G149" s="120" t="s">
        <v>892</v>
      </c>
      <c r="H149" s="156">
        <v>43830</v>
      </c>
      <c r="I149" s="145">
        <v>67563571</v>
      </c>
      <c r="J149" s="120">
        <v>2013</v>
      </c>
      <c r="K149" s="132"/>
      <c r="L149" s="158">
        <v>44075</v>
      </c>
      <c r="M149" s="116"/>
      <c r="N149" s="135" t="s">
        <v>596</v>
      </c>
      <c r="O149" s="116"/>
      <c r="P149" s="57">
        <v>43796</v>
      </c>
      <c r="Q149" s="57" t="s">
        <v>30</v>
      </c>
      <c r="R149" s="57" t="s">
        <v>30</v>
      </c>
      <c r="S149" s="34" t="s">
        <v>30</v>
      </c>
      <c r="T149" s="57"/>
      <c r="U149" s="57"/>
      <c r="V149" s="34"/>
      <c r="W149" s="137">
        <f t="shared" si="75"/>
        <v>44161</v>
      </c>
      <c r="X149" s="57" t="str">
        <f t="shared" si="61"/>
        <v>NC</v>
      </c>
      <c r="Y149" s="57" t="str">
        <f t="shared" si="62"/>
        <v>NC</v>
      </c>
      <c r="Z149" s="57" t="str">
        <f t="shared" si="63"/>
        <v>NC</v>
      </c>
      <c r="AA149" s="57" t="str">
        <f t="shared" si="64"/>
        <v>erreur</v>
      </c>
      <c r="AB149" s="57" t="str">
        <f t="shared" si="65"/>
        <v>erreur</v>
      </c>
      <c r="AC149" s="57" t="str">
        <f t="shared" si="66"/>
        <v>erreur</v>
      </c>
      <c r="AD149" s="138"/>
      <c r="AE149" s="123">
        <f t="shared" ca="1" si="67"/>
        <v>-1426</v>
      </c>
      <c r="AF149" s="123" t="str">
        <f t="shared" si="68"/>
        <v>NC</v>
      </c>
      <c r="AG149" s="123" t="str">
        <f t="shared" si="69"/>
        <v>NC</v>
      </c>
      <c r="AH149" s="123" t="str">
        <f t="shared" si="70"/>
        <v>NC</v>
      </c>
      <c r="AI149" s="123" t="str">
        <f t="shared" si="71"/>
        <v>erreur</v>
      </c>
      <c r="AJ149" s="123" t="str">
        <f t="shared" si="72"/>
        <v>erreur</v>
      </c>
      <c r="AK149" s="123" t="str">
        <f t="shared" si="73"/>
        <v>erreur</v>
      </c>
      <c r="AL149" s="138"/>
      <c r="AM149" s="139">
        <f t="shared" si="74"/>
        <v>2.5911326674413024E-2</v>
      </c>
      <c r="AN149" s="138"/>
      <c r="AO149" s="138"/>
      <c r="AP149" s="138" t="s">
        <v>735</v>
      </c>
      <c r="AQ149" s="141" t="s">
        <v>643</v>
      </c>
      <c r="AR149" s="138"/>
      <c r="AS149" s="142" t="s">
        <v>1243</v>
      </c>
      <c r="AT149" s="143" t="s">
        <v>1246</v>
      </c>
      <c r="AU149" s="143" t="s">
        <v>1245</v>
      </c>
    </row>
    <row r="150" spans="1:47" s="124" customFormat="1" ht="14.4" customHeight="1" x14ac:dyDescent="0.3">
      <c r="A150" s="116" t="s">
        <v>728</v>
      </c>
      <c r="B150" s="117" t="s">
        <v>1085</v>
      </c>
      <c r="C150" s="117" t="s">
        <v>530</v>
      </c>
      <c r="D150" s="116" t="s">
        <v>145</v>
      </c>
      <c r="E150" s="116"/>
      <c r="F150" s="117" t="s">
        <v>732</v>
      </c>
      <c r="G150" s="120" t="s">
        <v>893</v>
      </c>
      <c r="H150" s="156">
        <v>43830</v>
      </c>
      <c r="I150" s="145">
        <v>67563571</v>
      </c>
      <c r="J150" s="120">
        <v>2013</v>
      </c>
      <c r="K150" s="132"/>
      <c r="L150" s="158">
        <v>43831</v>
      </c>
      <c r="M150" s="116"/>
      <c r="N150" s="135" t="s">
        <v>596</v>
      </c>
      <c r="O150" s="116"/>
      <c r="P150" s="57">
        <v>43819</v>
      </c>
      <c r="Q150" s="57" t="s">
        <v>30</v>
      </c>
      <c r="R150" s="57" t="s">
        <v>30</v>
      </c>
      <c r="S150" s="34" t="s">
        <v>30</v>
      </c>
      <c r="T150" s="57"/>
      <c r="U150" s="57"/>
      <c r="V150" s="34"/>
      <c r="W150" s="137">
        <f t="shared" si="75"/>
        <v>44184</v>
      </c>
      <c r="X150" s="57" t="str">
        <f t="shared" si="61"/>
        <v>NC</v>
      </c>
      <c r="Y150" s="57" t="str">
        <f t="shared" si="62"/>
        <v>NC</v>
      </c>
      <c r="Z150" s="57" t="str">
        <f t="shared" si="63"/>
        <v>NC</v>
      </c>
      <c r="AA150" s="57" t="str">
        <f t="shared" si="64"/>
        <v>erreur</v>
      </c>
      <c r="AB150" s="57" t="str">
        <f t="shared" si="65"/>
        <v>erreur</v>
      </c>
      <c r="AC150" s="57" t="str">
        <f t="shared" si="66"/>
        <v>erreur</v>
      </c>
      <c r="AD150" s="138"/>
      <c r="AE150" s="123">
        <f t="shared" ca="1" si="67"/>
        <v>-1403</v>
      </c>
      <c r="AF150" s="123" t="str">
        <f t="shared" si="68"/>
        <v>NC</v>
      </c>
      <c r="AG150" s="123" t="str">
        <f t="shared" si="69"/>
        <v>NC</v>
      </c>
      <c r="AH150" s="123" t="str">
        <f t="shared" si="70"/>
        <v>NC</v>
      </c>
      <c r="AI150" s="123" t="str">
        <f t="shared" si="71"/>
        <v>erreur</v>
      </c>
      <c r="AJ150" s="123" t="str">
        <f t="shared" si="72"/>
        <v>erreur</v>
      </c>
      <c r="AK150" s="123" t="str">
        <f t="shared" si="73"/>
        <v>erreur</v>
      </c>
      <c r="AL150" s="138"/>
      <c r="AM150" s="139">
        <f t="shared" si="74"/>
        <v>2.5911326674413024E-2</v>
      </c>
      <c r="AN150" s="138"/>
      <c r="AO150" s="138"/>
      <c r="AP150" s="138" t="s">
        <v>735</v>
      </c>
      <c r="AQ150" s="141" t="s">
        <v>643</v>
      </c>
      <c r="AR150" s="138"/>
      <c r="AS150" s="142" t="s">
        <v>1243</v>
      </c>
      <c r="AT150" s="143" t="s">
        <v>1246</v>
      </c>
      <c r="AU150" s="143" t="s">
        <v>1245</v>
      </c>
    </row>
    <row r="151" spans="1:47" s="124" customFormat="1" ht="14.4" customHeight="1" x14ac:dyDescent="0.3">
      <c r="A151" s="116" t="s">
        <v>729</v>
      </c>
      <c r="B151" s="116" t="s">
        <v>1087</v>
      </c>
      <c r="C151" s="117" t="s">
        <v>530</v>
      </c>
      <c r="D151" s="116" t="s">
        <v>145</v>
      </c>
      <c r="E151" s="116"/>
      <c r="F151" s="117" t="s">
        <v>733</v>
      </c>
      <c r="G151" s="120" t="s">
        <v>880</v>
      </c>
      <c r="H151" s="156">
        <v>43830</v>
      </c>
      <c r="I151" s="145">
        <v>67563571</v>
      </c>
      <c r="J151" s="120">
        <v>2017</v>
      </c>
      <c r="K151" s="132"/>
      <c r="L151" s="158">
        <v>44075</v>
      </c>
      <c r="M151" s="116"/>
      <c r="N151" s="135" t="s">
        <v>596</v>
      </c>
      <c r="O151" s="116"/>
      <c r="P151" s="57">
        <v>43790</v>
      </c>
      <c r="Q151" s="57" t="s">
        <v>30</v>
      </c>
      <c r="R151" s="57" t="s">
        <v>30</v>
      </c>
      <c r="S151" s="34" t="s">
        <v>30</v>
      </c>
      <c r="T151" s="57">
        <v>43795</v>
      </c>
      <c r="U151" s="57">
        <v>43889</v>
      </c>
      <c r="V151" s="34">
        <v>43795</v>
      </c>
      <c r="W151" s="137">
        <f t="shared" si="75"/>
        <v>44155</v>
      </c>
      <c r="X151" s="57" t="str">
        <f t="shared" si="61"/>
        <v>NC</v>
      </c>
      <c r="Y151" s="57" t="str">
        <f t="shared" si="62"/>
        <v>NC</v>
      </c>
      <c r="Z151" s="57" t="str">
        <f t="shared" si="63"/>
        <v>NC</v>
      </c>
      <c r="AA151" s="57">
        <f t="shared" si="64"/>
        <v>44160</v>
      </c>
      <c r="AB151" s="57">
        <f t="shared" si="65"/>
        <v>44254</v>
      </c>
      <c r="AC151" s="57">
        <f t="shared" si="66"/>
        <v>44525</v>
      </c>
      <c r="AD151" s="138"/>
      <c r="AE151" s="123">
        <f t="shared" ca="1" si="67"/>
        <v>-1432</v>
      </c>
      <c r="AF151" s="123" t="str">
        <f t="shared" si="68"/>
        <v>NC</v>
      </c>
      <c r="AG151" s="123" t="str">
        <f t="shared" si="69"/>
        <v>NC</v>
      </c>
      <c r="AH151" s="123" t="str">
        <f t="shared" si="70"/>
        <v>NC</v>
      </c>
      <c r="AI151" s="123">
        <f t="shared" ca="1" si="71"/>
        <v>-1427</v>
      </c>
      <c r="AJ151" s="123">
        <f t="shared" ca="1" si="72"/>
        <v>-1333</v>
      </c>
      <c r="AK151" s="123">
        <f t="shared" ca="1" si="73"/>
        <v>-1062</v>
      </c>
      <c r="AL151" s="138"/>
      <c r="AM151" s="139">
        <f t="shared" si="74"/>
        <v>1.0348968311402388E-2</v>
      </c>
      <c r="AN151" s="138"/>
      <c r="AO151" s="138"/>
      <c r="AP151" s="138" t="s">
        <v>735</v>
      </c>
      <c r="AQ151" s="141" t="s">
        <v>643</v>
      </c>
      <c r="AR151" s="138"/>
      <c r="AS151" s="142" t="s">
        <v>1243</v>
      </c>
      <c r="AT151" s="143" t="s">
        <v>1248</v>
      </c>
      <c r="AU151" s="143" t="s">
        <v>1245</v>
      </c>
    </row>
    <row r="152" spans="1:47" s="124" customFormat="1" ht="14.4" customHeight="1" x14ac:dyDescent="0.3">
      <c r="A152" s="121" t="s">
        <v>157</v>
      </c>
      <c r="B152" s="116" t="s">
        <v>1087</v>
      </c>
      <c r="C152" s="121" t="s">
        <v>530</v>
      </c>
      <c r="D152" s="123" t="s">
        <v>145</v>
      </c>
      <c r="E152" s="123"/>
      <c r="F152" s="117" t="s">
        <v>264</v>
      </c>
      <c r="G152" s="120" t="s">
        <v>705</v>
      </c>
      <c r="H152" s="144">
        <v>43830</v>
      </c>
      <c r="I152" s="153">
        <v>67563571</v>
      </c>
      <c r="J152" s="146">
        <v>2018</v>
      </c>
      <c r="K152" s="154">
        <v>44866</v>
      </c>
      <c r="L152" s="133">
        <v>44166</v>
      </c>
      <c r="M152" s="148"/>
      <c r="N152" s="149" t="s">
        <v>596</v>
      </c>
      <c r="O152" s="150">
        <v>879</v>
      </c>
      <c r="P152" s="57">
        <v>43566</v>
      </c>
      <c r="Q152" s="116" t="s">
        <v>30</v>
      </c>
      <c r="R152" s="116" t="s">
        <v>30</v>
      </c>
      <c r="S152" s="34" t="s">
        <v>30</v>
      </c>
      <c r="T152" s="57">
        <v>43570</v>
      </c>
      <c r="U152" s="57">
        <v>43889</v>
      </c>
      <c r="V152" s="163">
        <v>43572</v>
      </c>
      <c r="W152" s="137">
        <f t="shared" si="75"/>
        <v>43931</v>
      </c>
      <c r="X152" s="57" t="str">
        <f t="shared" si="61"/>
        <v>NC</v>
      </c>
      <c r="Y152" s="57" t="str">
        <f t="shared" si="62"/>
        <v>NC</v>
      </c>
      <c r="Z152" s="57" t="str">
        <f t="shared" si="63"/>
        <v>NC</v>
      </c>
      <c r="AA152" s="57">
        <f t="shared" si="64"/>
        <v>43935</v>
      </c>
      <c r="AB152" s="57">
        <f t="shared" si="65"/>
        <v>44254</v>
      </c>
      <c r="AC152" s="57">
        <f t="shared" si="66"/>
        <v>44302</v>
      </c>
      <c r="AE152" s="123">
        <f t="shared" ca="1" si="67"/>
        <v>-1656</v>
      </c>
      <c r="AF152" s="123" t="str">
        <f t="shared" si="68"/>
        <v>NC</v>
      </c>
      <c r="AG152" s="123" t="str">
        <f t="shared" si="69"/>
        <v>NC</v>
      </c>
      <c r="AH152" s="123" t="str">
        <f t="shared" si="70"/>
        <v>NC</v>
      </c>
      <c r="AI152" s="123">
        <f t="shared" ca="1" si="71"/>
        <v>-1652</v>
      </c>
      <c r="AJ152" s="123">
        <f t="shared" ca="1" si="72"/>
        <v>-1333</v>
      </c>
      <c r="AK152" s="123">
        <f t="shared" ca="1" si="73"/>
        <v>-1285</v>
      </c>
      <c r="AL152" s="138"/>
      <c r="AM152" s="151">
        <f t="shared" si="74"/>
        <v>6.4583787206497307E-3</v>
      </c>
      <c r="AN152" s="152"/>
      <c r="AP152" s="124" t="s">
        <v>470</v>
      </c>
      <c r="AQ152" s="141" t="s">
        <v>643</v>
      </c>
      <c r="AS152" s="143" t="s">
        <v>1243</v>
      </c>
      <c r="AT152" s="143" t="s">
        <v>1248</v>
      </c>
      <c r="AU152" s="143" t="s">
        <v>1245</v>
      </c>
    </row>
    <row r="153" spans="1:47" s="124" customFormat="1" ht="14.4" customHeight="1" x14ac:dyDescent="0.3">
      <c r="A153" s="121" t="s">
        <v>158</v>
      </c>
      <c r="B153" s="116" t="s">
        <v>1087</v>
      </c>
      <c r="C153" s="121" t="s">
        <v>530</v>
      </c>
      <c r="D153" s="123" t="s">
        <v>357</v>
      </c>
      <c r="E153" s="123"/>
      <c r="F153" s="117" t="s">
        <v>265</v>
      </c>
      <c r="G153" s="120" t="s">
        <v>703</v>
      </c>
      <c r="H153" s="144">
        <v>43830</v>
      </c>
      <c r="I153" s="153">
        <v>67563571</v>
      </c>
      <c r="J153" s="146">
        <v>2018</v>
      </c>
      <c r="K153" s="154">
        <v>44866</v>
      </c>
      <c r="L153" s="133">
        <v>43891</v>
      </c>
      <c r="M153" s="148"/>
      <c r="N153" s="149" t="s">
        <v>596</v>
      </c>
      <c r="O153" s="150">
        <v>910</v>
      </c>
      <c r="P153" s="57">
        <v>43566</v>
      </c>
      <c r="Q153" s="116" t="s">
        <v>30</v>
      </c>
      <c r="R153" s="116" t="s">
        <v>30</v>
      </c>
      <c r="S153" s="34" t="s">
        <v>30</v>
      </c>
      <c r="T153" s="57">
        <v>43570</v>
      </c>
      <c r="U153" s="57">
        <v>43889</v>
      </c>
      <c r="V153" s="163">
        <v>43573</v>
      </c>
      <c r="W153" s="137">
        <f t="shared" si="75"/>
        <v>43931</v>
      </c>
      <c r="X153" s="57" t="str">
        <f t="shared" si="61"/>
        <v>NC</v>
      </c>
      <c r="Y153" s="57" t="str">
        <f t="shared" si="62"/>
        <v>NC</v>
      </c>
      <c r="Z153" s="57" t="str">
        <f t="shared" si="63"/>
        <v>NC</v>
      </c>
      <c r="AA153" s="57">
        <f t="shared" si="64"/>
        <v>43935</v>
      </c>
      <c r="AB153" s="57">
        <f t="shared" si="65"/>
        <v>44254</v>
      </c>
      <c r="AC153" s="57">
        <f t="shared" si="66"/>
        <v>44303</v>
      </c>
      <c r="AE153" s="123">
        <f t="shared" ca="1" si="67"/>
        <v>-1656</v>
      </c>
      <c r="AF153" s="123" t="str">
        <f t="shared" si="68"/>
        <v>NC</v>
      </c>
      <c r="AG153" s="123" t="str">
        <f t="shared" si="69"/>
        <v>NC</v>
      </c>
      <c r="AH153" s="123" t="str">
        <f t="shared" si="70"/>
        <v>NC</v>
      </c>
      <c r="AI153" s="123">
        <f t="shared" ca="1" si="71"/>
        <v>-1652</v>
      </c>
      <c r="AJ153" s="123">
        <f t="shared" ca="1" si="72"/>
        <v>-1333</v>
      </c>
      <c r="AK153" s="123">
        <f t="shared" ca="1" si="73"/>
        <v>-1284</v>
      </c>
      <c r="AL153" s="138"/>
      <c r="AM153" s="151">
        <f t="shared" si="74"/>
        <v>6.4583787206497307E-3</v>
      </c>
      <c r="AN153" s="152"/>
      <c r="AP153" s="124" t="s">
        <v>470</v>
      </c>
      <c r="AQ153" s="141" t="s">
        <v>643</v>
      </c>
      <c r="AS153" s="143" t="s">
        <v>1243</v>
      </c>
      <c r="AT153" s="143" t="s">
        <v>1248</v>
      </c>
      <c r="AU153" s="143" t="s">
        <v>1245</v>
      </c>
    </row>
    <row r="154" spans="1:47" s="124" customFormat="1" ht="14.4" customHeight="1" x14ac:dyDescent="0.3">
      <c r="A154" s="121" t="s">
        <v>159</v>
      </c>
      <c r="B154" s="116" t="s">
        <v>1087</v>
      </c>
      <c r="C154" s="121" t="s">
        <v>530</v>
      </c>
      <c r="D154" s="123" t="s">
        <v>357</v>
      </c>
      <c r="E154" s="123"/>
      <c r="F154" s="117" t="s">
        <v>266</v>
      </c>
      <c r="G154" s="120" t="s">
        <v>704</v>
      </c>
      <c r="H154" s="144">
        <v>43830</v>
      </c>
      <c r="I154" s="153">
        <v>67563571</v>
      </c>
      <c r="J154" s="146">
        <v>2018</v>
      </c>
      <c r="K154" s="154">
        <v>44866</v>
      </c>
      <c r="L154" s="133">
        <v>43891</v>
      </c>
      <c r="M154" s="148"/>
      <c r="N154" s="149" t="s">
        <v>596</v>
      </c>
      <c r="O154" s="150">
        <v>827</v>
      </c>
      <c r="P154" s="57">
        <v>43566</v>
      </c>
      <c r="Q154" s="116" t="s">
        <v>30</v>
      </c>
      <c r="R154" s="116" t="s">
        <v>30</v>
      </c>
      <c r="S154" s="34" t="s">
        <v>30</v>
      </c>
      <c r="T154" s="57">
        <v>43570</v>
      </c>
      <c r="U154" s="57">
        <v>43889</v>
      </c>
      <c r="V154" s="166">
        <v>43572</v>
      </c>
      <c r="W154" s="137">
        <f t="shared" si="75"/>
        <v>43931</v>
      </c>
      <c r="X154" s="57" t="str">
        <f t="shared" si="61"/>
        <v>NC</v>
      </c>
      <c r="Y154" s="57" t="str">
        <f t="shared" si="62"/>
        <v>NC</v>
      </c>
      <c r="Z154" s="57" t="str">
        <f t="shared" si="63"/>
        <v>NC</v>
      </c>
      <c r="AA154" s="57">
        <f t="shared" si="64"/>
        <v>43935</v>
      </c>
      <c r="AB154" s="57">
        <f t="shared" si="65"/>
        <v>44254</v>
      </c>
      <c r="AC154" s="57">
        <f t="shared" si="66"/>
        <v>44302</v>
      </c>
      <c r="AE154" s="123">
        <f t="shared" ca="1" si="67"/>
        <v>-1656</v>
      </c>
      <c r="AF154" s="123" t="str">
        <f t="shared" si="68"/>
        <v>NC</v>
      </c>
      <c r="AG154" s="123" t="str">
        <f t="shared" si="69"/>
        <v>NC</v>
      </c>
      <c r="AH154" s="123" t="str">
        <f t="shared" si="70"/>
        <v>NC</v>
      </c>
      <c r="AI154" s="123">
        <f t="shared" ca="1" si="71"/>
        <v>-1652</v>
      </c>
      <c r="AJ154" s="123">
        <f t="shared" ca="1" si="72"/>
        <v>-1333</v>
      </c>
      <c r="AK154" s="123">
        <f t="shared" ca="1" si="73"/>
        <v>-1285</v>
      </c>
      <c r="AL154" s="138"/>
      <c r="AM154" s="151">
        <f t="shared" si="74"/>
        <v>6.4583787206497307E-3</v>
      </c>
      <c r="AN154" s="152"/>
      <c r="AP154" s="124" t="s">
        <v>470</v>
      </c>
      <c r="AQ154" s="141" t="s">
        <v>643</v>
      </c>
      <c r="AS154" s="143" t="s">
        <v>1243</v>
      </c>
      <c r="AT154" s="143" t="s">
        <v>1248</v>
      </c>
      <c r="AU154" s="143" t="s">
        <v>1245</v>
      </c>
    </row>
    <row r="155" spans="1:47" s="124" customFormat="1" ht="14.4" customHeight="1" x14ac:dyDescent="0.3">
      <c r="A155" s="121" t="s">
        <v>42</v>
      </c>
      <c r="B155" s="117" t="s">
        <v>1088</v>
      </c>
      <c r="C155" s="121" t="s">
        <v>531</v>
      </c>
      <c r="D155" s="123" t="s">
        <v>357</v>
      </c>
      <c r="E155" s="123"/>
      <c r="F155" s="117" t="s">
        <v>268</v>
      </c>
      <c r="G155" s="99" t="s">
        <v>458</v>
      </c>
      <c r="H155" s="144">
        <v>43830</v>
      </c>
      <c r="I155" s="153">
        <v>99705464</v>
      </c>
      <c r="J155" s="146">
        <v>2005</v>
      </c>
      <c r="K155" s="147" t="s">
        <v>609</v>
      </c>
      <c r="L155" s="133">
        <v>43891</v>
      </c>
      <c r="M155" s="148"/>
      <c r="N155" s="149" t="s">
        <v>596</v>
      </c>
      <c r="O155" s="150"/>
      <c r="P155" s="57">
        <v>43698</v>
      </c>
      <c r="Q155" s="57">
        <v>43860</v>
      </c>
      <c r="R155" s="57" t="s">
        <v>30</v>
      </c>
      <c r="S155" s="34" t="s">
        <v>30</v>
      </c>
      <c r="T155" s="57">
        <v>43860</v>
      </c>
      <c r="U155" s="57">
        <v>43889</v>
      </c>
      <c r="V155" s="163">
        <v>43444</v>
      </c>
      <c r="W155" s="137">
        <f t="shared" si="75"/>
        <v>44063</v>
      </c>
      <c r="X155" s="57">
        <f t="shared" si="61"/>
        <v>44041</v>
      </c>
      <c r="Y155" s="57" t="str">
        <f t="shared" si="62"/>
        <v>NC</v>
      </c>
      <c r="Z155" s="57" t="str">
        <f t="shared" si="63"/>
        <v>NC</v>
      </c>
      <c r="AA155" s="57">
        <f t="shared" si="64"/>
        <v>44225</v>
      </c>
      <c r="AB155" s="57">
        <f t="shared" si="65"/>
        <v>44254</v>
      </c>
      <c r="AC155" s="57">
        <f t="shared" si="66"/>
        <v>44174</v>
      </c>
      <c r="AE155" s="123">
        <f t="shared" ca="1" si="67"/>
        <v>-1524</v>
      </c>
      <c r="AF155" s="123">
        <f t="shared" ca="1" si="68"/>
        <v>-1546</v>
      </c>
      <c r="AG155" s="123" t="str">
        <f t="shared" si="69"/>
        <v>NC</v>
      </c>
      <c r="AH155" s="123" t="str">
        <f t="shared" si="70"/>
        <v>NC</v>
      </c>
      <c r="AI155" s="123">
        <f t="shared" ca="1" si="71"/>
        <v>-1362</v>
      </c>
      <c r="AJ155" s="123">
        <f t="shared" ca="1" si="72"/>
        <v>-1333</v>
      </c>
      <c r="AK155" s="123">
        <f t="shared" ca="1" si="73"/>
        <v>-1413</v>
      </c>
      <c r="AL155" s="138"/>
      <c r="AM155" s="151">
        <f t="shared" si="74"/>
        <v>8.4169695115203988E-2</v>
      </c>
      <c r="AN155" s="152"/>
      <c r="AP155" s="124" t="s">
        <v>470</v>
      </c>
      <c r="AQ155" s="141" t="s">
        <v>643</v>
      </c>
      <c r="AS155" s="143" t="s">
        <v>1243</v>
      </c>
      <c r="AT155" s="143" t="s">
        <v>1249</v>
      </c>
      <c r="AU155" s="143" t="s">
        <v>1247</v>
      </c>
    </row>
    <row r="156" spans="1:47" s="124" customFormat="1" ht="14.4" customHeight="1" x14ac:dyDescent="0.3">
      <c r="A156" s="26" t="s">
        <v>200</v>
      </c>
      <c r="B156" s="26" t="s">
        <v>1508</v>
      </c>
      <c r="C156" s="121" t="s">
        <v>531</v>
      </c>
      <c r="D156" s="116" t="s">
        <v>46</v>
      </c>
      <c r="E156" s="116"/>
      <c r="F156" s="117" t="s">
        <v>347</v>
      </c>
      <c r="G156" s="120" t="s">
        <v>887</v>
      </c>
      <c r="H156" s="144">
        <v>43830</v>
      </c>
      <c r="I156" s="130">
        <v>67563571</v>
      </c>
      <c r="J156" s="131">
        <v>2012</v>
      </c>
      <c r="K156" s="147" t="s">
        <v>609</v>
      </c>
      <c r="L156" s="133">
        <v>43952</v>
      </c>
      <c r="M156" s="134"/>
      <c r="N156" s="149" t="s">
        <v>596</v>
      </c>
      <c r="O156" s="136">
        <v>4553</v>
      </c>
      <c r="P156" s="57">
        <v>43801</v>
      </c>
      <c r="Q156" s="116" t="s">
        <v>30</v>
      </c>
      <c r="R156" s="57" t="s">
        <v>30</v>
      </c>
      <c r="S156" s="34" t="s">
        <v>30</v>
      </c>
      <c r="T156" s="57">
        <v>43804</v>
      </c>
      <c r="U156" s="57">
        <v>43889</v>
      </c>
      <c r="V156" s="57">
        <v>43804</v>
      </c>
      <c r="W156" s="137">
        <f t="shared" si="75"/>
        <v>44166</v>
      </c>
      <c r="X156" s="57" t="str">
        <f t="shared" si="61"/>
        <v>NC</v>
      </c>
      <c r="Y156" s="57" t="str">
        <f t="shared" si="62"/>
        <v>NC</v>
      </c>
      <c r="Z156" s="57" t="str">
        <f t="shared" si="63"/>
        <v>NC</v>
      </c>
      <c r="AA156" s="57">
        <f t="shared" si="64"/>
        <v>44169</v>
      </c>
      <c r="AB156" s="57">
        <f t="shared" si="65"/>
        <v>44254</v>
      </c>
      <c r="AC156" s="57">
        <f t="shared" si="66"/>
        <v>44534</v>
      </c>
      <c r="AE156" s="123">
        <f t="shared" ca="1" si="67"/>
        <v>-1421</v>
      </c>
      <c r="AF156" s="123" t="str">
        <f t="shared" si="68"/>
        <v>NC</v>
      </c>
      <c r="AG156" s="123" t="str">
        <f t="shared" si="69"/>
        <v>NC</v>
      </c>
      <c r="AH156" s="123" t="str">
        <f t="shared" si="70"/>
        <v>NC</v>
      </c>
      <c r="AI156" s="123">
        <f t="shared" ca="1" si="71"/>
        <v>-1418</v>
      </c>
      <c r="AJ156" s="123">
        <f t="shared" ca="1" si="72"/>
        <v>-1333</v>
      </c>
      <c r="AK156" s="123">
        <f t="shared" ca="1" si="73"/>
        <v>-1053</v>
      </c>
      <c r="AL156" s="138"/>
      <c r="AM156" s="151">
        <f t="shared" si="74"/>
        <v>2.9801916265165682E-2</v>
      </c>
      <c r="AN156" s="140"/>
      <c r="AP156" s="124" t="s">
        <v>470</v>
      </c>
      <c r="AQ156" s="141" t="s">
        <v>643</v>
      </c>
      <c r="AS156" s="143" t="s">
        <v>1243</v>
      </c>
      <c r="AT156" s="143" t="s">
        <v>1246</v>
      </c>
      <c r="AU156" s="143" t="s">
        <v>1245</v>
      </c>
    </row>
    <row r="157" spans="1:47" s="124" customFormat="1" ht="14.4" customHeight="1" x14ac:dyDescent="0.3">
      <c r="A157" s="116" t="s">
        <v>730</v>
      </c>
      <c r="B157" s="117" t="s">
        <v>1085</v>
      </c>
      <c r="C157" s="117" t="s">
        <v>531</v>
      </c>
      <c r="D157" s="116" t="s">
        <v>145</v>
      </c>
      <c r="E157" s="116"/>
      <c r="F157" s="117" t="s">
        <v>734</v>
      </c>
      <c r="G157" s="120" t="s">
        <v>882</v>
      </c>
      <c r="H157" s="156">
        <v>43830</v>
      </c>
      <c r="I157" s="145">
        <v>67563571</v>
      </c>
      <c r="J157" s="120">
        <v>2012</v>
      </c>
      <c r="K157" s="132"/>
      <c r="L157" s="158">
        <v>43831</v>
      </c>
      <c r="M157" s="116"/>
      <c r="N157" s="135" t="s">
        <v>596</v>
      </c>
      <c r="O157" s="116"/>
      <c r="P157" s="57"/>
      <c r="Q157" s="57" t="s">
        <v>30</v>
      </c>
      <c r="R157" s="57" t="s">
        <v>30</v>
      </c>
      <c r="S157" s="34" t="s">
        <v>30</v>
      </c>
      <c r="T157" s="57"/>
      <c r="U157" s="57"/>
      <c r="V157" s="34"/>
      <c r="W157" s="137" t="str">
        <f t="shared" si="75"/>
        <v>erreur</v>
      </c>
      <c r="X157" s="57" t="str">
        <f t="shared" si="61"/>
        <v>NC</v>
      </c>
      <c r="Y157" s="57" t="str">
        <f t="shared" si="62"/>
        <v>NC</v>
      </c>
      <c r="Z157" s="57" t="str">
        <f t="shared" si="63"/>
        <v>NC</v>
      </c>
      <c r="AA157" s="57" t="str">
        <f t="shared" si="64"/>
        <v>erreur</v>
      </c>
      <c r="AB157" s="57" t="str">
        <f t="shared" si="65"/>
        <v>erreur</v>
      </c>
      <c r="AC157" s="57" t="str">
        <f t="shared" si="66"/>
        <v>erreur</v>
      </c>
      <c r="AD157" s="138"/>
      <c r="AE157" s="123" t="str">
        <f t="shared" si="67"/>
        <v>erreur</v>
      </c>
      <c r="AF157" s="123" t="str">
        <f t="shared" si="68"/>
        <v>NC</v>
      </c>
      <c r="AG157" s="123" t="str">
        <f t="shared" si="69"/>
        <v>NC</v>
      </c>
      <c r="AH157" s="123" t="str">
        <f t="shared" si="70"/>
        <v>NC</v>
      </c>
      <c r="AI157" s="123" t="str">
        <f t="shared" si="71"/>
        <v>erreur</v>
      </c>
      <c r="AJ157" s="123" t="str">
        <f t="shared" si="72"/>
        <v>erreur</v>
      </c>
      <c r="AK157" s="123" t="str">
        <f t="shared" si="73"/>
        <v>erreur</v>
      </c>
      <c r="AL157" s="138"/>
      <c r="AM157" s="139">
        <f t="shared" si="74"/>
        <v>2.9801916265165682E-2</v>
      </c>
      <c r="AN157" s="138"/>
      <c r="AO157" s="138"/>
      <c r="AP157" s="138" t="s">
        <v>735</v>
      </c>
      <c r="AQ157" s="141" t="s">
        <v>643</v>
      </c>
      <c r="AR157" s="138"/>
      <c r="AS157" s="142" t="s">
        <v>1243</v>
      </c>
      <c r="AT157" s="143" t="s">
        <v>1246</v>
      </c>
      <c r="AU157" s="143" t="s">
        <v>1245</v>
      </c>
    </row>
    <row r="158" spans="1:47" s="138" customFormat="1" ht="14.4" customHeight="1" x14ac:dyDescent="0.3">
      <c r="A158" s="125" t="s">
        <v>14</v>
      </c>
      <c r="B158" s="117" t="s">
        <v>1509</v>
      </c>
      <c r="C158" s="121" t="s">
        <v>531</v>
      </c>
      <c r="D158" s="116" t="s">
        <v>46</v>
      </c>
      <c r="E158" s="116"/>
      <c r="F158" s="117" t="s">
        <v>267</v>
      </c>
      <c r="G158" s="120" t="s">
        <v>881</v>
      </c>
      <c r="H158" s="156">
        <v>43830</v>
      </c>
      <c r="I158" s="153">
        <v>67563571</v>
      </c>
      <c r="J158" s="146">
        <v>2014</v>
      </c>
      <c r="K158" s="154">
        <v>43497</v>
      </c>
      <c r="L158" s="133">
        <v>43862</v>
      </c>
      <c r="M158" s="148"/>
      <c r="N158" s="149" t="s">
        <v>596</v>
      </c>
      <c r="O158" s="150">
        <v>3960</v>
      </c>
      <c r="P158" s="57">
        <v>43801</v>
      </c>
      <c r="Q158" s="57" t="s">
        <v>30</v>
      </c>
      <c r="R158" s="57" t="s">
        <v>30</v>
      </c>
      <c r="S158" s="34" t="s">
        <v>30</v>
      </c>
      <c r="T158" s="57">
        <v>43804</v>
      </c>
      <c r="U158" s="57">
        <v>43889</v>
      </c>
      <c r="V158" s="34">
        <v>43804</v>
      </c>
      <c r="W158" s="137">
        <f t="shared" si="75"/>
        <v>44166</v>
      </c>
      <c r="X158" s="57" t="str">
        <f t="shared" si="61"/>
        <v>NC</v>
      </c>
      <c r="Y158" s="57" t="str">
        <f t="shared" si="62"/>
        <v>NC</v>
      </c>
      <c r="Z158" s="57" t="str">
        <f t="shared" si="63"/>
        <v>NC</v>
      </c>
      <c r="AA158" s="57">
        <f t="shared" si="64"/>
        <v>44169</v>
      </c>
      <c r="AB158" s="57">
        <f t="shared" si="65"/>
        <v>44254</v>
      </c>
      <c r="AC158" s="57">
        <f t="shared" si="66"/>
        <v>44534</v>
      </c>
      <c r="AD158" s="124"/>
      <c r="AE158" s="123">
        <f t="shared" ca="1" si="67"/>
        <v>-1421</v>
      </c>
      <c r="AF158" s="123" t="str">
        <f t="shared" si="68"/>
        <v>NC</v>
      </c>
      <c r="AG158" s="123" t="str">
        <f t="shared" si="69"/>
        <v>NC</v>
      </c>
      <c r="AH158" s="123" t="str">
        <f t="shared" si="70"/>
        <v>NC</v>
      </c>
      <c r="AI158" s="123">
        <f t="shared" ca="1" si="71"/>
        <v>-1418</v>
      </c>
      <c r="AJ158" s="123">
        <f t="shared" ca="1" si="72"/>
        <v>-1333</v>
      </c>
      <c r="AK158" s="123">
        <f t="shared" ca="1" si="73"/>
        <v>-1053</v>
      </c>
      <c r="AM158" s="151">
        <f t="shared" si="74"/>
        <v>2.2020737083660365E-2</v>
      </c>
      <c r="AN158" s="152"/>
      <c r="AO158" s="124"/>
      <c r="AP158" s="124" t="s">
        <v>470</v>
      </c>
      <c r="AQ158" s="141" t="s">
        <v>643</v>
      </c>
      <c r="AR158" s="124"/>
      <c r="AS158" s="143" t="s">
        <v>1243</v>
      </c>
      <c r="AT158" s="143" t="s">
        <v>1246</v>
      </c>
      <c r="AU158" s="143" t="s">
        <v>1245</v>
      </c>
    </row>
    <row r="159" spans="1:47" s="138" customFormat="1" ht="14.4" customHeight="1" x14ac:dyDescent="0.3">
      <c r="A159" s="117" t="s">
        <v>15</v>
      </c>
      <c r="B159" s="117" t="s">
        <v>1089</v>
      </c>
      <c r="C159" s="121" t="s">
        <v>531</v>
      </c>
      <c r="D159" s="123" t="s">
        <v>46</v>
      </c>
      <c r="E159" s="123"/>
      <c r="F159" s="117" t="s">
        <v>269</v>
      </c>
      <c r="G159" s="120" t="s">
        <v>484</v>
      </c>
      <c r="H159" s="156">
        <v>43830</v>
      </c>
      <c r="I159" s="153">
        <v>99705464</v>
      </c>
      <c r="J159" s="146">
        <v>2014</v>
      </c>
      <c r="K159" s="154">
        <v>43617</v>
      </c>
      <c r="L159" s="133">
        <v>43952</v>
      </c>
      <c r="M159" s="148"/>
      <c r="N159" s="149" t="s">
        <v>596</v>
      </c>
      <c r="O159" s="150">
        <v>5373</v>
      </c>
      <c r="P159" s="57">
        <v>43858</v>
      </c>
      <c r="Q159" s="57">
        <v>43818</v>
      </c>
      <c r="R159" s="57" t="s">
        <v>30</v>
      </c>
      <c r="S159" s="34" t="s">
        <v>30</v>
      </c>
      <c r="T159" s="57">
        <v>43860</v>
      </c>
      <c r="U159" s="57">
        <v>43889</v>
      </c>
      <c r="V159" s="163">
        <v>43503</v>
      </c>
      <c r="W159" s="137">
        <f t="shared" si="75"/>
        <v>44223</v>
      </c>
      <c r="X159" s="57">
        <f t="shared" si="61"/>
        <v>43999</v>
      </c>
      <c r="Y159" s="57" t="str">
        <f t="shared" si="62"/>
        <v>NC</v>
      </c>
      <c r="Z159" s="57" t="str">
        <f t="shared" si="63"/>
        <v>NC</v>
      </c>
      <c r="AA159" s="57">
        <f t="shared" si="64"/>
        <v>44225</v>
      </c>
      <c r="AB159" s="57">
        <f t="shared" si="65"/>
        <v>44254</v>
      </c>
      <c r="AC159" s="57">
        <f t="shared" si="66"/>
        <v>44233</v>
      </c>
      <c r="AD159" s="124"/>
      <c r="AE159" s="123">
        <f t="shared" ca="1" si="67"/>
        <v>-1364</v>
      </c>
      <c r="AF159" s="123">
        <f t="shared" ca="1" si="68"/>
        <v>-1588</v>
      </c>
      <c r="AG159" s="123" t="str">
        <f t="shared" si="69"/>
        <v>NC</v>
      </c>
      <c r="AH159" s="123" t="str">
        <f t="shared" si="70"/>
        <v>NC</v>
      </c>
      <c r="AI159" s="123">
        <f t="shared" ca="1" si="71"/>
        <v>-1362</v>
      </c>
      <c r="AJ159" s="123">
        <f t="shared" ca="1" si="72"/>
        <v>-1333</v>
      </c>
      <c r="AK159" s="123">
        <f t="shared" ca="1" si="73"/>
        <v>-1354</v>
      </c>
      <c r="AM159" s="151">
        <f t="shared" si="74"/>
        <v>3.249662171569296E-2</v>
      </c>
      <c r="AN159" s="152"/>
      <c r="AO159" s="124" t="s">
        <v>395</v>
      </c>
      <c r="AP159" s="124" t="s">
        <v>470</v>
      </c>
      <c r="AQ159" s="141" t="s">
        <v>643</v>
      </c>
      <c r="AR159" s="124"/>
      <c r="AS159" s="143" t="s">
        <v>1243</v>
      </c>
      <c r="AT159" s="143" t="s">
        <v>1246</v>
      </c>
      <c r="AU159" s="143" t="s">
        <v>1247</v>
      </c>
    </row>
    <row r="160" spans="1:47" s="138" customFormat="1" ht="14.4" customHeight="1" x14ac:dyDescent="0.3">
      <c r="A160" s="121" t="s">
        <v>91</v>
      </c>
      <c r="B160" s="116" t="s">
        <v>1087</v>
      </c>
      <c r="C160" s="121" t="s">
        <v>532</v>
      </c>
      <c r="D160" s="123" t="s">
        <v>46</v>
      </c>
      <c r="E160" s="123"/>
      <c r="F160" s="117" t="s">
        <v>270</v>
      </c>
      <c r="G160" s="120" t="s">
        <v>350</v>
      </c>
      <c r="H160" s="144">
        <v>43830</v>
      </c>
      <c r="I160" s="145">
        <v>67563571</v>
      </c>
      <c r="J160" s="146">
        <v>2018</v>
      </c>
      <c r="K160" s="154">
        <v>44774</v>
      </c>
      <c r="L160" s="133">
        <v>43952</v>
      </c>
      <c r="M160" s="148"/>
      <c r="N160" s="149" t="s">
        <v>596</v>
      </c>
      <c r="O160" s="150">
        <v>113</v>
      </c>
      <c r="P160" s="57">
        <v>43811</v>
      </c>
      <c r="Q160" s="116" t="s">
        <v>30</v>
      </c>
      <c r="R160" s="57" t="s">
        <v>30</v>
      </c>
      <c r="S160" s="34" t="s">
        <v>30</v>
      </c>
      <c r="T160" s="57">
        <v>43860</v>
      </c>
      <c r="U160" s="57">
        <v>43889</v>
      </c>
      <c r="V160" s="163">
        <v>43458</v>
      </c>
      <c r="W160" s="137">
        <f t="shared" si="75"/>
        <v>44176</v>
      </c>
      <c r="X160" s="57" t="str">
        <f t="shared" si="61"/>
        <v>NC</v>
      </c>
      <c r="Y160" s="57" t="str">
        <f t="shared" si="62"/>
        <v>NC</v>
      </c>
      <c r="Z160" s="57" t="str">
        <f t="shared" si="63"/>
        <v>NC</v>
      </c>
      <c r="AA160" s="57">
        <f t="shared" si="64"/>
        <v>44225</v>
      </c>
      <c r="AB160" s="57">
        <f t="shared" si="65"/>
        <v>44254</v>
      </c>
      <c r="AC160" s="57">
        <f t="shared" si="66"/>
        <v>44188</v>
      </c>
      <c r="AD160" s="124"/>
      <c r="AE160" s="123">
        <f t="shared" ca="1" si="67"/>
        <v>-1411</v>
      </c>
      <c r="AF160" s="123" t="str">
        <f t="shared" si="68"/>
        <v>NC</v>
      </c>
      <c r="AG160" s="123" t="str">
        <f t="shared" si="69"/>
        <v>NC</v>
      </c>
      <c r="AH160" s="123" t="str">
        <f t="shared" si="70"/>
        <v>NC</v>
      </c>
      <c r="AI160" s="123">
        <f t="shared" ca="1" si="71"/>
        <v>-1362</v>
      </c>
      <c r="AJ160" s="123">
        <f t="shared" ca="1" si="72"/>
        <v>-1333</v>
      </c>
      <c r="AK160" s="123">
        <f t="shared" ca="1" si="73"/>
        <v>-1399</v>
      </c>
      <c r="AM160" s="151">
        <f t="shared" si="74"/>
        <v>6.4583787206497307E-3</v>
      </c>
      <c r="AN160" s="152"/>
      <c r="AO160" s="124"/>
      <c r="AP160" s="124" t="s">
        <v>470</v>
      </c>
      <c r="AQ160" s="141" t="s">
        <v>643</v>
      </c>
      <c r="AR160" s="124"/>
      <c r="AS160" s="143" t="s">
        <v>1243</v>
      </c>
      <c r="AT160" s="143" t="s">
        <v>1248</v>
      </c>
      <c r="AU160" s="143" t="s">
        <v>1245</v>
      </c>
    </row>
    <row r="161" spans="1:47" s="138" customFormat="1" ht="14.4" customHeight="1" x14ac:dyDescent="0.3">
      <c r="A161" s="121" t="s">
        <v>92</v>
      </c>
      <c r="B161" s="116" t="s">
        <v>1087</v>
      </c>
      <c r="C161" s="121" t="s">
        <v>532</v>
      </c>
      <c r="D161" s="123" t="s">
        <v>46</v>
      </c>
      <c r="E161" s="123"/>
      <c r="F161" s="117" t="s">
        <v>271</v>
      </c>
      <c r="G161" s="120" t="s">
        <v>353</v>
      </c>
      <c r="H161" s="144">
        <v>43830</v>
      </c>
      <c r="I161" s="145">
        <v>67563571</v>
      </c>
      <c r="J161" s="146">
        <v>2018</v>
      </c>
      <c r="K161" s="154">
        <v>44774</v>
      </c>
      <c r="L161" s="133">
        <v>43952</v>
      </c>
      <c r="M161" s="148"/>
      <c r="N161" s="149" t="s">
        <v>596</v>
      </c>
      <c r="O161" s="150">
        <v>103</v>
      </c>
      <c r="P161" s="57">
        <v>43811</v>
      </c>
      <c r="Q161" s="116" t="s">
        <v>30</v>
      </c>
      <c r="R161" s="57" t="s">
        <v>30</v>
      </c>
      <c r="S161" s="34" t="s">
        <v>30</v>
      </c>
      <c r="T161" s="57">
        <v>43836</v>
      </c>
      <c r="U161" s="57">
        <v>43889</v>
      </c>
      <c r="V161" s="163">
        <v>43458</v>
      </c>
      <c r="W161" s="137">
        <f t="shared" si="75"/>
        <v>44176</v>
      </c>
      <c r="X161" s="57" t="str">
        <f t="shared" si="61"/>
        <v>NC</v>
      </c>
      <c r="Y161" s="57" t="str">
        <f t="shared" si="62"/>
        <v>NC</v>
      </c>
      <c r="Z161" s="57" t="str">
        <f t="shared" si="63"/>
        <v>NC</v>
      </c>
      <c r="AA161" s="57">
        <f t="shared" si="64"/>
        <v>44201</v>
      </c>
      <c r="AB161" s="57">
        <f t="shared" si="65"/>
        <v>44254</v>
      </c>
      <c r="AC161" s="57">
        <f t="shared" si="66"/>
        <v>44188</v>
      </c>
      <c r="AD161" s="124"/>
      <c r="AE161" s="123">
        <f t="shared" ca="1" si="67"/>
        <v>-1411</v>
      </c>
      <c r="AF161" s="123" t="str">
        <f t="shared" si="68"/>
        <v>NC</v>
      </c>
      <c r="AG161" s="123" t="str">
        <f t="shared" si="69"/>
        <v>NC</v>
      </c>
      <c r="AH161" s="123" t="str">
        <f t="shared" si="70"/>
        <v>NC</v>
      </c>
      <c r="AI161" s="123">
        <f t="shared" ca="1" si="71"/>
        <v>-1386</v>
      </c>
      <c r="AJ161" s="123">
        <f t="shared" ca="1" si="72"/>
        <v>-1333</v>
      </c>
      <c r="AK161" s="123">
        <f t="shared" ca="1" si="73"/>
        <v>-1399</v>
      </c>
      <c r="AM161" s="151">
        <f t="shared" si="74"/>
        <v>6.4583787206497307E-3</v>
      </c>
      <c r="AN161" s="152"/>
      <c r="AO161" s="124"/>
      <c r="AP161" s="124" t="s">
        <v>470</v>
      </c>
      <c r="AQ161" s="141" t="s">
        <v>643</v>
      </c>
      <c r="AR161" s="124"/>
      <c r="AS161" s="143" t="s">
        <v>1243</v>
      </c>
      <c r="AT161" s="143" t="s">
        <v>1248</v>
      </c>
      <c r="AU161" s="143" t="s">
        <v>1245</v>
      </c>
    </row>
    <row r="162" spans="1:47" s="124" customFormat="1" ht="14.4" customHeight="1" x14ac:dyDescent="0.3">
      <c r="A162" s="121" t="s">
        <v>93</v>
      </c>
      <c r="B162" s="116" t="s">
        <v>1087</v>
      </c>
      <c r="C162" s="121" t="s">
        <v>532</v>
      </c>
      <c r="D162" s="123" t="s">
        <v>46</v>
      </c>
      <c r="E162" s="123"/>
      <c r="F162" s="117" t="s">
        <v>272</v>
      </c>
      <c r="G162" s="120" t="s">
        <v>349</v>
      </c>
      <c r="H162" s="144">
        <v>43830</v>
      </c>
      <c r="I162" s="145">
        <v>67563571</v>
      </c>
      <c r="J162" s="146">
        <v>2018</v>
      </c>
      <c r="K162" s="154">
        <v>44774</v>
      </c>
      <c r="L162" s="133">
        <v>43952</v>
      </c>
      <c r="M162" s="148"/>
      <c r="N162" s="149" t="s">
        <v>596</v>
      </c>
      <c r="O162" s="150">
        <v>121</v>
      </c>
      <c r="P162" s="57">
        <v>43811</v>
      </c>
      <c r="Q162" s="116" t="s">
        <v>30</v>
      </c>
      <c r="R162" s="57" t="s">
        <v>30</v>
      </c>
      <c r="S162" s="34" t="s">
        <v>30</v>
      </c>
      <c r="T162" s="57">
        <v>43836</v>
      </c>
      <c r="U162" s="57">
        <v>43889</v>
      </c>
      <c r="V162" s="163">
        <v>43458</v>
      </c>
      <c r="W162" s="137">
        <f t="shared" si="75"/>
        <v>44176</v>
      </c>
      <c r="X162" s="57" t="str">
        <f t="shared" si="61"/>
        <v>NC</v>
      </c>
      <c r="Y162" s="57" t="str">
        <f t="shared" si="62"/>
        <v>NC</v>
      </c>
      <c r="Z162" s="57" t="str">
        <f t="shared" si="63"/>
        <v>NC</v>
      </c>
      <c r="AA162" s="57">
        <f t="shared" si="64"/>
        <v>44201</v>
      </c>
      <c r="AB162" s="57">
        <f t="shared" si="65"/>
        <v>44254</v>
      </c>
      <c r="AC162" s="57">
        <f t="shared" si="66"/>
        <v>44188</v>
      </c>
      <c r="AE162" s="123">
        <f t="shared" ca="1" si="67"/>
        <v>-1411</v>
      </c>
      <c r="AF162" s="123" t="str">
        <f t="shared" si="68"/>
        <v>NC</v>
      </c>
      <c r="AG162" s="123" t="str">
        <f t="shared" si="69"/>
        <v>NC</v>
      </c>
      <c r="AH162" s="123" t="str">
        <f t="shared" si="70"/>
        <v>NC</v>
      </c>
      <c r="AI162" s="123">
        <f t="shared" ca="1" si="71"/>
        <v>-1386</v>
      </c>
      <c r="AJ162" s="123">
        <f t="shared" ca="1" si="72"/>
        <v>-1333</v>
      </c>
      <c r="AK162" s="123">
        <f t="shared" ca="1" si="73"/>
        <v>-1399</v>
      </c>
      <c r="AL162" s="138"/>
      <c r="AM162" s="151">
        <f t="shared" si="74"/>
        <v>6.4583787206497307E-3</v>
      </c>
      <c r="AN162" s="152"/>
      <c r="AP162" s="124" t="s">
        <v>470</v>
      </c>
      <c r="AQ162" s="141" t="s">
        <v>643</v>
      </c>
      <c r="AS162" s="143" t="s">
        <v>1243</v>
      </c>
      <c r="AT162" s="143" t="s">
        <v>1248</v>
      </c>
      <c r="AU162" s="143" t="s">
        <v>1245</v>
      </c>
    </row>
    <row r="163" spans="1:47" s="124" customFormat="1" ht="14.4" customHeight="1" x14ac:dyDescent="0.3">
      <c r="A163" s="121" t="s">
        <v>94</v>
      </c>
      <c r="B163" s="116" t="s">
        <v>1087</v>
      </c>
      <c r="C163" s="121" t="s">
        <v>532</v>
      </c>
      <c r="D163" s="123" t="s">
        <v>46</v>
      </c>
      <c r="E163" s="123"/>
      <c r="F163" s="117" t="s">
        <v>273</v>
      </c>
      <c r="G163" s="167" t="s">
        <v>352</v>
      </c>
      <c r="H163" s="144">
        <v>43830</v>
      </c>
      <c r="I163" s="145">
        <v>67563571</v>
      </c>
      <c r="J163" s="146">
        <v>2018</v>
      </c>
      <c r="K163" s="154">
        <v>44774</v>
      </c>
      <c r="L163" s="133">
        <v>43952</v>
      </c>
      <c r="M163" s="148"/>
      <c r="N163" s="149" t="s">
        <v>596</v>
      </c>
      <c r="O163" s="150">
        <v>66</v>
      </c>
      <c r="P163" s="57">
        <v>43811</v>
      </c>
      <c r="Q163" s="116" t="s">
        <v>30</v>
      </c>
      <c r="R163" s="57" t="s">
        <v>30</v>
      </c>
      <c r="S163" s="57" t="s">
        <v>30</v>
      </c>
      <c r="T163" s="57">
        <v>43836</v>
      </c>
      <c r="U163" s="57">
        <v>43889</v>
      </c>
      <c r="V163" s="163">
        <v>43458</v>
      </c>
      <c r="W163" s="137">
        <f t="shared" si="75"/>
        <v>44176</v>
      </c>
      <c r="X163" s="57" t="str">
        <f t="shared" si="61"/>
        <v>NC</v>
      </c>
      <c r="Y163" s="57" t="str">
        <f t="shared" si="62"/>
        <v>NC</v>
      </c>
      <c r="Z163" s="57" t="str">
        <f t="shared" si="63"/>
        <v>NC</v>
      </c>
      <c r="AA163" s="57">
        <f t="shared" si="64"/>
        <v>44201</v>
      </c>
      <c r="AB163" s="57">
        <f t="shared" si="65"/>
        <v>44254</v>
      </c>
      <c r="AC163" s="57">
        <f t="shared" si="66"/>
        <v>44188</v>
      </c>
      <c r="AE163" s="123">
        <f t="shared" ca="1" si="67"/>
        <v>-1411</v>
      </c>
      <c r="AF163" s="123" t="str">
        <f t="shared" si="68"/>
        <v>NC</v>
      </c>
      <c r="AG163" s="123" t="str">
        <f t="shared" si="69"/>
        <v>NC</v>
      </c>
      <c r="AH163" s="123" t="str">
        <f t="shared" si="70"/>
        <v>NC</v>
      </c>
      <c r="AI163" s="123">
        <f t="shared" ca="1" si="71"/>
        <v>-1386</v>
      </c>
      <c r="AJ163" s="123">
        <f t="shared" ca="1" si="72"/>
        <v>-1333</v>
      </c>
      <c r="AK163" s="123">
        <f t="shared" ca="1" si="73"/>
        <v>-1399</v>
      </c>
      <c r="AL163" s="138"/>
      <c r="AM163" s="151">
        <f t="shared" si="74"/>
        <v>6.4583787206497307E-3</v>
      </c>
      <c r="AN163" s="152"/>
      <c r="AP163" s="124" t="s">
        <v>470</v>
      </c>
      <c r="AQ163" s="141" t="s">
        <v>643</v>
      </c>
      <c r="AS163" s="143" t="s">
        <v>1243</v>
      </c>
      <c r="AT163" s="143" t="s">
        <v>1248</v>
      </c>
      <c r="AU163" s="143" t="s">
        <v>1245</v>
      </c>
    </row>
    <row r="164" spans="1:47" s="160" customFormat="1" ht="14.4" customHeight="1" x14ac:dyDescent="0.3">
      <c r="A164" s="121" t="s">
        <v>95</v>
      </c>
      <c r="B164" s="116" t="s">
        <v>1087</v>
      </c>
      <c r="C164" s="121" t="s">
        <v>532</v>
      </c>
      <c r="D164" s="123" t="s">
        <v>46</v>
      </c>
      <c r="E164" s="123"/>
      <c r="F164" s="117" t="s">
        <v>274</v>
      </c>
      <c r="G164" s="120" t="s">
        <v>351</v>
      </c>
      <c r="H164" s="156">
        <v>43830</v>
      </c>
      <c r="I164" s="145">
        <v>67563571</v>
      </c>
      <c r="J164" s="146">
        <v>2018</v>
      </c>
      <c r="K164" s="154">
        <v>44774</v>
      </c>
      <c r="L164" s="133">
        <v>43952</v>
      </c>
      <c r="M164" s="148"/>
      <c r="N164" s="149" t="s">
        <v>596</v>
      </c>
      <c r="O164" s="150">
        <v>116</v>
      </c>
      <c r="P164" s="57">
        <v>43811</v>
      </c>
      <c r="Q164" s="116" t="s">
        <v>30</v>
      </c>
      <c r="R164" s="57" t="s">
        <v>30</v>
      </c>
      <c r="S164" s="57" t="s">
        <v>30</v>
      </c>
      <c r="T164" s="57">
        <v>43860</v>
      </c>
      <c r="U164" s="57">
        <v>43889</v>
      </c>
      <c r="V164" s="163">
        <v>43458</v>
      </c>
      <c r="W164" s="137">
        <f t="shared" si="75"/>
        <v>44176</v>
      </c>
      <c r="X164" s="57" t="str">
        <f t="shared" si="61"/>
        <v>NC</v>
      </c>
      <c r="Y164" s="57" t="str">
        <f t="shared" si="62"/>
        <v>NC</v>
      </c>
      <c r="Z164" s="57" t="str">
        <f t="shared" si="63"/>
        <v>NC</v>
      </c>
      <c r="AA164" s="57">
        <f t="shared" si="64"/>
        <v>44225</v>
      </c>
      <c r="AB164" s="57">
        <f t="shared" si="65"/>
        <v>44254</v>
      </c>
      <c r="AC164" s="57">
        <f t="shared" si="66"/>
        <v>44188</v>
      </c>
      <c r="AD164" s="124"/>
      <c r="AE164" s="123">
        <f t="shared" ca="1" si="67"/>
        <v>-1411</v>
      </c>
      <c r="AF164" s="123" t="str">
        <f t="shared" si="68"/>
        <v>NC</v>
      </c>
      <c r="AG164" s="123" t="str">
        <f t="shared" si="69"/>
        <v>NC</v>
      </c>
      <c r="AH164" s="123" t="str">
        <f t="shared" si="70"/>
        <v>NC</v>
      </c>
      <c r="AI164" s="123">
        <f t="shared" ca="1" si="71"/>
        <v>-1362</v>
      </c>
      <c r="AJ164" s="123">
        <f t="shared" ca="1" si="72"/>
        <v>-1333</v>
      </c>
      <c r="AK164" s="123">
        <f t="shared" ca="1" si="73"/>
        <v>-1399</v>
      </c>
      <c r="AL164" s="138"/>
      <c r="AM164" s="151">
        <f t="shared" si="74"/>
        <v>6.4583787206497307E-3</v>
      </c>
      <c r="AN164" s="152"/>
      <c r="AO164" s="124"/>
      <c r="AP164" s="124" t="s">
        <v>470</v>
      </c>
      <c r="AQ164" s="141" t="s">
        <v>643</v>
      </c>
      <c r="AR164" s="124"/>
      <c r="AS164" s="143" t="s">
        <v>1243</v>
      </c>
      <c r="AT164" s="143" t="s">
        <v>1248</v>
      </c>
      <c r="AU164" s="143" t="s">
        <v>1245</v>
      </c>
    </row>
    <row r="165" spans="1:47" s="160" customFormat="1" ht="14.4" customHeight="1" x14ac:dyDescent="0.3">
      <c r="A165" s="116" t="s">
        <v>854</v>
      </c>
      <c r="B165" s="117" t="s">
        <v>1086</v>
      </c>
      <c r="C165" s="117" t="s">
        <v>532</v>
      </c>
      <c r="D165" s="116" t="s">
        <v>46</v>
      </c>
      <c r="E165" s="116"/>
      <c r="F165" s="117" t="s">
        <v>855</v>
      </c>
      <c r="G165" s="120" t="s">
        <v>888</v>
      </c>
      <c r="H165" s="156">
        <v>43830</v>
      </c>
      <c r="I165" s="153">
        <v>99705464</v>
      </c>
      <c r="J165" s="120">
        <v>2019</v>
      </c>
      <c r="K165" s="132"/>
      <c r="L165" s="158">
        <v>43952</v>
      </c>
      <c r="M165" s="116"/>
      <c r="N165" s="135" t="s">
        <v>596</v>
      </c>
      <c r="O165" s="116"/>
      <c r="P165" s="57">
        <v>43707</v>
      </c>
      <c r="Q165" s="57">
        <v>43886</v>
      </c>
      <c r="R165" s="57" t="s">
        <v>30</v>
      </c>
      <c r="S165" s="34" t="s">
        <v>30</v>
      </c>
      <c r="T165" s="57">
        <v>43798</v>
      </c>
      <c r="U165" s="57">
        <v>43889</v>
      </c>
      <c r="V165" s="34">
        <v>43798</v>
      </c>
      <c r="W165" s="137">
        <f t="shared" si="75"/>
        <v>44072</v>
      </c>
      <c r="X165" s="57">
        <f t="shared" si="61"/>
        <v>44067</v>
      </c>
      <c r="Y165" s="57" t="str">
        <f t="shared" si="62"/>
        <v>NC</v>
      </c>
      <c r="Z165" s="57" t="str">
        <f t="shared" si="63"/>
        <v>NC</v>
      </c>
      <c r="AA165" s="57">
        <f t="shared" si="64"/>
        <v>44163</v>
      </c>
      <c r="AB165" s="57">
        <f t="shared" si="65"/>
        <v>44254</v>
      </c>
      <c r="AC165" s="57">
        <f t="shared" si="66"/>
        <v>44528</v>
      </c>
      <c r="AD165" s="138"/>
      <c r="AE165" s="123">
        <f t="shared" ca="1" si="67"/>
        <v>-1515</v>
      </c>
      <c r="AF165" s="123">
        <f t="shared" ca="1" si="68"/>
        <v>-1520</v>
      </c>
      <c r="AG165" s="123" t="str">
        <f t="shared" si="69"/>
        <v>NC</v>
      </c>
      <c r="AH165" s="123" t="str">
        <f t="shared" si="70"/>
        <v>NC</v>
      </c>
      <c r="AI165" s="123">
        <f t="shared" ca="1" si="71"/>
        <v>-1424</v>
      </c>
      <c r="AJ165" s="123">
        <f t="shared" ca="1" si="72"/>
        <v>-1333</v>
      </c>
      <c r="AK165" s="123">
        <f t="shared" ca="1" si="73"/>
        <v>-1059</v>
      </c>
      <c r="AL165" s="138"/>
      <c r="AM165" s="139">
        <f t="shared" si="74"/>
        <v>3.7893587159646123E-3</v>
      </c>
      <c r="AN165" s="138"/>
      <c r="AO165" s="138"/>
      <c r="AP165" s="138" t="s">
        <v>861</v>
      </c>
      <c r="AQ165" s="141" t="s">
        <v>643</v>
      </c>
      <c r="AR165" s="138"/>
      <c r="AS165" s="142" t="s">
        <v>1243</v>
      </c>
      <c r="AT165" s="143" t="s">
        <v>1248</v>
      </c>
      <c r="AU165" s="143" t="s">
        <v>1247</v>
      </c>
    </row>
    <row r="166" spans="1:47" s="124" customFormat="1" ht="14.4" customHeight="1" x14ac:dyDescent="0.3">
      <c r="A166" s="157" t="s">
        <v>1027</v>
      </c>
      <c r="B166" s="157" t="s">
        <v>1090</v>
      </c>
      <c r="C166" s="168" t="s">
        <v>532</v>
      </c>
      <c r="D166" s="157" t="s">
        <v>46</v>
      </c>
      <c r="E166" s="157"/>
      <c r="F166" s="168" t="s">
        <v>1507</v>
      </c>
      <c r="G166" s="169"/>
      <c r="H166" s="170"/>
      <c r="I166" s="171"/>
      <c r="J166" s="172">
        <v>2019</v>
      </c>
      <c r="K166" s="133"/>
      <c r="L166" s="157"/>
      <c r="M166" s="157"/>
      <c r="N166" s="135" t="s">
        <v>596</v>
      </c>
      <c r="O166" s="157"/>
      <c r="P166" s="173"/>
      <c r="Q166" s="173" t="s">
        <v>30</v>
      </c>
      <c r="R166" s="173" t="s">
        <v>30</v>
      </c>
      <c r="S166" s="174" t="s">
        <v>30</v>
      </c>
      <c r="T166" s="173"/>
      <c r="U166" s="173"/>
      <c r="V166" s="174"/>
      <c r="W166" s="137" t="str">
        <f t="shared" si="75"/>
        <v>erreur</v>
      </c>
      <c r="X166" s="57" t="str">
        <f t="shared" ref="X166:X188" si="76">IF(Q166="NC","NC",IF(Q166="","erreur",Q166+181))</f>
        <v>NC</v>
      </c>
      <c r="Y166" s="57" t="str">
        <f t="shared" ref="Y166:Y188" si="77">IF(R166="NC","NC",IF(R166="","erreur",R166+365))</f>
        <v>NC</v>
      </c>
      <c r="Z166" s="57" t="str">
        <f t="shared" ref="Z166:Z188" si="78">IF(S166="NC","NC",IF(S166="","erreur",S166+3650))</f>
        <v>NC</v>
      </c>
      <c r="AA166" s="57" t="str">
        <f t="shared" ref="AA166:AA188" si="79">IF(T166="NC","NC",IF(T166="","erreur",T166+365))</f>
        <v>erreur</v>
      </c>
      <c r="AB166" s="57" t="str">
        <f t="shared" ref="AB166:AB188" si="80">IF(U166="NC","NC",IF(U166="","erreur",U166+365))</f>
        <v>erreur</v>
      </c>
      <c r="AC166" s="57" t="str">
        <f t="shared" ref="AC166:AC188" si="81">IF(V166="NC","NC",IF(V166="","erreur",V166+730))</f>
        <v>erreur</v>
      </c>
      <c r="AD166" s="138"/>
      <c r="AE166" s="123" t="str">
        <f t="shared" ref="AE166:AE188" si="82">IF(W166="NC","NC",IF(W166="erreur","erreur",W166-$F$3))</f>
        <v>erreur</v>
      </c>
      <c r="AF166" s="123" t="str">
        <f t="shared" ref="AF166:AF188" si="83">IF(X166="NC","NC",IF(X166="erreur","erreur",X166-$F$3))</f>
        <v>NC</v>
      </c>
      <c r="AG166" s="123" t="str">
        <f t="shared" ref="AG166:AG188" si="84">IF(Y166="NC","NC",IF(Y166="erreur","erreur",Y166-$F$3))</f>
        <v>NC</v>
      </c>
      <c r="AH166" s="123" t="str">
        <f t="shared" ref="AH166:AH188" si="85">IF(Z166="NC","NC",IF(Z166="erreur","erreur",Z166-$F$3))</f>
        <v>NC</v>
      </c>
      <c r="AI166" s="123" t="str">
        <f t="shared" ref="AI166:AI188" si="86">IF(AA166="NC","NC",IF(AA166="erreur","erreur",AA166-$F$3))</f>
        <v>erreur</v>
      </c>
      <c r="AJ166" s="123" t="str">
        <f t="shared" ref="AJ166:AJ188" si="87">IF(AB166="NC","NC",IF(AB166="erreur","erreur",AB166-$F$3))</f>
        <v>erreur</v>
      </c>
      <c r="AK166" s="123" t="str">
        <f t="shared" ref="AK166:AK188" si="88">IF(AC166="NC","NC",IF(AC166="erreur","erreur",AC166-$F$3))</f>
        <v>erreur</v>
      </c>
      <c r="AL166" s="138"/>
      <c r="AM166" s="139">
        <f t="shared" si="74"/>
        <v>0</v>
      </c>
      <c r="AN166" s="160"/>
      <c r="AO166" s="160"/>
      <c r="AP166" s="141"/>
      <c r="AQ166" s="141" t="s">
        <v>643</v>
      </c>
      <c r="AR166" s="160"/>
      <c r="AS166" s="175" t="s">
        <v>1243</v>
      </c>
      <c r="AT166" s="175" t="s">
        <v>1248</v>
      </c>
      <c r="AU166" s="175" t="s">
        <v>587</v>
      </c>
    </row>
    <row r="167" spans="1:47" s="138" customFormat="1" ht="14.4" customHeight="1" x14ac:dyDescent="0.3">
      <c r="A167" s="157" t="s">
        <v>1028</v>
      </c>
      <c r="B167" s="157" t="s">
        <v>1090</v>
      </c>
      <c r="C167" s="168" t="s">
        <v>532</v>
      </c>
      <c r="D167" s="157" t="s">
        <v>46</v>
      </c>
      <c r="E167" s="157"/>
      <c r="F167" s="168" t="s">
        <v>1510</v>
      </c>
      <c r="G167" s="172"/>
      <c r="H167" s="170"/>
      <c r="I167" s="171"/>
      <c r="J167" s="172">
        <v>2019</v>
      </c>
      <c r="K167" s="133"/>
      <c r="L167" s="157"/>
      <c r="M167" s="157"/>
      <c r="N167" s="135" t="s">
        <v>596</v>
      </c>
      <c r="O167" s="157"/>
      <c r="P167" s="173"/>
      <c r="Q167" s="173" t="s">
        <v>30</v>
      </c>
      <c r="R167" s="173" t="s">
        <v>30</v>
      </c>
      <c r="S167" s="174" t="s">
        <v>30</v>
      </c>
      <c r="T167" s="173"/>
      <c r="U167" s="173"/>
      <c r="V167" s="174"/>
      <c r="W167" s="137" t="str">
        <f t="shared" si="75"/>
        <v>erreur</v>
      </c>
      <c r="X167" s="57" t="str">
        <f t="shared" si="76"/>
        <v>NC</v>
      </c>
      <c r="Y167" s="57" t="str">
        <f t="shared" si="77"/>
        <v>NC</v>
      </c>
      <c r="Z167" s="57" t="str">
        <f t="shared" si="78"/>
        <v>NC</v>
      </c>
      <c r="AA167" s="57" t="str">
        <f t="shared" si="79"/>
        <v>erreur</v>
      </c>
      <c r="AB167" s="57" t="str">
        <f t="shared" si="80"/>
        <v>erreur</v>
      </c>
      <c r="AC167" s="57" t="str">
        <f t="shared" si="81"/>
        <v>erreur</v>
      </c>
      <c r="AE167" s="123" t="str">
        <f t="shared" si="82"/>
        <v>erreur</v>
      </c>
      <c r="AF167" s="123" t="str">
        <f t="shared" si="83"/>
        <v>NC</v>
      </c>
      <c r="AG167" s="123" t="str">
        <f t="shared" si="84"/>
        <v>NC</v>
      </c>
      <c r="AH167" s="123" t="str">
        <f t="shared" si="85"/>
        <v>NC</v>
      </c>
      <c r="AI167" s="123" t="str">
        <f t="shared" si="86"/>
        <v>erreur</v>
      </c>
      <c r="AJ167" s="123" t="str">
        <f t="shared" si="87"/>
        <v>erreur</v>
      </c>
      <c r="AK167" s="123" t="str">
        <f t="shared" si="88"/>
        <v>erreur</v>
      </c>
      <c r="AM167" s="139">
        <f t="shared" si="74"/>
        <v>0</v>
      </c>
      <c r="AN167" s="160"/>
      <c r="AO167" s="160"/>
      <c r="AP167" s="141"/>
      <c r="AQ167" s="141" t="s">
        <v>643</v>
      </c>
      <c r="AR167" s="160"/>
      <c r="AS167" s="175" t="s">
        <v>1243</v>
      </c>
      <c r="AT167" s="175" t="s">
        <v>1248</v>
      </c>
      <c r="AU167" s="175" t="s">
        <v>587</v>
      </c>
    </row>
    <row r="168" spans="1:47" s="138" customFormat="1" ht="14.4" customHeight="1" x14ac:dyDescent="0.3">
      <c r="A168" s="116" t="s">
        <v>701</v>
      </c>
      <c r="B168" s="126" t="s">
        <v>1091</v>
      </c>
      <c r="C168" s="117" t="s">
        <v>533</v>
      </c>
      <c r="D168" s="116" t="s">
        <v>46</v>
      </c>
      <c r="E168" s="116"/>
      <c r="F168" s="117" t="s">
        <v>708</v>
      </c>
      <c r="G168" s="120" t="s">
        <v>645</v>
      </c>
      <c r="H168" s="156">
        <v>43830</v>
      </c>
      <c r="I168" s="130">
        <v>58380173</v>
      </c>
      <c r="J168" s="120">
        <v>2018</v>
      </c>
      <c r="K168" s="132"/>
      <c r="L168" s="158">
        <v>43952</v>
      </c>
      <c r="M168" s="116"/>
      <c r="N168" s="135" t="s">
        <v>596</v>
      </c>
      <c r="O168" s="116"/>
      <c r="P168" s="57">
        <v>43893</v>
      </c>
      <c r="Q168" s="57" t="s">
        <v>30</v>
      </c>
      <c r="R168" s="57" t="s">
        <v>30</v>
      </c>
      <c r="S168" s="34" t="s">
        <v>30</v>
      </c>
      <c r="T168" s="57">
        <v>43902</v>
      </c>
      <c r="U168" s="57">
        <v>43889</v>
      </c>
      <c r="V168" s="163">
        <v>43570</v>
      </c>
      <c r="W168" s="137">
        <f t="shared" si="75"/>
        <v>44258</v>
      </c>
      <c r="X168" s="57" t="str">
        <f t="shared" si="76"/>
        <v>NC</v>
      </c>
      <c r="Y168" s="57" t="str">
        <f t="shared" si="77"/>
        <v>NC</v>
      </c>
      <c r="Z168" s="57" t="str">
        <f t="shared" si="78"/>
        <v>NC</v>
      </c>
      <c r="AA168" s="57">
        <f t="shared" si="79"/>
        <v>44267</v>
      </c>
      <c r="AB168" s="57">
        <f t="shared" si="80"/>
        <v>44254</v>
      </c>
      <c r="AC168" s="57">
        <f t="shared" si="81"/>
        <v>44300</v>
      </c>
      <c r="AD168" s="124"/>
      <c r="AE168" s="123">
        <f t="shared" ca="1" si="82"/>
        <v>-1329</v>
      </c>
      <c r="AF168" s="123" t="str">
        <f t="shared" si="83"/>
        <v>NC</v>
      </c>
      <c r="AG168" s="123" t="str">
        <f t="shared" si="84"/>
        <v>NC</v>
      </c>
      <c r="AH168" s="123" t="str">
        <f t="shared" si="85"/>
        <v>NC</v>
      </c>
      <c r="AI168" s="123">
        <f t="shared" ca="1" si="86"/>
        <v>-1320</v>
      </c>
      <c r="AJ168" s="123">
        <f t="shared" ca="1" si="87"/>
        <v>-1333</v>
      </c>
      <c r="AK168" s="123">
        <f t="shared" ca="1" si="88"/>
        <v>-1287</v>
      </c>
      <c r="AM168" s="151">
        <f t="shared" si="74"/>
        <v>5.5805408362895733E-3</v>
      </c>
      <c r="AO168" s="138" t="s">
        <v>395</v>
      </c>
      <c r="AP168" s="138" t="s">
        <v>735</v>
      </c>
      <c r="AS168" s="142" t="s">
        <v>1243</v>
      </c>
      <c r="AT168" s="143" t="s">
        <v>1253</v>
      </c>
      <c r="AU168" s="143" t="s">
        <v>1241</v>
      </c>
    </row>
    <row r="169" spans="1:47" s="138" customFormat="1" ht="14.4" customHeight="1" x14ac:dyDescent="0.3">
      <c r="A169" s="121" t="s">
        <v>45</v>
      </c>
      <c r="B169" s="117" t="s">
        <v>1092</v>
      </c>
      <c r="C169" s="121" t="s">
        <v>533</v>
      </c>
      <c r="D169" s="123" t="s">
        <v>46</v>
      </c>
      <c r="E169" s="123"/>
      <c r="F169" s="117" t="s">
        <v>275</v>
      </c>
      <c r="G169" s="99" t="s">
        <v>459</v>
      </c>
      <c r="H169" s="156">
        <v>43830</v>
      </c>
      <c r="I169" s="153">
        <v>58380173</v>
      </c>
      <c r="J169" s="146">
        <v>2016</v>
      </c>
      <c r="K169" s="154">
        <v>44440</v>
      </c>
      <c r="L169" s="133">
        <v>43952</v>
      </c>
      <c r="M169" s="148"/>
      <c r="N169" s="149" t="s">
        <v>596</v>
      </c>
      <c r="O169" s="150">
        <v>641</v>
      </c>
      <c r="P169" s="57">
        <v>43641</v>
      </c>
      <c r="Q169" s="116" t="s">
        <v>30</v>
      </c>
      <c r="R169" s="57" t="s">
        <v>30</v>
      </c>
      <c r="S169" s="34" t="s">
        <v>30</v>
      </c>
      <c r="T169" s="57">
        <v>43860</v>
      </c>
      <c r="U169" s="57">
        <v>43889</v>
      </c>
      <c r="V169" s="163">
        <v>43364</v>
      </c>
      <c r="W169" s="137">
        <f t="shared" si="75"/>
        <v>44006</v>
      </c>
      <c r="X169" s="57" t="str">
        <f t="shared" si="76"/>
        <v>NC</v>
      </c>
      <c r="Y169" s="57" t="str">
        <f t="shared" si="77"/>
        <v>NC</v>
      </c>
      <c r="Z169" s="57" t="str">
        <f t="shared" si="78"/>
        <v>NC</v>
      </c>
      <c r="AA169" s="57">
        <f t="shared" si="79"/>
        <v>44225</v>
      </c>
      <c r="AB169" s="57">
        <f t="shared" si="80"/>
        <v>44254</v>
      </c>
      <c r="AC169" s="57">
        <f t="shared" si="81"/>
        <v>44094</v>
      </c>
      <c r="AD169" s="124"/>
      <c r="AE169" s="123">
        <f t="shared" ca="1" si="82"/>
        <v>-1581</v>
      </c>
      <c r="AF169" s="123" t="str">
        <f t="shared" si="83"/>
        <v>NC</v>
      </c>
      <c r="AG169" s="123" t="str">
        <f t="shared" si="84"/>
        <v>NC</v>
      </c>
      <c r="AH169" s="123" t="str">
        <f t="shared" si="85"/>
        <v>NC</v>
      </c>
      <c r="AI169" s="123">
        <f t="shared" ca="1" si="86"/>
        <v>-1362</v>
      </c>
      <c r="AJ169" s="123">
        <f t="shared" ca="1" si="87"/>
        <v>-1333</v>
      </c>
      <c r="AK169" s="123">
        <f t="shared" ca="1" si="88"/>
        <v>-1493</v>
      </c>
      <c r="AM169" s="151">
        <f t="shared" si="74"/>
        <v>1.230408401254174E-2</v>
      </c>
      <c r="AN169" s="152"/>
      <c r="AO169" s="124" t="s">
        <v>395</v>
      </c>
      <c r="AP169" s="124" t="s">
        <v>470</v>
      </c>
      <c r="AQ169" s="141" t="s">
        <v>643</v>
      </c>
      <c r="AR169" s="124"/>
      <c r="AS169" s="143" t="s">
        <v>1243</v>
      </c>
      <c r="AT169" s="143" t="s">
        <v>1254</v>
      </c>
      <c r="AU169" s="143" t="s">
        <v>1241</v>
      </c>
    </row>
    <row r="170" spans="1:47" s="138" customFormat="1" ht="14.4" customHeight="1" x14ac:dyDescent="0.3">
      <c r="A170" s="121" t="s">
        <v>189</v>
      </c>
      <c r="B170" s="126" t="s">
        <v>1091</v>
      </c>
      <c r="C170" s="121" t="s">
        <v>533</v>
      </c>
      <c r="D170" s="123" t="s">
        <v>145</v>
      </c>
      <c r="E170" s="123"/>
      <c r="F170" s="117" t="s">
        <v>276</v>
      </c>
      <c r="G170" s="120" t="s">
        <v>702</v>
      </c>
      <c r="H170" s="156">
        <v>43830</v>
      </c>
      <c r="I170" s="153">
        <v>58400000</v>
      </c>
      <c r="J170" s="146">
        <v>2018</v>
      </c>
      <c r="K170" s="154">
        <v>44866</v>
      </c>
      <c r="L170" s="133">
        <v>44166</v>
      </c>
      <c r="M170" s="148"/>
      <c r="N170" s="149" t="s">
        <v>596</v>
      </c>
      <c r="O170" s="150">
        <v>920</v>
      </c>
      <c r="P170" s="57">
        <v>43566</v>
      </c>
      <c r="Q170" s="116" t="s">
        <v>30</v>
      </c>
      <c r="R170" s="57" t="s">
        <v>30</v>
      </c>
      <c r="S170" s="34" t="s">
        <v>30</v>
      </c>
      <c r="T170" s="34">
        <v>43570</v>
      </c>
      <c r="U170" s="57">
        <v>43889</v>
      </c>
      <c r="V170" s="163">
        <v>43573</v>
      </c>
      <c r="W170" s="137">
        <f t="shared" si="75"/>
        <v>43931</v>
      </c>
      <c r="X170" s="57" t="str">
        <f t="shared" si="76"/>
        <v>NC</v>
      </c>
      <c r="Y170" s="57" t="str">
        <f t="shared" si="77"/>
        <v>NC</v>
      </c>
      <c r="Z170" s="57" t="str">
        <f t="shared" si="78"/>
        <v>NC</v>
      </c>
      <c r="AA170" s="57">
        <f t="shared" si="79"/>
        <v>43935</v>
      </c>
      <c r="AB170" s="57">
        <f t="shared" si="80"/>
        <v>44254</v>
      </c>
      <c r="AC170" s="57">
        <f t="shared" si="81"/>
        <v>44303</v>
      </c>
      <c r="AD170" s="124"/>
      <c r="AE170" s="123">
        <f t="shared" ca="1" si="82"/>
        <v>-1656</v>
      </c>
      <c r="AF170" s="123" t="str">
        <f t="shared" si="83"/>
        <v>NC</v>
      </c>
      <c r="AG170" s="123" t="str">
        <f t="shared" si="84"/>
        <v>NC</v>
      </c>
      <c r="AH170" s="123" t="str">
        <f t="shared" si="85"/>
        <v>NC</v>
      </c>
      <c r="AI170" s="123">
        <f t="shared" ca="1" si="86"/>
        <v>-1652</v>
      </c>
      <c r="AJ170" s="123">
        <f t="shared" ca="1" si="87"/>
        <v>-1333</v>
      </c>
      <c r="AK170" s="123">
        <f t="shared" ca="1" si="88"/>
        <v>-1284</v>
      </c>
      <c r="AM170" s="151">
        <f t="shared" si="74"/>
        <v>5.5824360924608962E-3</v>
      </c>
      <c r="AN170" s="152"/>
      <c r="AO170" s="124"/>
      <c r="AP170" s="124" t="s">
        <v>470</v>
      </c>
      <c r="AQ170" s="141" t="s">
        <v>643</v>
      </c>
      <c r="AR170" s="124"/>
      <c r="AS170" s="143" t="s">
        <v>1243</v>
      </c>
      <c r="AT170" s="143" t="s">
        <v>1253</v>
      </c>
      <c r="AU170" s="143" t="s">
        <v>1241</v>
      </c>
    </row>
    <row r="171" spans="1:47" s="124" customFormat="1" ht="14.4" customHeight="1" x14ac:dyDescent="0.3">
      <c r="A171" s="168" t="s">
        <v>1044</v>
      </c>
      <c r="B171" s="176" t="s">
        <v>823</v>
      </c>
      <c r="C171" s="168" t="s">
        <v>533</v>
      </c>
      <c r="D171" s="157" t="s">
        <v>145</v>
      </c>
      <c r="F171" s="117"/>
      <c r="G171" s="120"/>
      <c r="H171" s="156"/>
      <c r="I171" s="153"/>
      <c r="J171" s="146"/>
      <c r="K171" s="154"/>
      <c r="L171" s="133">
        <v>44044</v>
      </c>
      <c r="M171" s="148"/>
      <c r="N171" s="149" t="s">
        <v>596</v>
      </c>
      <c r="O171" s="150"/>
      <c r="P171" s="57"/>
      <c r="Q171" s="116" t="s">
        <v>30</v>
      </c>
      <c r="R171" s="57" t="s">
        <v>30</v>
      </c>
      <c r="S171" s="34" t="s">
        <v>30</v>
      </c>
      <c r="T171" s="57"/>
      <c r="U171" s="57"/>
      <c r="V171" s="163"/>
      <c r="W171" s="137" t="str">
        <f t="shared" si="75"/>
        <v>erreur</v>
      </c>
      <c r="X171" s="57" t="str">
        <f t="shared" si="76"/>
        <v>NC</v>
      </c>
      <c r="Y171" s="57" t="str">
        <f t="shared" si="77"/>
        <v>NC</v>
      </c>
      <c r="Z171" s="57" t="str">
        <f t="shared" si="78"/>
        <v>NC</v>
      </c>
      <c r="AA171" s="57" t="str">
        <f t="shared" si="79"/>
        <v>erreur</v>
      </c>
      <c r="AB171" s="57" t="str">
        <f t="shared" si="80"/>
        <v>erreur</v>
      </c>
      <c r="AC171" s="57" t="str">
        <f t="shared" si="81"/>
        <v>erreur</v>
      </c>
      <c r="AE171" s="123" t="str">
        <f t="shared" si="82"/>
        <v>erreur</v>
      </c>
      <c r="AF171" s="123" t="str">
        <f t="shared" si="83"/>
        <v>NC</v>
      </c>
      <c r="AG171" s="123" t="str">
        <f t="shared" si="84"/>
        <v>NC</v>
      </c>
      <c r="AH171" s="123" t="str">
        <f t="shared" si="85"/>
        <v>NC</v>
      </c>
      <c r="AI171" s="123" t="str">
        <f t="shared" si="86"/>
        <v>erreur</v>
      </c>
      <c r="AJ171" s="123" t="str">
        <f t="shared" si="87"/>
        <v>erreur</v>
      </c>
      <c r="AK171" s="123" t="str">
        <f t="shared" si="88"/>
        <v>erreur</v>
      </c>
      <c r="AL171" s="138"/>
      <c r="AM171" s="151"/>
      <c r="AN171" s="152"/>
      <c r="AP171" s="141" t="s">
        <v>643</v>
      </c>
      <c r="AQ171" s="141" t="s">
        <v>643</v>
      </c>
      <c r="AS171" s="143"/>
      <c r="AT171" s="143"/>
      <c r="AU171" s="143" t="s">
        <v>1241</v>
      </c>
    </row>
    <row r="172" spans="1:47" s="124" customFormat="1" ht="14.4" customHeight="1" x14ac:dyDescent="0.3">
      <c r="A172" s="121" t="s">
        <v>96</v>
      </c>
      <c r="B172" s="117" t="s">
        <v>1093</v>
      </c>
      <c r="C172" s="121" t="s">
        <v>534</v>
      </c>
      <c r="D172" s="123" t="s">
        <v>46</v>
      </c>
      <c r="E172" s="123"/>
      <c r="F172" s="117" t="s">
        <v>277</v>
      </c>
      <c r="G172" s="99" t="s">
        <v>460</v>
      </c>
      <c r="H172" s="156">
        <v>43830</v>
      </c>
      <c r="I172" s="145">
        <v>26238000</v>
      </c>
      <c r="J172" s="146">
        <v>2008</v>
      </c>
      <c r="K172" s="154">
        <v>44440</v>
      </c>
      <c r="L172" s="133">
        <v>43952</v>
      </c>
      <c r="M172" s="148"/>
      <c r="N172" s="149" t="s">
        <v>596</v>
      </c>
      <c r="O172" s="150"/>
      <c r="P172" s="57">
        <v>43641</v>
      </c>
      <c r="Q172" s="116" t="s">
        <v>30</v>
      </c>
      <c r="R172" s="57" t="s">
        <v>30</v>
      </c>
      <c r="S172" s="34" t="s">
        <v>30</v>
      </c>
      <c r="T172" s="57">
        <v>43860</v>
      </c>
      <c r="U172" s="57">
        <v>43889</v>
      </c>
      <c r="V172" s="163">
        <v>43528</v>
      </c>
      <c r="W172" s="137">
        <f t="shared" si="75"/>
        <v>44006</v>
      </c>
      <c r="X172" s="57" t="str">
        <f t="shared" si="76"/>
        <v>NC</v>
      </c>
      <c r="Y172" s="57" t="str">
        <f t="shared" si="77"/>
        <v>NC</v>
      </c>
      <c r="Z172" s="57" t="str">
        <f t="shared" si="78"/>
        <v>NC</v>
      </c>
      <c r="AA172" s="57">
        <f t="shared" si="79"/>
        <v>44225</v>
      </c>
      <c r="AB172" s="57">
        <f t="shared" si="80"/>
        <v>44254</v>
      </c>
      <c r="AC172" s="57">
        <f t="shared" si="81"/>
        <v>44258</v>
      </c>
      <c r="AE172" s="123">
        <f t="shared" ca="1" si="82"/>
        <v>-1581</v>
      </c>
      <c r="AF172" s="123" t="str">
        <f t="shared" si="83"/>
        <v>NC</v>
      </c>
      <c r="AG172" s="123" t="str">
        <f t="shared" si="84"/>
        <v>NC</v>
      </c>
      <c r="AH172" s="123" t="str">
        <f t="shared" si="85"/>
        <v>NC</v>
      </c>
      <c r="AI172" s="123">
        <f t="shared" ca="1" si="86"/>
        <v>-1362</v>
      </c>
      <c r="AJ172" s="123">
        <f t="shared" ca="1" si="87"/>
        <v>-1333</v>
      </c>
      <c r="AK172" s="123">
        <f t="shared" ca="1" si="88"/>
        <v>-1329</v>
      </c>
      <c r="AL172" s="138"/>
      <c r="AM172" s="151">
        <f t="shared" ref="AM172:AM188" si="89">I172*($AM$3-J172)/$I$4</f>
        <v>1.7617006029685585E-2</v>
      </c>
      <c r="AN172" s="152"/>
      <c r="AP172" s="141" t="s">
        <v>643</v>
      </c>
      <c r="AQ172" s="141" t="s">
        <v>643</v>
      </c>
      <c r="AR172" s="138"/>
      <c r="AS172" s="142" t="s">
        <v>1255</v>
      </c>
      <c r="AT172" s="143" t="s">
        <v>1256</v>
      </c>
      <c r="AU172" s="143" t="s">
        <v>1257</v>
      </c>
    </row>
    <row r="173" spans="1:47" s="124" customFormat="1" ht="14.4" customHeight="1" x14ac:dyDescent="0.3">
      <c r="A173" s="116" t="s">
        <v>379</v>
      </c>
      <c r="B173" s="116" t="s">
        <v>1094</v>
      </c>
      <c r="C173" s="117" t="s">
        <v>535</v>
      </c>
      <c r="D173" s="177" t="s">
        <v>145</v>
      </c>
      <c r="E173" s="177"/>
      <c r="F173" s="117" t="s">
        <v>585</v>
      </c>
      <c r="G173" s="120"/>
      <c r="H173" s="156">
        <v>43830</v>
      </c>
      <c r="I173" s="134">
        <v>26238000</v>
      </c>
      <c r="J173" s="120">
        <v>1998</v>
      </c>
      <c r="K173" s="154"/>
      <c r="L173" s="162">
        <v>44044</v>
      </c>
      <c r="M173" s="116"/>
      <c r="N173" s="149" t="s">
        <v>596</v>
      </c>
      <c r="O173" s="136"/>
      <c r="P173" s="57" t="s">
        <v>30</v>
      </c>
      <c r="Q173" s="57" t="s">
        <v>30</v>
      </c>
      <c r="R173" s="57" t="s">
        <v>30</v>
      </c>
      <c r="S173" s="34" t="s">
        <v>30</v>
      </c>
      <c r="T173" s="57" t="s">
        <v>30</v>
      </c>
      <c r="U173" s="57" t="s">
        <v>30</v>
      </c>
      <c r="V173" s="34" t="s">
        <v>30</v>
      </c>
      <c r="W173" s="137" t="str">
        <f t="shared" si="75"/>
        <v>NC</v>
      </c>
      <c r="X173" s="57" t="str">
        <f t="shared" si="76"/>
        <v>NC</v>
      </c>
      <c r="Y173" s="57" t="str">
        <f t="shared" si="77"/>
        <v>NC</v>
      </c>
      <c r="Z173" s="57" t="str">
        <f t="shared" si="78"/>
        <v>NC</v>
      </c>
      <c r="AA173" s="57" t="str">
        <f t="shared" si="79"/>
        <v>NC</v>
      </c>
      <c r="AB173" s="57" t="str">
        <f t="shared" si="80"/>
        <v>NC</v>
      </c>
      <c r="AC173" s="57" t="str">
        <f t="shared" si="81"/>
        <v>NC</v>
      </c>
      <c r="AD173" s="138"/>
      <c r="AE173" s="123" t="str">
        <f t="shared" si="82"/>
        <v>NC</v>
      </c>
      <c r="AF173" s="123" t="str">
        <f t="shared" si="83"/>
        <v>NC</v>
      </c>
      <c r="AG173" s="123" t="str">
        <f t="shared" si="84"/>
        <v>NC</v>
      </c>
      <c r="AH173" s="123" t="str">
        <f t="shared" si="85"/>
        <v>NC</v>
      </c>
      <c r="AI173" s="123" t="str">
        <f t="shared" si="86"/>
        <v>NC</v>
      </c>
      <c r="AJ173" s="123" t="str">
        <f t="shared" si="87"/>
        <v>NC</v>
      </c>
      <c r="AK173" s="123" t="str">
        <f t="shared" si="88"/>
        <v>NC</v>
      </c>
      <c r="AL173" s="138"/>
      <c r="AM173" s="151">
        <f t="shared" si="89"/>
        <v>3.2725930583446701E-2</v>
      </c>
      <c r="AN173" s="138"/>
      <c r="AO173" s="138"/>
      <c r="AP173" s="141" t="s">
        <v>643</v>
      </c>
      <c r="AQ173" s="141" t="s">
        <v>643</v>
      </c>
      <c r="AR173" s="138"/>
      <c r="AS173" s="142" t="s">
        <v>1258</v>
      </c>
      <c r="AT173" s="143" t="s">
        <v>1256</v>
      </c>
      <c r="AU173" s="143"/>
    </row>
    <row r="174" spans="1:47" s="124" customFormat="1" ht="14.4" customHeight="1" x14ac:dyDescent="0.3">
      <c r="A174" s="116" t="s">
        <v>367</v>
      </c>
      <c r="B174" s="116" t="s">
        <v>619</v>
      </c>
      <c r="C174" s="117" t="s">
        <v>536</v>
      </c>
      <c r="D174" s="116" t="s">
        <v>46</v>
      </c>
      <c r="E174" s="178" t="s">
        <v>1013</v>
      </c>
      <c r="F174" s="117" t="s">
        <v>709</v>
      </c>
      <c r="G174" s="120" t="s">
        <v>644</v>
      </c>
      <c r="H174" s="156">
        <v>43830</v>
      </c>
      <c r="I174" s="134">
        <v>48200000</v>
      </c>
      <c r="J174" s="120">
        <v>2018</v>
      </c>
      <c r="K174" s="132"/>
      <c r="L174" s="158">
        <v>43952</v>
      </c>
      <c r="M174" s="116"/>
      <c r="N174" s="135" t="s">
        <v>596</v>
      </c>
      <c r="O174" s="116"/>
      <c r="P174" s="57">
        <v>43893</v>
      </c>
      <c r="Q174" s="57" t="s">
        <v>30</v>
      </c>
      <c r="R174" s="57" t="s">
        <v>30</v>
      </c>
      <c r="S174" s="34" t="s">
        <v>30</v>
      </c>
      <c r="T174" s="57">
        <v>43902</v>
      </c>
      <c r="U174" s="57">
        <v>43889</v>
      </c>
      <c r="V174" s="163">
        <v>43565</v>
      </c>
      <c r="W174" s="137">
        <f t="shared" si="75"/>
        <v>44258</v>
      </c>
      <c r="X174" s="57" t="str">
        <f t="shared" si="76"/>
        <v>NC</v>
      </c>
      <c r="Y174" s="57" t="str">
        <f t="shared" si="77"/>
        <v>NC</v>
      </c>
      <c r="Z174" s="57" t="str">
        <f t="shared" si="78"/>
        <v>NC</v>
      </c>
      <c r="AA174" s="57">
        <f t="shared" si="79"/>
        <v>44267</v>
      </c>
      <c r="AB174" s="57">
        <f t="shared" si="80"/>
        <v>44254</v>
      </c>
      <c r="AC174" s="57">
        <f t="shared" si="81"/>
        <v>44295</v>
      </c>
      <c r="AD174" s="138"/>
      <c r="AE174" s="123">
        <f t="shared" ca="1" si="82"/>
        <v>-1329</v>
      </c>
      <c r="AF174" s="123" t="str">
        <f t="shared" si="83"/>
        <v>NC</v>
      </c>
      <c r="AG174" s="123" t="str">
        <f t="shared" si="84"/>
        <v>NC</v>
      </c>
      <c r="AH174" s="123" t="str">
        <f t="shared" si="85"/>
        <v>NC</v>
      </c>
      <c r="AI174" s="123">
        <f t="shared" ca="1" si="86"/>
        <v>-1320</v>
      </c>
      <c r="AJ174" s="123">
        <f t="shared" ca="1" si="87"/>
        <v>-1333</v>
      </c>
      <c r="AK174" s="123">
        <f t="shared" ca="1" si="88"/>
        <v>-1292</v>
      </c>
      <c r="AL174" s="138"/>
      <c r="AM174" s="151">
        <f t="shared" si="89"/>
        <v>4.6074215694625886E-3</v>
      </c>
      <c r="AN174" s="138"/>
      <c r="AO174" s="138"/>
      <c r="AP174" s="141" t="s">
        <v>643</v>
      </c>
      <c r="AQ174" s="141" t="s">
        <v>643</v>
      </c>
      <c r="AR174" s="138"/>
      <c r="AS174" s="142" t="s">
        <v>1259</v>
      </c>
      <c r="AT174" s="143" t="s">
        <v>1250</v>
      </c>
      <c r="AU174" s="143" t="s">
        <v>1260</v>
      </c>
    </row>
    <row r="175" spans="1:47" s="138" customFormat="1" ht="14.4" customHeight="1" x14ac:dyDescent="0.3">
      <c r="A175" s="116" t="s">
        <v>669</v>
      </c>
      <c r="B175" s="116" t="s">
        <v>397</v>
      </c>
      <c r="C175" s="117" t="s">
        <v>536</v>
      </c>
      <c r="D175" s="116" t="s">
        <v>145</v>
      </c>
      <c r="E175" s="116"/>
      <c r="F175" s="117" t="s">
        <v>866</v>
      </c>
      <c r="G175" s="120" t="s">
        <v>889</v>
      </c>
      <c r="H175" s="156">
        <v>43830</v>
      </c>
      <c r="I175" s="134">
        <v>21300000</v>
      </c>
      <c r="J175" s="120">
        <v>2019</v>
      </c>
      <c r="K175" s="132"/>
      <c r="L175" s="158">
        <v>44166</v>
      </c>
      <c r="M175" s="116"/>
      <c r="N175" s="135" t="s">
        <v>596</v>
      </c>
      <c r="O175" s="116"/>
      <c r="P175" s="57">
        <v>43788</v>
      </c>
      <c r="Q175" s="57" t="s">
        <v>30</v>
      </c>
      <c r="R175" s="57" t="s">
        <v>30</v>
      </c>
      <c r="S175" s="34" t="s">
        <v>30</v>
      </c>
      <c r="T175" s="57">
        <v>43795</v>
      </c>
      <c r="U175" s="57">
        <v>43889</v>
      </c>
      <c r="V175" s="34">
        <v>43795</v>
      </c>
      <c r="W175" s="137">
        <f t="shared" si="75"/>
        <v>44153</v>
      </c>
      <c r="X175" s="57" t="str">
        <f t="shared" si="76"/>
        <v>NC</v>
      </c>
      <c r="Y175" s="57" t="str">
        <f t="shared" si="77"/>
        <v>NC</v>
      </c>
      <c r="Z175" s="57" t="str">
        <f t="shared" si="78"/>
        <v>NC</v>
      </c>
      <c r="AA175" s="57">
        <f t="shared" si="79"/>
        <v>44160</v>
      </c>
      <c r="AB175" s="57">
        <f t="shared" si="80"/>
        <v>44254</v>
      </c>
      <c r="AC175" s="57">
        <f t="shared" si="81"/>
        <v>44525</v>
      </c>
      <c r="AE175" s="123">
        <f t="shared" ca="1" si="82"/>
        <v>-1434</v>
      </c>
      <c r="AF175" s="123" t="str">
        <f t="shared" si="83"/>
        <v>NC</v>
      </c>
      <c r="AG175" s="123" t="str">
        <f t="shared" si="84"/>
        <v>NC</v>
      </c>
      <c r="AH175" s="123" t="str">
        <f t="shared" si="85"/>
        <v>NC</v>
      </c>
      <c r="AI175" s="123">
        <f t="shared" ca="1" si="86"/>
        <v>-1427</v>
      </c>
      <c r="AJ175" s="123">
        <f t="shared" ca="1" si="87"/>
        <v>-1333</v>
      </c>
      <c r="AK175" s="123">
        <f t="shared" ca="1" si="88"/>
        <v>-1062</v>
      </c>
      <c r="AM175" s="139">
        <f t="shared" si="89"/>
        <v>8.0951772763472867E-4</v>
      </c>
      <c r="AP175" s="141" t="s">
        <v>643</v>
      </c>
      <c r="AQ175" s="141" t="s">
        <v>643</v>
      </c>
      <c r="AS175" s="142"/>
      <c r="AT175" s="143" t="s">
        <v>1256</v>
      </c>
      <c r="AU175" s="143"/>
    </row>
    <row r="176" spans="1:47" s="138" customFormat="1" ht="14.4" customHeight="1" x14ac:dyDescent="0.3">
      <c r="A176" s="125" t="s">
        <v>16</v>
      </c>
      <c r="B176" s="117" t="s">
        <v>1099</v>
      </c>
      <c r="C176" s="121" t="s">
        <v>537</v>
      </c>
      <c r="D176" s="116" t="s">
        <v>46</v>
      </c>
      <c r="E176" s="116"/>
      <c r="F176" s="117" t="s">
        <v>278</v>
      </c>
      <c r="G176" s="120" t="s">
        <v>496</v>
      </c>
      <c r="H176" s="156">
        <v>43830</v>
      </c>
      <c r="I176" s="153">
        <v>105000000</v>
      </c>
      <c r="J176" s="146">
        <v>2015</v>
      </c>
      <c r="K176" s="154">
        <v>44197</v>
      </c>
      <c r="L176" s="133">
        <v>43831</v>
      </c>
      <c r="M176" s="148"/>
      <c r="N176" s="149" t="s">
        <v>596</v>
      </c>
      <c r="O176" s="150">
        <v>5040</v>
      </c>
      <c r="P176" s="57">
        <v>43893</v>
      </c>
      <c r="Q176" s="116" t="s">
        <v>30</v>
      </c>
      <c r="R176" s="57" t="s">
        <v>30</v>
      </c>
      <c r="S176" s="34" t="s">
        <v>30</v>
      </c>
      <c r="T176" s="57">
        <v>43902</v>
      </c>
      <c r="U176" s="57">
        <v>43889</v>
      </c>
      <c r="V176" s="34">
        <v>43550</v>
      </c>
      <c r="W176" s="137">
        <f t="shared" si="75"/>
        <v>44258</v>
      </c>
      <c r="X176" s="57" t="str">
        <f t="shared" si="76"/>
        <v>NC</v>
      </c>
      <c r="Y176" s="57" t="str">
        <f t="shared" si="77"/>
        <v>NC</v>
      </c>
      <c r="Z176" s="57" t="str">
        <f t="shared" si="78"/>
        <v>NC</v>
      </c>
      <c r="AA176" s="57">
        <f t="shared" si="79"/>
        <v>44267</v>
      </c>
      <c r="AB176" s="57">
        <f t="shared" si="80"/>
        <v>44254</v>
      </c>
      <c r="AC176" s="57">
        <f t="shared" si="81"/>
        <v>44280</v>
      </c>
      <c r="AD176" s="124"/>
      <c r="AE176" s="123">
        <f t="shared" ca="1" si="82"/>
        <v>-1329</v>
      </c>
      <c r="AF176" s="123" t="str">
        <f t="shared" si="83"/>
        <v>NC</v>
      </c>
      <c r="AG176" s="123" t="str">
        <f t="shared" si="84"/>
        <v>NC</v>
      </c>
      <c r="AH176" s="123" t="str">
        <f t="shared" si="85"/>
        <v>NC</v>
      </c>
      <c r="AI176" s="123">
        <f t="shared" ca="1" si="86"/>
        <v>-1320</v>
      </c>
      <c r="AJ176" s="123">
        <f t="shared" ca="1" si="87"/>
        <v>-1333</v>
      </c>
      <c r="AK176" s="123">
        <f t="shared" ca="1" si="88"/>
        <v>-1307</v>
      </c>
      <c r="AM176" s="151">
        <f t="shared" si="89"/>
        <v>2.8175915786856635E-2</v>
      </c>
      <c r="AN176" s="152"/>
      <c r="AO176" s="124"/>
      <c r="AP176" s="124" t="s">
        <v>470</v>
      </c>
      <c r="AQ176" s="141" t="s">
        <v>643</v>
      </c>
      <c r="AR176" s="124"/>
      <c r="AS176" s="143" t="s">
        <v>1243</v>
      </c>
      <c r="AT176" s="143" t="s">
        <v>1261</v>
      </c>
      <c r="AU176" s="143" t="s">
        <v>1251</v>
      </c>
    </row>
    <row r="177" spans="1:47" s="124" customFormat="1" ht="14.4" customHeight="1" x14ac:dyDescent="0.3">
      <c r="A177" s="125" t="s">
        <v>786</v>
      </c>
      <c r="B177" s="117" t="s">
        <v>1095</v>
      </c>
      <c r="C177" s="121" t="s">
        <v>537</v>
      </c>
      <c r="D177" s="116" t="s">
        <v>145</v>
      </c>
      <c r="E177" s="116"/>
      <c r="F177" s="117" t="s">
        <v>815</v>
      </c>
      <c r="G177" s="120" t="s">
        <v>981</v>
      </c>
      <c r="H177" s="156">
        <v>43830</v>
      </c>
      <c r="I177" s="145">
        <v>45916990</v>
      </c>
      <c r="J177" s="146">
        <v>2016</v>
      </c>
      <c r="K177" s="154"/>
      <c r="L177" s="133">
        <v>43952</v>
      </c>
      <c r="M177" s="148"/>
      <c r="N177" s="149" t="s">
        <v>596</v>
      </c>
      <c r="O177" s="150"/>
      <c r="P177" s="57">
        <v>43790</v>
      </c>
      <c r="Q177" s="116" t="s">
        <v>30</v>
      </c>
      <c r="R177" s="57" t="s">
        <v>30</v>
      </c>
      <c r="S177" s="34" t="s">
        <v>30</v>
      </c>
      <c r="T177" s="57">
        <v>43795</v>
      </c>
      <c r="U177" s="57">
        <v>43889</v>
      </c>
      <c r="V177" s="34">
        <v>43795</v>
      </c>
      <c r="W177" s="137">
        <f t="shared" si="75"/>
        <v>44155</v>
      </c>
      <c r="X177" s="57" t="str">
        <f t="shared" si="76"/>
        <v>NC</v>
      </c>
      <c r="Y177" s="57" t="str">
        <f t="shared" si="77"/>
        <v>NC</v>
      </c>
      <c r="Z177" s="57" t="str">
        <f t="shared" si="78"/>
        <v>NC</v>
      </c>
      <c r="AA177" s="57">
        <f t="shared" si="79"/>
        <v>44160</v>
      </c>
      <c r="AB177" s="57">
        <f t="shared" si="80"/>
        <v>44254</v>
      </c>
      <c r="AC177" s="57">
        <f t="shared" si="81"/>
        <v>44525</v>
      </c>
      <c r="AE177" s="123">
        <f t="shared" ca="1" si="82"/>
        <v>-1432</v>
      </c>
      <c r="AF177" s="123" t="str">
        <f t="shared" si="83"/>
        <v>NC</v>
      </c>
      <c r="AG177" s="123" t="str">
        <f t="shared" si="84"/>
        <v>NC</v>
      </c>
      <c r="AH177" s="123" t="str">
        <f t="shared" si="85"/>
        <v>NC</v>
      </c>
      <c r="AI177" s="123">
        <f t="shared" ca="1" si="86"/>
        <v>-1427</v>
      </c>
      <c r="AJ177" s="123">
        <f t="shared" ca="1" si="87"/>
        <v>-1333</v>
      </c>
      <c r="AK177" s="123">
        <f t="shared" ca="1" si="88"/>
        <v>-1062</v>
      </c>
      <c r="AL177" s="138"/>
      <c r="AM177" s="151">
        <f t="shared" si="89"/>
        <v>9.6773694480665369E-3</v>
      </c>
      <c r="AN177" s="152"/>
      <c r="AP177" s="124" t="s">
        <v>470</v>
      </c>
      <c r="AQ177" s="141" t="s">
        <v>643</v>
      </c>
      <c r="AS177" s="143" t="s">
        <v>1243</v>
      </c>
      <c r="AT177" s="143" t="s">
        <v>1248</v>
      </c>
      <c r="AU177" s="143" t="s">
        <v>1252</v>
      </c>
    </row>
    <row r="178" spans="1:47" s="124" customFormat="1" ht="14.4" customHeight="1" x14ac:dyDescent="0.3">
      <c r="A178" s="121" t="s">
        <v>155</v>
      </c>
      <c r="B178" s="117" t="s">
        <v>1095</v>
      </c>
      <c r="C178" s="121" t="s">
        <v>537</v>
      </c>
      <c r="D178" s="123" t="s">
        <v>145</v>
      </c>
      <c r="E178" s="123"/>
      <c r="F178" s="117" t="s">
        <v>279</v>
      </c>
      <c r="G178" s="120" t="s">
        <v>707</v>
      </c>
      <c r="H178" s="144">
        <v>43830</v>
      </c>
      <c r="I178" s="145">
        <v>45916990</v>
      </c>
      <c r="J178" s="146">
        <v>2015</v>
      </c>
      <c r="K178" s="154">
        <v>44470</v>
      </c>
      <c r="L178" s="133">
        <v>43952</v>
      </c>
      <c r="M178" s="148"/>
      <c r="N178" s="149" t="s">
        <v>596</v>
      </c>
      <c r="O178" s="150">
        <v>3064</v>
      </c>
      <c r="P178" s="57">
        <v>43566</v>
      </c>
      <c r="Q178" s="116" t="s">
        <v>30</v>
      </c>
      <c r="R178" s="116" t="s">
        <v>30</v>
      </c>
      <c r="S178" s="34" t="s">
        <v>30</v>
      </c>
      <c r="T178" s="57">
        <v>43570</v>
      </c>
      <c r="U178" s="57">
        <v>43889</v>
      </c>
      <c r="V178" s="166">
        <v>43573</v>
      </c>
      <c r="W178" s="137">
        <f t="shared" ref="W178:W188" si="90">IF(P178="NC","NC",IF(P178="","erreur",P178+365))</f>
        <v>43931</v>
      </c>
      <c r="X178" s="57" t="str">
        <f t="shared" si="76"/>
        <v>NC</v>
      </c>
      <c r="Y178" s="57" t="str">
        <f t="shared" si="77"/>
        <v>NC</v>
      </c>
      <c r="Z178" s="57" t="str">
        <f t="shared" si="78"/>
        <v>NC</v>
      </c>
      <c r="AA178" s="57">
        <f t="shared" si="79"/>
        <v>43935</v>
      </c>
      <c r="AB178" s="57">
        <f t="shared" si="80"/>
        <v>44254</v>
      </c>
      <c r="AC178" s="57">
        <f t="shared" si="81"/>
        <v>44303</v>
      </c>
      <c r="AE178" s="123">
        <f t="shared" ca="1" si="82"/>
        <v>-1656</v>
      </c>
      <c r="AF178" s="123" t="str">
        <f t="shared" si="83"/>
        <v>NC</v>
      </c>
      <c r="AG178" s="123" t="str">
        <f t="shared" si="84"/>
        <v>NC</v>
      </c>
      <c r="AH178" s="123" t="str">
        <f t="shared" si="85"/>
        <v>NC</v>
      </c>
      <c r="AI178" s="123">
        <f t="shared" ca="1" si="86"/>
        <v>-1652</v>
      </c>
      <c r="AJ178" s="123">
        <f t="shared" ca="1" si="87"/>
        <v>-1333</v>
      </c>
      <c r="AK178" s="123">
        <f t="shared" ca="1" si="88"/>
        <v>-1284</v>
      </c>
      <c r="AL178" s="138"/>
      <c r="AM178" s="151">
        <f t="shared" si="89"/>
        <v>1.2321459461199412E-2</v>
      </c>
      <c r="AN178" s="152"/>
      <c r="AP178" s="124" t="s">
        <v>470</v>
      </c>
      <c r="AQ178" s="141" t="s">
        <v>643</v>
      </c>
      <c r="AS178" s="143" t="s">
        <v>1243</v>
      </c>
      <c r="AT178" s="143" t="s">
        <v>1248</v>
      </c>
      <c r="AU178" s="143" t="s">
        <v>1252</v>
      </c>
    </row>
    <row r="179" spans="1:47" s="138" customFormat="1" ht="14.4" customHeight="1" x14ac:dyDescent="0.3">
      <c r="A179" s="121" t="s">
        <v>190</v>
      </c>
      <c r="B179" s="117" t="s">
        <v>1095</v>
      </c>
      <c r="C179" s="121" t="s">
        <v>537</v>
      </c>
      <c r="D179" s="123" t="s">
        <v>145</v>
      </c>
      <c r="E179" s="123"/>
      <c r="F179" s="117" t="s">
        <v>280</v>
      </c>
      <c r="G179" s="120" t="s">
        <v>706</v>
      </c>
      <c r="H179" s="144">
        <v>43830</v>
      </c>
      <c r="I179" s="145">
        <v>45916990</v>
      </c>
      <c r="J179" s="146">
        <v>2016</v>
      </c>
      <c r="K179" s="154">
        <v>44835</v>
      </c>
      <c r="L179" s="133">
        <v>44136</v>
      </c>
      <c r="M179" s="148"/>
      <c r="N179" s="149" t="s">
        <v>596</v>
      </c>
      <c r="O179" s="150">
        <v>3071</v>
      </c>
      <c r="P179" s="57">
        <v>43566</v>
      </c>
      <c r="Q179" s="116" t="s">
        <v>30</v>
      </c>
      <c r="R179" s="116" t="s">
        <v>30</v>
      </c>
      <c r="S179" s="34" t="s">
        <v>30</v>
      </c>
      <c r="T179" s="57">
        <v>43570</v>
      </c>
      <c r="U179" s="57">
        <v>43889</v>
      </c>
      <c r="V179" s="166">
        <v>43572</v>
      </c>
      <c r="W179" s="137">
        <f t="shared" si="90"/>
        <v>43931</v>
      </c>
      <c r="X179" s="57" t="str">
        <f t="shared" si="76"/>
        <v>NC</v>
      </c>
      <c r="Y179" s="57" t="str">
        <f t="shared" si="77"/>
        <v>NC</v>
      </c>
      <c r="Z179" s="57" t="str">
        <f t="shared" si="78"/>
        <v>NC</v>
      </c>
      <c r="AA179" s="57">
        <f t="shared" si="79"/>
        <v>43935</v>
      </c>
      <c r="AB179" s="57">
        <f t="shared" si="80"/>
        <v>44254</v>
      </c>
      <c r="AC179" s="57">
        <f t="shared" si="81"/>
        <v>44302</v>
      </c>
      <c r="AD179" s="124"/>
      <c r="AE179" s="123">
        <f t="shared" ca="1" si="82"/>
        <v>-1656</v>
      </c>
      <c r="AF179" s="123" t="str">
        <f t="shared" si="83"/>
        <v>NC</v>
      </c>
      <c r="AG179" s="123" t="str">
        <f t="shared" si="84"/>
        <v>NC</v>
      </c>
      <c r="AH179" s="123" t="str">
        <f t="shared" si="85"/>
        <v>NC</v>
      </c>
      <c r="AI179" s="123">
        <f t="shared" ca="1" si="86"/>
        <v>-1652</v>
      </c>
      <c r="AJ179" s="123">
        <f t="shared" ca="1" si="87"/>
        <v>-1333</v>
      </c>
      <c r="AK179" s="123">
        <f t="shared" ca="1" si="88"/>
        <v>-1285</v>
      </c>
      <c r="AM179" s="151">
        <f t="shared" si="89"/>
        <v>9.6773694480665369E-3</v>
      </c>
      <c r="AN179" s="152"/>
      <c r="AO179" s="124"/>
      <c r="AP179" s="124" t="s">
        <v>470</v>
      </c>
      <c r="AQ179" s="141" t="s">
        <v>643</v>
      </c>
      <c r="AR179" s="124"/>
      <c r="AS179" s="143" t="s">
        <v>1243</v>
      </c>
      <c r="AT179" s="143" t="s">
        <v>1248</v>
      </c>
      <c r="AU179" s="143" t="s">
        <v>1252</v>
      </c>
    </row>
    <row r="180" spans="1:47" s="124" customFormat="1" ht="14.4" customHeight="1" x14ac:dyDescent="0.3">
      <c r="A180" s="116" t="s">
        <v>658</v>
      </c>
      <c r="B180" s="116" t="s">
        <v>1096</v>
      </c>
      <c r="C180" s="117" t="s">
        <v>538</v>
      </c>
      <c r="D180" s="116" t="s">
        <v>46</v>
      </c>
      <c r="E180" s="116"/>
      <c r="F180" s="117" t="s">
        <v>684</v>
      </c>
      <c r="G180" s="120" t="s">
        <v>890</v>
      </c>
      <c r="H180" s="156">
        <v>43830</v>
      </c>
      <c r="I180" s="134">
        <v>74731000</v>
      </c>
      <c r="J180" s="120">
        <v>2017</v>
      </c>
      <c r="K180" s="132"/>
      <c r="L180" s="158">
        <v>43952</v>
      </c>
      <c r="M180" s="116"/>
      <c r="N180" s="135" t="s">
        <v>596</v>
      </c>
      <c r="O180" s="116"/>
      <c r="P180" s="57">
        <v>43801</v>
      </c>
      <c r="Q180" s="57" t="s">
        <v>30</v>
      </c>
      <c r="R180" s="57" t="s">
        <v>30</v>
      </c>
      <c r="S180" s="34" t="s">
        <v>30</v>
      </c>
      <c r="T180" s="57">
        <v>43804</v>
      </c>
      <c r="U180" s="57">
        <v>43889</v>
      </c>
      <c r="V180" s="34">
        <v>43804</v>
      </c>
      <c r="W180" s="137">
        <f t="shared" si="90"/>
        <v>44166</v>
      </c>
      <c r="X180" s="57" t="str">
        <f t="shared" si="76"/>
        <v>NC</v>
      </c>
      <c r="Y180" s="57" t="str">
        <f t="shared" si="77"/>
        <v>NC</v>
      </c>
      <c r="Z180" s="57" t="str">
        <f t="shared" si="78"/>
        <v>NC</v>
      </c>
      <c r="AA180" s="57">
        <f t="shared" si="79"/>
        <v>44169</v>
      </c>
      <c r="AB180" s="57">
        <f t="shared" si="80"/>
        <v>44254</v>
      </c>
      <c r="AC180" s="57">
        <f t="shared" si="81"/>
        <v>44534</v>
      </c>
      <c r="AD180" s="138"/>
      <c r="AE180" s="123">
        <f t="shared" ca="1" si="82"/>
        <v>-1421</v>
      </c>
      <c r="AF180" s="123" t="str">
        <f t="shared" si="83"/>
        <v>NC</v>
      </c>
      <c r="AG180" s="123" t="str">
        <f t="shared" si="84"/>
        <v>NC</v>
      </c>
      <c r="AH180" s="123" t="str">
        <f t="shared" si="85"/>
        <v>NC</v>
      </c>
      <c r="AI180" s="123">
        <f t="shared" ca="1" si="86"/>
        <v>-1418</v>
      </c>
      <c r="AJ180" s="123">
        <f t="shared" ca="1" si="87"/>
        <v>-1333</v>
      </c>
      <c r="AK180" s="123">
        <f t="shared" ca="1" si="88"/>
        <v>-1053</v>
      </c>
      <c r="AL180" s="138"/>
      <c r="AM180" s="151">
        <f t="shared" si="89"/>
        <v>1.1446830583886869E-2</v>
      </c>
      <c r="AN180" s="138"/>
      <c r="AO180" s="138" t="s">
        <v>395</v>
      </c>
      <c r="AP180" s="138" t="s">
        <v>470</v>
      </c>
      <c r="AQ180" s="141" t="s">
        <v>643</v>
      </c>
      <c r="AR180" s="138"/>
      <c r="AS180" s="142" t="s">
        <v>1243</v>
      </c>
      <c r="AT180" s="143" t="s">
        <v>1262</v>
      </c>
      <c r="AU180" s="143" t="s">
        <v>396</v>
      </c>
    </row>
    <row r="181" spans="1:47" s="155" customFormat="1" ht="14.4" customHeight="1" x14ac:dyDescent="0.3">
      <c r="A181" s="117" t="s">
        <v>160</v>
      </c>
      <c r="B181" s="117" t="s">
        <v>1097</v>
      </c>
      <c r="C181" s="121" t="s">
        <v>537</v>
      </c>
      <c r="D181" s="116" t="s">
        <v>46</v>
      </c>
      <c r="E181" s="116"/>
      <c r="F181" s="117" t="s">
        <v>281</v>
      </c>
      <c r="G181" s="120" t="s">
        <v>891</v>
      </c>
      <c r="H181" s="144">
        <v>43830</v>
      </c>
      <c r="I181" s="145">
        <v>77402926</v>
      </c>
      <c r="J181" s="131">
        <v>2016</v>
      </c>
      <c r="K181" s="154">
        <v>44136</v>
      </c>
      <c r="L181" s="133">
        <v>43952</v>
      </c>
      <c r="M181" s="134"/>
      <c r="N181" s="149" t="s">
        <v>596</v>
      </c>
      <c r="O181" s="136">
        <v>2173</v>
      </c>
      <c r="P181" s="57">
        <v>43801</v>
      </c>
      <c r="Q181" s="116" t="s">
        <v>30</v>
      </c>
      <c r="R181" s="116" t="s">
        <v>30</v>
      </c>
      <c r="S181" s="34" t="s">
        <v>30</v>
      </c>
      <c r="T181" s="57">
        <v>43804</v>
      </c>
      <c r="U181" s="57">
        <v>43889</v>
      </c>
      <c r="V181" s="57">
        <v>43804</v>
      </c>
      <c r="W181" s="137">
        <f t="shared" si="90"/>
        <v>44166</v>
      </c>
      <c r="X181" s="57" t="str">
        <f t="shared" si="76"/>
        <v>NC</v>
      </c>
      <c r="Y181" s="57" t="str">
        <f t="shared" si="77"/>
        <v>NC</v>
      </c>
      <c r="Z181" s="57" t="str">
        <f t="shared" si="78"/>
        <v>NC</v>
      </c>
      <c r="AA181" s="57">
        <f t="shared" si="79"/>
        <v>44169</v>
      </c>
      <c r="AB181" s="57">
        <f t="shared" si="80"/>
        <v>44254</v>
      </c>
      <c r="AC181" s="57">
        <f t="shared" si="81"/>
        <v>44534</v>
      </c>
      <c r="AD181" s="124"/>
      <c r="AE181" s="123">
        <f t="shared" ca="1" si="82"/>
        <v>-1421</v>
      </c>
      <c r="AF181" s="123" t="str">
        <f t="shared" si="83"/>
        <v>NC</v>
      </c>
      <c r="AG181" s="123" t="str">
        <f t="shared" si="84"/>
        <v>NC</v>
      </c>
      <c r="AH181" s="123" t="str">
        <f t="shared" si="85"/>
        <v>NC</v>
      </c>
      <c r="AI181" s="123">
        <f t="shared" ca="1" si="86"/>
        <v>-1418</v>
      </c>
      <c r="AJ181" s="123">
        <f t="shared" ca="1" si="87"/>
        <v>-1333</v>
      </c>
      <c r="AK181" s="123">
        <f t="shared" ca="1" si="88"/>
        <v>-1053</v>
      </c>
      <c r="AL181" s="138"/>
      <c r="AM181" s="151">
        <f t="shared" si="89"/>
        <v>1.6313279926740736E-2</v>
      </c>
      <c r="AN181" s="152"/>
      <c r="AO181" s="124"/>
      <c r="AP181" s="124" t="s">
        <v>470</v>
      </c>
      <c r="AQ181" s="141" t="s">
        <v>643</v>
      </c>
      <c r="AR181" s="138"/>
      <c r="AS181" s="142" t="s">
        <v>1243</v>
      </c>
      <c r="AT181" s="143" t="s">
        <v>1248</v>
      </c>
      <c r="AU181" s="143" t="s">
        <v>1263</v>
      </c>
    </row>
    <row r="182" spans="1:47" s="124" customFormat="1" ht="14.4" customHeight="1" x14ac:dyDescent="0.3">
      <c r="A182" s="116" t="s">
        <v>399</v>
      </c>
      <c r="B182" s="117" t="s">
        <v>1097</v>
      </c>
      <c r="C182" s="121" t="s">
        <v>537</v>
      </c>
      <c r="D182" s="116" t="s">
        <v>145</v>
      </c>
      <c r="E182" s="116"/>
      <c r="F182" s="117" t="s">
        <v>501</v>
      </c>
      <c r="G182" s="120" t="s">
        <v>985</v>
      </c>
      <c r="H182" s="156">
        <v>43830</v>
      </c>
      <c r="I182" s="145">
        <v>77402926</v>
      </c>
      <c r="J182" s="120">
        <v>2016</v>
      </c>
      <c r="K182" s="154"/>
      <c r="L182" s="162">
        <v>44166</v>
      </c>
      <c r="M182" s="116"/>
      <c r="N182" s="149" t="s">
        <v>596</v>
      </c>
      <c r="O182" s="136">
        <v>2332</v>
      </c>
      <c r="P182" s="57">
        <v>43795</v>
      </c>
      <c r="Q182" s="57" t="s">
        <v>30</v>
      </c>
      <c r="R182" s="57" t="s">
        <v>30</v>
      </c>
      <c r="S182" s="34" t="s">
        <v>30</v>
      </c>
      <c r="T182" s="57">
        <v>43796</v>
      </c>
      <c r="U182" s="57">
        <v>43889</v>
      </c>
      <c r="V182" s="34">
        <v>43796</v>
      </c>
      <c r="W182" s="137">
        <f t="shared" si="90"/>
        <v>44160</v>
      </c>
      <c r="X182" s="57" t="str">
        <f t="shared" si="76"/>
        <v>NC</v>
      </c>
      <c r="Y182" s="57" t="str">
        <f t="shared" si="77"/>
        <v>NC</v>
      </c>
      <c r="Z182" s="57" t="str">
        <f t="shared" si="78"/>
        <v>NC</v>
      </c>
      <c r="AA182" s="57">
        <f t="shared" si="79"/>
        <v>44161</v>
      </c>
      <c r="AB182" s="57">
        <f t="shared" si="80"/>
        <v>44254</v>
      </c>
      <c r="AC182" s="57">
        <f t="shared" si="81"/>
        <v>44526</v>
      </c>
      <c r="AD182" s="138"/>
      <c r="AE182" s="123">
        <f t="shared" ca="1" si="82"/>
        <v>-1427</v>
      </c>
      <c r="AF182" s="123" t="str">
        <f t="shared" si="83"/>
        <v>NC</v>
      </c>
      <c r="AG182" s="123" t="str">
        <f t="shared" si="84"/>
        <v>NC</v>
      </c>
      <c r="AH182" s="123" t="str">
        <f t="shared" si="85"/>
        <v>NC</v>
      </c>
      <c r="AI182" s="123">
        <f t="shared" ca="1" si="86"/>
        <v>-1426</v>
      </c>
      <c r="AJ182" s="123">
        <f t="shared" ca="1" si="87"/>
        <v>-1333</v>
      </c>
      <c r="AK182" s="123">
        <f t="shared" ca="1" si="88"/>
        <v>-1061</v>
      </c>
      <c r="AL182" s="138"/>
      <c r="AM182" s="151">
        <f t="shared" si="89"/>
        <v>1.6313279926740736E-2</v>
      </c>
      <c r="AN182" s="138"/>
      <c r="AO182" s="138"/>
      <c r="AP182" s="138" t="s">
        <v>470</v>
      </c>
      <c r="AQ182" s="141" t="s">
        <v>643</v>
      </c>
      <c r="AS182" s="143" t="s">
        <v>1243</v>
      </c>
      <c r="AT182" s="143" t="s">
        <v>1248</v>
      </c>
      <c r="AU182" s="143" t="s">
        <v>1263</v>
      </c>
    </row>
    <row r="183" spans="1:47" s="124" customFormat="1" ht="14.4" customHeight="1" x14ac:dyDescent="0.3">
      <c r="A183" s="116" t="s">
        <v>402</v>
      </c>
      <c r="B183" s="117" t="s">
        <v>1097</v>
      </c>
      <c r="C183" s="117" t="s">
        <v>537</v>
      </c>
      <c r="D183" s="116" t="s">
        <v>46</v>
      </c>
      <c r="E183" s="116"/>
      <c r="F183" s="117" t="s">
        <v>582</v>
      </c>
      <c r="G183" s="120" t="s">
        <v>983</v>
      </c>
      <c r="H183" s="156">
        <v>43830</v>
      </c>
      <c r="I183" s="145">
        <v>77402926</v>
      </c>
      <c r="J183" s="120">
        <v>2017</v>
      </c>
      <c r="K183" s="132"/>
      <c r="L183" s="158">
        <v>43952</v>
      </c>
      <c r="M183" s="116"/>
      <c r="N183" s="135" t="s">
        <v>596</v>
      </c>
      <c r="O183" s="116"/>
      <c r="P183" s="57">
        <v>43801</v>
      </c>
      <c r="Q183" s="57" t="s">
        <v>30</v>
      </c>
      <c r="R183" s="57" t="s">
        <v>30</v>
      </c>
      <c r="S183" s="34" t="s">
        <v>30</v>
      </c>
      <c r="T183" s="57">
        <v>43804</v>
      </c>
      <c r="U183" s="57">
        <v>43889</v>
      </c>
      <c r="V183" s="34">
        <v>43804</v>
      </c>
      <c r="W183" s="137">
        <f t="shared" si="90"/>
        <v>44166</v>
      </c>
      <c r="X183" s="57" t="str">
        <f t="shared" si="76"/>
        <v>NC</v>
      </c>
      <c r="Y183" s="57" t="str">
        <f t="shared" si="77"/>
        <v>NC</v>
      </c>
      <c r="Z183" s="57" t="str">
        <f t="shared" si="78"/>
        <v>NC</v>
      </c>
      <c r="AA183" s="57">
        <f t="shared" si="79"/>
        <v>44169</v>
      </c>
      <c r="AB183" s="57">
        <f t="shared" si="80"/>
        <v>44254</v>
      </c>
      <c r="AC183" s="57">
        <f t="shared" si="81"/>
        <v>44534</v>
      </c>
      <c r="AD183" s="138"/>
      <c r="AE183" s="123">
        <f t="shared" ca="1" si="82"/>
        <v>-1421</v>
      </c>
      <c r="AF183" s="123" t="str">
        <f t="shared" si="83"/>
        <v>NC</v>
      </c>
      <c r="AG183" s="123" t="str">
        <f t="shared" si="84"/>
        <v>NC</v>
      </c>
      <c r="AH183" s="123" t="str">
        <f t="shared" si="85"/>
        <v>NC</v>
      </c>
      <c r="AI183" s="123">
        <f t="shared" ca="1" si="86"/>
        <v>-1418</v>
      </c>
      <c r="AJ183" s="123">
        <f t="shared" ca="1" si="87"/>
        <v>-1333</v>
      </c>
      <c r="AK183" s="123">
        <f t="shared" ca="1" si="88"/>
        <v>-1053</v>
      </c>
      <c r="AL183" s="138"/>
      <c r="AM183" s="151">
        <f t="shared" si="89"/>
        <v>1.1856099618888175E-2</v>
      </c>
      <c r="AN183" s="138"/>
      <c r="AO183" s="138"/>
      <c r="AP183" s="138" t="s">
        <v>470</v>
      </c>
      <c r="AQ183" s="141" t="s">
        <v>643</v>
      </c>
      <c r="AS183" s="143" t="s">
        <v>1243</v>
      </c>
      <c r="AT183" s="143" t="s">
        <v>1248</v>
      </c>
      <c r="AU183" s="143" t="s">
        <v>1263</v>
      </c>
    </row>
    <row r="184" spans="1:47" s="124" customFormat="1" ht="14.4" customHeight="1" x14ac:dyDescent="0.3">
      <c r="A184" s="179" t="s">
        <v>97</v>
      </c>
      <c r="B184" s="179" t="s">
        <v>98</v>
      </c>
      <c r="C184" s="179" t="s">
        <v>538</v>
      </c>
      <c r="D184" s="180" t="s">
        <v>357</v>
      </c>
      <c r="E184" s="180"/>
      <c r="F184" s="181" t="s">
        <v>283</v>
      </c>
      <c r="G184" s="182" t="s">
        <v>461</v>
      </c>
      <c r="H184" s="183">
        <v>43830</v>
      </c>
      <c r="I184" s="184">
        <v>77402926</v>
      </c>
      <c r="J184" s="185">
        <v>2004</v>
      </c>
      <c r="K184" s="186" t="s">
        <v>609</v>
      </c>
      <c r="L184" s="187">
        <v>43922</v>
      </c>
      <c r="M184" s="184"/>
      <c r="N184" s="188" t="s">
        <v>596</v>
      </c>
      <c r="O184" s="189"/>
      <c r="P184" s="190" t="s">
        <v>30</v>
      </c>
      <c r="Q184" s="191" t="s">
        <v>30</v>
      </c>
      <c r="R184" s="190" t="s">
        <v>30</v>
      </c>
      <c r="S184" s="192" t="s">
        <v>30</v>
      </c>
      <c r="T184" s="190" t="s">
        <v>30</v>
      </c>
      <c r="U184" s="190" t="s">
        <v>30</v>
      </c>
      <c r="V184" s="193" t="s">
        <v>30</v>
      </c>
      <c r="W184" s="194" t="str">
        <f t="shared" si="90"/>
        <v>NC</v>
      </c>
      <c r="X184" s="190" t="str">
        <f t="shared" si="76"/>
        <v>NC</v>
      </c>
      <c r="Y184" s="190" t="str">
        <f t="shared" si="77"/>
        <v>NC</v>
      </c>
      <c r="Z184" s="190" t="str">
        <f t="shared" si="78"/>
        <v>NC</v>
      </c>
      <c r="AA184" s="190" t="str">
        <f t="shared" si="79"/>
        <v>NC</v>
      </c>
      <c r="AB184" s="190" t="str">
        <f t="shared" si="80"/>
        <v>NC</v>
      </c>
      <c r="AC184" s="190" t="str">
        <f t="shared" si="81"/>
        <v>NC</v>
      </c>
      <c r="AD184" s="155"/>
      <c r="AE184" s="180" t="str">
        <f t="shared" si="82"/>
        <v>NC</v>
      </c>
      <c r="AF184" s="180" t="str">
        <f t="shared" si="83"/>
        <v>NC</v>
      </c>
      <c r="AG184" s="180" t="str">
        <f t="shared" si="84"/>
        <v>NC</v>
      </c>
      <c r="AH184" s="180" t="str">
        <f t="shared" si="85"/>
        <v>NC</v>
      </c>
      <c r="AI184" s="180" t="str">
        <f t="shared" si="86"/>
        <v>NC</v>
      </c>
      <c r="AJ184" s="180" t="str">
        <f t="shared" si="87"/>
        <v>NC</v>
      </c>
      <c r="AK184" s="180" t="str">
        <f t="shared" si="88"/>
        <v>NC</v>
      </c>
      <c r="AL184" s="195"/>
      <c r="AM184" s="196">
        <f t="shared" si="89"/>
        <v>6.9799443620971444E-2</v>
      </c>
      <c r="AN184" s="197"/>
      <c r="AO184" s="155"/>
      <c r="AP184" s="155" t="s">
        <v>470</v>
      </c>
      <c r="AQ184" s="198" t="s">
        <v>643</v>
      </c>
      <c r="AR184" s="195"/>
      <c r="AS184" s="199" t="s">
        <v>1243</v>
      </c>
      <c r="AT184" s="200" t="s">
        <v>1249</v>
      </c>
      <c r="AU184" s="200" t="s">
        <v>1264</v>
      </c>
    </row>
    <row r="185" spans="1:47" s="124" customFormat="1" ht="14.4" customHeight="1" x14ac:dyDescent="0.3">
      <c r="A185" s="201" t="s">
        <v>99</v>
      </c>
      <c r="B185" s="202" t="s">
        <v>1098</v>
      </c>
      <c r="C185" s="121" t="s">
        <v>538</v>
      </c>
      <c r="D185" s="203" t="s">
        <v>357</v>
      </c>
      <c r="E185" s="203"/>
      <c r="F185" s="128" t="s">
        <v>284</v>
      </c>
      <c r="G185" s="204" t="s">
        <v>462</v>
      </c>
      <c r="H185" s="205">
        <v>43830</v>
      </c>
      <c r="I185" s="206">
        <v>97409615</v>
      </c>
      <c r="J185" s="207">
        <v>2006</v>
      </c>
      <c r="K185" s="147" t="s">
        <v>609</v>
      </c>
      <c r="L185" s="133">
        <v>43922</v>
      </c>
      <c r="M185" s="148"/>
      <c r="N185" s="149" t="s">
        <v>596</v>
      </c>
      <c r="O185" s="150"/>
      <c r="P185" s="208">
        <v>43703</v>
      </c>
      <c r="Q185" s="127" t="s">
        <v>30</v>
      </c>
      <c r="R185" s="208" t="s">
        <v>30</v>
      </c>
      <c r="S185" s="209" t="s">
        <v>30</v>
      </c>
      <c r="T185" s="208">
        <v>43860</v>
      </c>
      <c r="U185" s="57">
        <v>43889</v>
      </c>
      <c r="V185" s="210">
        <v>43677</v>
      </c>
      <c r="W185" s="137">
        <f t="shared" si="90"/>
        <v>44068</v>
      </c>
      <c r="X185" s="57" t="str">
        <f t="shared" si="76"/>
        <v>NC</v>
      </c>
      <c r="Y185" s="57" t="str">
        <f t="shared" si="77"/>
        <v>NC</v>
      </c>
      <c r="Z185" s="57" t="str">
        <f t="shared" si="78"/>
        <v>NC</v>
      </c>
      <c r="AA185" s="57">
        <f t="shared" si="79"/>
        <v>44225</v>
      </c>
      <c r="AB185" s="57">
        <f t="shared" si="80"/>
        <v>44254</v>
      </c>
      <c r="AC185" s="57">
        <f t="shared" si="81"/>
        <v>44407</v>
      </c>
      <c r="AE185" s="123">
        <f t="shared" ca="1" si="82"/>
        <v>-1519</v>
      </c>
      <c r="AF185" s="123" t="str">
        <f t="shared" si="83"/>
        <v>NC</v>
      </c>
      <c r="AG185" s="123" t="str">
        <f t="shared" si="84"/>
        <v>NC</v>
      </c>
      <c r="AH185" s="123" t="str">
        <f t="shared" si="85"/>
        <v>NC</v>
      </c>
      <c r="AI185" s="123">
        <f t="shared" ca="1" si="86"/>
        <v>-1362</v>
      </c>
      <c r="AJ185" s="123">
        <f t="shared" ca="1" si="87"/>
        <v>-1333</v>
      </c>
      <c r="AK185" s="123">
        <f t="shared" ca="1" si="88"/>
        <v>-1180</v>
      </c>
      <c r="AL185" s="138"/>
      <c r="AM185" s="151">
        <f t="shared" si="89"/>
        <v>7.6622329429588187E-2</v>
      </c>
      <c r="AN185" s="152"/>
      <c r="AP185" s="124" t="s">
        <v>470</v>
      </c>
      <c r="AQ185" s="141" t="s">
        <v>643</v>
      </c>
      <c r="AS185" s="143" t="s">
        <v>1243</v>
      </c>
      <c r="AT185" s="143" t="s">
        <v>1265</v>
      </c>
      <c r="AU185" s="143" t="s">
        <v>1266</v>
      </c>
    </row>
    <row r="186" spans="1:47" s="212" customFormat="1" ht="14.4" customHeight="1" x14ac:dyDescent="0.3">
      <c r="A186" s="127" t="s">
        <v>380</v>
      </c>
      <c r="B186" s="116" t="s">
        <v>1480</v>
      </c>
      <c r="C186" s="121" t="s">
        <v>538</v>
      </c>
      <c r="D186" s="127" t="s">
        <v>46</v>
      </c>
      <c r="E186" s="127"/>
      <c r="F186" s="128" t="s">
        <v>425</v>
      </c>
      <c r="G186" s="129" t="s">
        <v>982</v>
      </c>
      <c r="H186" s="205">
        <v>43830</v>
      </c>
      <c r="I186" s="211">
        <v>105000000</v>
      </c>
      <c r="J186" s="129">
        <v>2009</v>
      </c>
      <c r="K186" s="154"/>
      <c r="L186" s="162">
        <v>43952</v>
      </c>
      <c r="M186" s="116"/>
      <c r="N186" s="149" t="s">
        <v>596</v>
      </c>
      <c r="O186" s="136">
        <v>681</v>
      </c>
      <c r="P186" s="208">
        <v>43801</v>
      </c>
      <c r="Q186" s="208" t="s">
        <v>30</v>
      </c>
      <c r="R186" s="208" t="s">
        <v>30</v>
      </c>
      <c r="S186" s="209" t="s">
        <v>30</v>
      </c>
      <c r="T186" s="208">
        <v>43804</v>
      </c>
      <c r="U186" s="57">
        <v>43889</v>
      </c>
      <c r="V186" s="209">
        <v>43804</v>
      </c>
      <c r="W186" s="137">
        <f t="shared" si="90"/>
        <v>44166</v>
      </c>
      <c r="X186" s="57" t="str">
        <f t="shared" si="76"/>
        <v>NC</v>
      </c>
      <c r="Y186" s="57" t="str">
        <f t="shared" si="77"/>
        <v>NC</v>
      </c>
      <c r="Z186" s="57" t="str">
        <f t="shared" si="78"/>
        <v>NC</v>
      </c>
      <c r="AA186" s="57">
        <f t="shared" si="79"/>
        <v>44169</v>
      </c>
      <c r="AB186" s="57">
        <f t="shared" si="80"/>
        <v>44254</v>
      </c>
      <c r="AC186" s="57">
        <f t="shared" si="81"/>
        <v>44534</v>
      </c>
      <c r="AD186" s="138"/>
      <c r="AE186" s="123">
        <f t="shared" ca="1" si="82"/>
        <v>-1421</v>
      </c>
      <c r="AF186" s="123" t="str">
        <f t="shared" si="83"/>
        <v>NC</v>
      </c>
      <c r="AG186" s="123" t="str">
        <f t="shared" si="84"/>
        <v>NC</v>
      </c>
      <c r="AH186" s="123" t="str">
        <f t="shared" si="85"/>
        <v>NC</v>
      </c>
      <c r="AI186" s="123">
        <f t="shared" ca="1" si="86"/>
        <v>-1418</v>
      </c>
      <c r="AJ186" s="123">
        <f t="shared" ca="1" si="87"/>
        <v>-1333</v>
      </c>
      <c r="AK186" s="123">
        <f t="shared" ca="1" si="88"/>
        <v>-1053</v>
      </c>
      <c r="AL186" s="138"/>
      <c r="AM186" s="151">
        <f t="shared" si="89"/>
        <v>6.4453918945898872E-2</v>
      </c>
      <c r="AN186" s="138"/>
      <c r="AO186" s="138"/>
      <c r="AP186" s="124" t="s">
        <v>470</v>
      </c>
      <c r="AQ186" s="141" t="s">
        <v>643</v>
      </c>
      <c r="AR186" s="124"/>
      <c r="AS186" s="143" t="s">
        <v>1243</v>
      </c>
      <c r="AT186" s="143" t="s">
        <v>1261</v>
      </c>
      <c r="AU186" s="143" t="s">
        <v>1251</v>
      </c>
    </row>
    <row r="187" spans="1:47" s="138" customFormat="1" ht="14.4" customHeight="1" x14ac:dyDescent="0.3">
      <c r="A187" s="121" t="s">
        <v>31</v>
      </c>
      <c r="B187" s="117" t="s">
        <v>1100</v>
      </c>
      <c r="C187" s="121" t="s">
        <v>538</v>
      </c>
      <c r="D187" s="123" t="s">
        <v>145</v>
      </c>
      <c r="E187" s="123"/>
      <c r="F187" s="117" t="s">
        <v>285</v>
      </c>
      <c r="G187" s="120" t="s">
        <v>477</v>
      </c>
      <c r="H187" s="156">
        <v>43830</v>
      </c>
      <c r="I187" s="145">
        <v>97409615</v>
      </c>
      <c r="J187" s="146">
        <v>2011</v>
      </c>
      <c r="K187" s="147" t="s">
        <v>609</v>
      </c>
      <c r="L187" s="133">
        <v>44166</v>
      </c>
      <c r="M187" s="148"/>
      <c r="N187" s="149" t="s">
        <v>596</v>
      </c>
      <c r="O187" s="150">
        <v>4759</v>
      </c>
      <c r="P187" s="57">
        <v>43858</v>
      </c>
      <c r="Q187" s="57" t="s">
        <v>30</v>
      </c>
      <c r="R187" s="57" t="s">
        <v>30</v>
      </c>
      <c r="S187" s="34" t="s">
        <v>30</v>
      </c>
      <c r="T187" s="57">
        <v>43860</v>
      </c>
      <c r="U187" s="57">
        <v>43889</v>
      </c>
      <c r="V187" s="163">
        <v>43503</v>
      </c>
      <c r="W187" s="137">
        <f t="shared" si="90"/>
        <v>44223</v>
      </c>
      <c r="X187" s="57" t="str">
        <f t="shared" si="76"/>
        <v>NC</v>
      </c>
      <c r="Y187" s="57" t="str">
        <f t="shared" si="77"/>
        <v>NC</v>
      </c>
      <c r="Z187" s="57" t="str">
        <f t="shared" si="78"/>
        <v>NC</v>
      </c>
      <c r="AA187" s="57">
        <f t="shared" si="79"/>
        <v>44225</v>
      </c>
      <c r="AB187" s="57">
        <f t="shared" si="80"/>
        <v>44254</v>
      </c>
      <c r="AC187" s="57">
        <f t="shared" si="81"/>
        <v>44233</v>
      </c>
      <c r="AD187" s="124"/>
      <c r="AE187" s="123">
        <f t="shared" ca="1" si="82"/>
        <v>-1364</v>
      </c>
      <c r="AF187" s="123" t="str">
        <f t="shared" si="83"/>
        <v>NC</v>
      </c>
      <c r="AG187" s="123" t="str">
        <f t="shared" si="84"/>
        <v>NC</v>
      </c>
      <c r="AH187" s="123" t="str">
        <f t="shared" si="85"/>
        <v>NC</v>
      </c>
      <c r="AI187" s="123">
        <f t="shared" ca="1" si="86"/>
        <v>-1362</v>
      </c>
      <c r="AJ187" s="123">
        <f t="shared" ca="1" si="87"/>
        <v>-1333</v>
      </c>
      <c r="AK187" s="123">
        <f t="shared" ca="1" si="88"/>
        <v>-1354</v>
      </c>
      <c r="AM187" s="151">
        <f t="shared" si="89"/>
        <v>4.8576088789182723E-2</v>
      </c>
      <c r="AN187" s="152"/>
      <c r="AO187" s="124" t="s">
        <v>395</v>
      </c>
      <c r="AP187" s="124" t="s">
        <v>470</v>
      </c>
      <c r="AQ187" s="141" t="s">
        <v>643</v>
      </c>
      <c r="AR187" s="124"/>
      <c r="AS187" s="143" t="s">
        <v>1243</v>
      </c>
      <c r="AT187" s="143" t="s">
        <v>1267</v>
      </c>
      <c r="AU187" s="143" t="s">
        <v>1266</v>
      </c>
    </row>
    <row r="188" spans="1:47" s="138" customFormat="1" ht="14.4" customHeight="1" x14ac:dyDescent="0.3">
      <c r="A188" s="125" t="s">
        <v>32</v>
      </c>
      <c r="B188" s="117" t="s">
        <v>1101</v>
      </c>
      <c r="C188" s="121" t="s">
        <v>538</v>
      </c>
      <c r="D188" s="123" t="s">
        <v>46</v>
      </c>
      <c r="E188" s="123"/>
      <c r="F188" s="117" t="s">
        <v>282</v>
      </c>
      <c r="G188" s="120" t="s">
        <v>488</v>
      </c>
      <c r="H188" s="156">
        <v>43830</v>
      </c>
      <c r="I188" s="153">
        <v>105000000</v>
      </c>
      <c r="J188" s="146">
        <v>2013</v>
      </c>
      <c r="K188" s="147" t="s">
        <v>609</v>
      </c>
      <c r="L188" s="133">
        <v>43952</v>
      </c>
      <c r="M188" s="148"/>
      <c r="N188" s="149" t="s">
        <v>596</v>
      </c>
      <c r="O188" s="150">
        <v>148</v>
      </c>
      <c r="P188" s="57">
        <v>43866</v>
      </c>
      <c r="Q188" s="57" t="s">
        <v>30</v>
      </c>
      <c r="R188" s="57" t="s">
        <v>30</v>
      </c>
      <c r="S188" s="34" t="s">
        <v>30</v>
      </c>
      <c r="T188" s="57">
        <v>43795</v>
      </c>
      <c r="U188" s="57">
        <v>43889</v>
      </c>
      <c r="V188" s="34">
        <v>43532</v>
      </c>
      <c r="W188" s="137">
        <f t="shared" si="90"/>
        <v>44231</v>
      </c>
      <c r="X188" s="57" t="str">
        <f t="shared" si="76"/>
        <v>NC</v>
      </c>
      <c r="Y188" s="57" t="str">
        <f t="shared" si="77"/>
        <v>NC</v>
      </c>
      <c r="Z188" s="57" t="str">
        <f t="shared" si="78"/>
        <v>NC</v>
      </c>
      <c r="AA188" s="57">
        <f t="shared" si="79"/>
        <v>44160</v>
      </c>
      <c r="AB188" s="57">
        <f t="shared" si="80"/>
        <v>44254</v>
      </c>
      <c r="AC188" s="57">
        <f t="shared" si="81"/>
        <v>44262</v>
      </c>
      <c r="AD188" s="124"/>
      <c r="AE188" s="123">
        <f t="shared" ca="1" si="82"/>
        <v>-1356</v>
      </c>
      <c r="AF188" s="123" t="str">
        <f t="shared" si="83"/>
        <v>NC</v>
      </c>
      <c r="AG188" s="123" t="str">
        <f t="shared" si="84"/>
        <v>NC</v>
      </c>
      <c r="AH188" s="123" t="str">
        <f t="shared" si="85"/>
        <v>NC</v>
      </c>
      <c r="AI188" s="123">
        <f t="shared" ca="1" si="86"/>
        <v>-1427</v>
      </c>
      <c r="AJ188" s="123">
        <f t="shared" ca="1" si="87"/>
        <v>-1333</v>
      </c>
      <c r="AK188" s="123">
        <f t="shared" ca="1" si="88"/>
        <v>-1325</v>
      </c>
      <c r="AM188" s="151">
        <f t="shared" si="89"/>
        <v>4.0268583506537378E-2</v>
      </c>
      <c r="AN188" s="152"/>
      <c r="AO188" s="124"/>
      <c r="AP188" s="124" t="s">
        <v>470</v>
      </c>
      <c r="AQ188" s="141" t="s">
        <v>643</v>
      </c>
      <c r="AR188" s="124"/>
      <c r="AS188" s="143" t="s">
        <v>1243</v>
      </c>
      <c r="AT188" s="143" t="s">
        <v>1261</v>
      </c>
      <c r="AU188" s="143" t="s">
        <v>1251</v>
      </c>
    </row>
    <row r="189" spans="1:47" s="124" customFormat="1" ht="14.4" customHeight="1" x14ac:dyDescent="0.3">
      <c r="A189" s="213" t="s">
        <v>1041</v>
      </c>
      <c r="B189" s="119" t="s">
        <v>1505</v>
      </c>
      <c r="C189" s="214" t="s">
        <v>538</v>
      </c>
      <c r="D189" s="215" t="s">
        <v>357</v>
      </c>
      <c r="E189" s="215"/>
      <c r="F189" s="214" t="s">
        <v>1506</v>
      </c>
      <c r="G189" s="216"/>
      <c r="H189" s="217"/>
      <c r="I189" s="218"/>
      <c r="J189" s="219">
        <v>2013</v>
      </c>
      <c r="K189" s="220"/>
      <c r="L189" s="220"/>
      <c r="M189" s="221"/>
      <c r="N189" s="222"/>
      <c r="O189" s="223"/>
      <c r="P189" s="224"/>
      <c r="Q189" s="224"/>
      <c r="R189" s="224"/>
      <c r="S189" s="225"/>
      <c r="T189" s="224"/>
      <c r="U189" s="224"/>
      <c r="V189" s="225"/>
      <c r="W189" s="226"/>
      <c r="X189" s="224"/>
      <c r="Y189" s="224"/>
      <c r="Z189" s="224"/>
      <c r="AA189" s="224"/>
      <c r="AB189" s="224"/>
      <c r="AC189" s="224"/>
      <c r="AD189" s="212"/>
      <c r="AE189" s="215"/>
      <c r="AF189" s="215"/>
      <c r="AG189" s="215"/>
      <c r="AH189" s="215"/>
      <c r="AI189" s="215"/>
      <c r="AJ189" s="215"/>
      <c r="AK189" s="215"/>
      <c r="AL189" s="212"/>
      <c r="AM189" s="227"/>
      <c r="AN189" s="152"/>
      <c r="AO189" s="212"/>
      <c r="AP189" s="212"/>
      <c r="AQ189" s="212"/>
      <c r="AR189" s="212"/>
      <c r="AS189" s="228" t="s">
        <v>1243</v>
      </c>
      <c r="AT189" s="228" t="s">
        <v>1246</v>
      </c>
      <c r="AU189" s="228" t="s">
        <v>1263</v>
      </c>
    </row>
    <row r="190" spans="1:47" s="124" customFormat="1" ht="14.4" customHeight="1" x14ac:dyDescent="0.3">
      <c r="A190" s="121" t="s">
        <v>33</v>
      </c>
      <c r="B190" s="121" t="s">
        <v>1102</v>
      </c>
      <c r="C190" s="121" t="s">
        <v>538</v>
      </c>
      <c r="D190" s="123" t="s">
        <v>46</v>
      </c>
      <c r="E190" s="123"/>
      <c r="F190" s="117" t="s">
        <v>286</v>
      </c>
      <c r="G190" s="120" t="s">
        <v>486</v>
      </c>
      <c r="H190" s="156">
        <v>43830</v>
      </c>
      <c r="I190" s="153">
        <v>77402926</v>
      </c>
      <c r="J190" s="146">
        <v>2014</v>
      </c>
      <c r="K190" s="147" t="s">
        <v>609</v>
      </c>
      <c r="L190" s="133">
        <v>43952</v>
      </c>
      <c r="M190" s="148"/>
      <c r="N190" s="149" t="s">
        <v>596</v>
      </c>
      <c r="O190" s="150">
        <v>6295</v>
      </c>
      <c r="P190" s="57">
        <v>43858</v>
      </c>
      <c r="Q190" s="57" t="s">
        <v>30</v>
      </c>
      <c r="R190" s="57" t="s">
        <v>30</v>
      </c>
      <c r="S190" s="34" t="s">
        <v>30</v>
      </c>
      <c r="T190" s="57">
        <v>43860</v>
      </c>
      <c r="U190" s="57">
        <v>43889</v>
      </c>
      <c r="V190" s="163">
        <v>43503</v>
      </c>
      <c r="W190" s="137">
        <f t="shared" ref="W190:W221" si="91">IF(P190="NC","NC",IF(P190="","erreur",P190+365))</f>
        <v>44223</v>
      </c>
      <c r="X190" s="57" t="str">
        <f t="shared" ref="X190:X195" si="92">IF(Q190="NC","NC",IF(Q190="","erreur",Q190+181))</f>
        <v>NC</v>
      </c>
      <c r="Y190" s="57" t="str">
        <f t="shared" ref="Y190:Y221" si="93">IF(R190="NC","NC",IF(R190="","erreur",R190+365))</f>
        <v>NC</v>
      </c>
      <c r="Z190" s="57" t="str">
        <f t="shared" ref="Z190:Z221" si="94">IF(S190="NC","NC",IF(S190="","erreur",S190+3650))</f>
        <v>NC</v>
      </c>
      <c r="AA190" s="57">
        <f t="shared" ref="AA190:AA221" si="95">IF(T190="NC","NC",IF(T190="","erreur",T190+365))</f>
        <v>44225</v>
      </c>
      <c r="AB190" s="57">
        <f t="shared" ref="AB190:AB221" si="96">IF(U190="NC","NC",IF(U190="","erreur",U190+365))</f>
        <v>44254</v>
      </c>
      <c r="AC190" s="57">
        <f t="shared" ref="AC190:AC221" si="97">IF(V190="NC","NC",IF(V190="","erreur",V190+730))</f>
        <v>44233</v>
      </c>
      <c r="AE190" s="123">
        <f t="shared" ref="AE190:AE221" ca="1" si="98">IF(W190="NC","NC",IF(W190="erreur","erreur",W190-$F$3))</f>
        <v>-1364</v>
      </c>
      <c r="AF190" s="123" t="str">
        <f t="shared" ref="AF190:AF221" si="99">IF(X190="NC","NC",IF(X190="erreur","erreur",X190-$F$3))</f>
        <v>NC</v>
      </c>
      <c r="AG190" s="123" t="str">
        <f t="shared" ref="AG190:AG221" si="100">IF(Y190="NC","NC",IF(Y190="erreur","erreur",Y190-$F$3))</f>
        <v>NC</v>
      </c>
      <c r="AH190" s="123" t="str">
        <f t="shared" ref="AH190:AH221" si="101">IF(Z190="NC","NC",IF(Z190="erreur","erreur",Z190-$F$3))</f>
        <v>NC</v>
      </c>
      <c r="AI190" s="123">
        <f t="shared" ref="AI190:AI221" ca="1" si="102">IF(AA190="NC","NC",IF(AA190="erreur","erreur",AA190-$F$3))</f>
        <v>-1362</v>
      </c>
      <c r="AJ190" s="123">
        <f t="shared" ref="AJ190:AJ221" ca="1" si="103">IF(AB190="NC","NC",IF(AB190="erreur","erreur",AB190-$F$3))</f>
        <v>-1333</v>
      </c>
      <c r="AK190" s="123">
        <f t="shared" ref="AK190:AK221" ca="1" si="104">IF(AC190="NC","NC",IF(AC190="erreur","erreur",AC190-$F$3))</f>
        <v>-1354</v>
      </c>
      <c r="AL190" s="138"/>
      <c r="AM190" s="151">
        <f t="shared" ref="AM190:AM202" si="105">I190*($AM$3-J190)/$I$4</f>
        <v>2.5227640542445855E-2</v>
      </c>
      <c r="AN190" s="152"/>
      <c r="AO190" s="124" t="s">
        <v>395</v>
      </c>
      <c r="AP190" s="124" t="s">
        <v>470</v>
      </c>
      <c r="AQ190" s="141" t="s">
        <v>643</v>
      </c>
      <c r="AS190" s="143" t="s">
        <v>1243</v>
      </c>
      <c r="AT190" s="143" t="s">
        <v>1268</v>
      </c>
      <c r="AU190" s="143" t="s">
        <v>1269</v>
      </c>
    </row>
    <row r="191" spans="1:47" s="124" customFormat="1" ht="14.4" customHeight="1" x14ac:dyDescent="0.3">
      <c r="A191" s="121" t="s">
        <v>34</v>
      </c>
      <c r="B191" s="201" t="s">
        <v>1103</v>
      </c>
      <c r="C191" s="121" t="s">
        <v>538</v>
      </c>
      <c r="D191" s="123" t="s">
        <v>46</v>
      </c>
      <c r="E191" s="123"/>
      <c r="F191" s="117" t="s">
        <v>287</v>
      </c>
      <c r="G191" s="120" t="s">
        <v>487</v>
      </c>
      <c r="H191" s="156">
        <v>43830</v>
      </c>
      <c r="I191" s="153">
        <v>74779098</v>
      </c>
      <c r="J191" s="146">
        <v>2014</v>
      </c>
      <c r="K191" s="154">
        <v>44044</v>
      </c>
      <c r="L191" s="133">
        <v>43952</v>
      </c>
      <c r="M191" s="148"/>
      <c r="N191" s="149" t="s">
        <v>596</v>
      </c>
      <c r="O191" s="150">
        <v>5252</v>
      </c>
      <c r="P191" s="57">
        <v>43858</v>
      </c>
      <c r="Q191" s="57" t="s">
        <v>30</v>
      </c>
      <c r="R191" s="57" t="s">
        <v>30</v>
      </c>
      <c r="S191" s="34" t="s">
        <v>30</v>
      </c>
      <c r="T191" s="57">
        <v>43860</v>
      </c>
      <c r="U191" s="57">
        <v>43889</v>
      </c>
      <c r="V191" s="163">
        <v>43503</v>
      </c>
      <c r="W191" s="137">
        <f t="shared" si="91"/>
        <v>44223</v>
      </c>
      <c r="X191" s="57" t="str">
        <f t="shared" si="92"/>
        <v>NC</v>
      </c>
      <c r="Y191" s="57" t="str">
        <f t="shared" si="93"/>
        <v>NC</v>
      </c>
      <c r="Z191" s="57" t="str">
        <f t="shared" si="94"/>
        <v>NC</v>
      </c>
      <c r="AA191" s="57">
        <f t="shared" si="95"/>
        <v>44225</v>
      </c>
      <c r="AB191" s="57">
        <f t="shared" si="96"/>
        <v>44254</v>
      </c>
      <c r="AC191" s="57">
        <f t="shared" si="97"/>
        <v>44233</v>
      </c>
      <c r="AE191" s="123">
        <f t="shared" ca="1" si="98"/>
        <v>-1364</v>
      </c>
      <c r="AF191" s="123" t="str">
        <f t="shared" si="99"/>
        <v>NC</v>
      </c>
      <c r="AG191" s="123" t="str">
        <f t="shared" si="100"/>
        <v>NC</v>
      </c>
      <c r="AH191" s="123" t="str">
        <f t="shared" si="101"/>
        <v>NC</v>
      </c>
      <c r="AI191" s="123">
        <f t="shared" ca="1" si="102"/>
        <v>-1362</v>
      </c>
      <c r="AJ191" s="123">
        <f t="shared" ca="1" si="103"/>
        <v>-1333</v>
      </c>
      <c r="AK191" s="123">
        <f t="shared" ca="1" si="104"/>
        <v>-1354</v>
      </c>
      <c r="AL191" s="138"/>
      <c r="AM191" s="151">
        <f t="shared" si="105"/>
        <v>2.4372466286769725E-2</v>
      </c>
      <c r="AN191" s="152"/>
      <c r="AP191" s="124" t="s">
        <v>470</v>
      </c>
      <c r="AQ191" s="141" t="s">
        <v>643</v>
      </c>
      <c r="AS191" s="143" t="s">
        <v>1243</v>
      </c>
      <c r="AT191" s="143" t="s">
        <v>1268</v>
      </c>
      <c r="AU191" s="143" t="s">
        <v>1263</v>
      </c>
    </row>
    <row r="192" spans="1:47" s="124" customFormat="1" ht="14.4" customHeight="1" x14ac:dyDescent="0.3">
      <c r="A192" s="121" t="s">
        <v>35</v>
      </c>
      <c r="B192" s="229" t="s">
        <v>1103</v>
      </c>
      <c r="C192" s="121" t="s">
        <v>538</v>
      </c>
      <c r="D192" s="123" t="s">
        <v>46</v>
      </c>
      <c r="E192" s="123"/>
      <c r="F192" s="117" t="s">
        <v>288</v>
      </c>
      <c r="G192" s="120" t="s">
        <v>485</v>
      </c>
      <c r="H192" s="156">
        <v>43830</v>
      </c>
      <c r="I192" s="153">
        <v>74779098</v>
      </c>
      <c r="J192" s="146">
        <v>2014</v>
      </c>
      <c r="K192" s="154">
        <v>44044</v>
      </c>
      <c r="L192" s="133">
        <v>43952</v>
      </c>
      <c r="M192" s="148"/>
      <c r="N192" s="149" t="s">
        <v>596</v>
      </c>
      <c r="O192" s="150">
        <v>5606</v>
      </c>
      <c r="P192" s="57">
        <v>43858</v>
      </c>
      <c r="Q192" s="57" t="s">
        <v>30</v>
      </c>
      <c r="R192" s="57" t="s">
        <v>30</v>
      </c>
      <c r="S192" s="34" t="s">
        <v>30</v>
      </c>
      <c r="T192" s="57">
        <v>43860</v>
      </c>
      <c r="U192" s="57">
        <v>43889</v>
      </c>
      <c r="V192" s="163">
        <v>43503</v>
      </c>
      <c r="W192" s="137">
        <f t="shared" si="91"/>
        <v>44223</v>
      </c>
      <c r="X192" s="57" t="str">
        <f t="shared" si="92"/>
        <v>NC</v>
      </c>
      <c r="Y192" s="57" t="str">
        <f t="shared" si="93"/>
        <v>NC</v>
      </c>
      <c r="Z192" s="57" t="str">
        <f t="shared" si="94"/>
        <v>NC</v>
      </c>
      <c r="AA192" s="57">
        <f t="shared" si="95"/>
        <v>44225</v>
      </c>
      <c r="AB192" s="57">
        <f t="shared" si="96"/>
        <v>44254</v>
      </c>
      <c r="AC192" s="57">
        <f t="shared" si="97"/>
        <v>44233</v>
      </c>
      <c r="AE192" s="123">
        <f t="shared" ca="1" si="98"/>
        <v>-1364</v>
      </c>
      <c r="AF192" s="123" t="str">
        <f t="shared" si="99"/>
        <v>NC</v>
      </c>
      <c r="AG192" s="123" t="str">
        <f t="shared" si="100"/>
        <v>NC</v>
      </c>
      <c r="AH192" s="123" t="str">
        <f t="shared" si="101"/>
        <v>NC</v>
      </c>
      <c r="AI192" s="123">
        <f t="shared" ca="1" si="102"/>
        <v>-1362</v>
      </c>
      <c r="AJ192" s="123">
        <f t="shared" ca="1" si="103"/>
        <v>-1333</v>
      </c>
      <c r="AK192" s="123">
        <f t="shared" ca="1" si="104"/>
        <v>-1354</v>
      </c>
      <c r="AL192" s="138"/>
      <c r="AM192" s="151">
        <f t="shared" si="105"/>
        <v>2.4372466286769725E-2</v>
      </c>
      <c r="AN192" s="152"/>
      <c r="AP192" s="124" t="s">
        <v>470</v>
      </c>
      <c r="AQ192" s="141" t="s">
        <v>643</v>
      </c>
      <c r="AR192" s="138"/>
      <c r="AS192" s="142" t="s">
        <v>1243</v>
      </c>
      <c r="AT192" s="143" t="s">
        <v>1268</v>
      </c>
      <c r="AU192" s="143" t="s">
        <v>1263</v>
      </c>
    </row>
    <row r="193" spans="1:47" s="124" customFormat="1" ht="14.4" customHeight="1" x14ac:dyDescent="0.3">
      <c r="A193" s="116" t="s">
        <v>896</v>
      </c>
      <c r="B193" s="123" t="s">
        <v>1270</v>
      </c>
      <c r="C193" s="117" t="s">
        <v>538</v>
      </c>
      <c r="D193" s="116" t="s">
        <v>46</v>
      </c>
      <c r="E193" s="116"/>
      <c r="F193" s="117" t="s">
        <v>926</v>
      </c>
      <c r="G193" s="120" t="s">
        <v>1001</v>
      </c>
      <c r="H193" s="156">
        <v>43830</v>
      </c>
      <c r="I193" s="134">
        <v>51535000</v>
      </c>
      <c r="J193" s="120">
        <v>2019</v>
      </c>
      <c r="K193" s="132"/>
      <c r="L193" s="158">
        <v>43952</v>
      </c>
      <c r="M193" s="116"/>
      <c r="N193" s="135" t="s">
        <v>596</v>
      </c>
      <c r="O193" s="116"/>
      <c r="P193" s="57">
        <v>43789</v>
      </c>
      <c r="Q193" s="57" t="s">
        <v>30</v>
      </c>
      <c r="R193" s="57" t="s">
        <v>30</v>
      </c>
      <c r="S193" s="34" t="s">
        <v>30</v>
      </c>
      <c r="T193" s="57">
        <v>43836</v>
      </c>
      <c r="U193" s="57">
        <v>43889</v>
      </c>
      <c r="V193" s="34">
        <v>43837</v>
      </c>
      <c r="W193" s="137">
        <f t="shared" si="91"/>
        <v>44154</v>
      </c>
      <c r="X193" s="57" t="str">
        <f t="shared" si="92"/>
        <v>NC</v>
      </c>
      <c r="Y193" s="57" t="str">
        <f t="shared" si="93"/>
        <v>NC</v>
      </c>
      <c r="Z193" s="57" t="str">
        <f t="shared" si="94"/>
        <v>NC</v>
      </c>
      <c r="AA193" s="57">
        <f t="shared" si="95"/>
        <v>44201</v>
      </c>
      <c r="AB193" s="57">
        <f t="shared" si="96"/>
        <v>44254</v>
      </c>
      <c r="AC193" s="57">
        <f t="shared" si="97"/>
        <v>44567</v>
      </c>
      <c r="AD193" s="138"/>
      <c r="AE193" s="123">
        <f t="shared" ca="1" si="98"/>
        <v>-1433</v>
      </c>
      <c r="AF193" s="123" t="str">
        <f t="shared" si="99"/>
        <v>NC</v>
      </c>
      <c r="AG193" s="123" t="str">
        <f t="shared" si="100"/>
        <v>NC</v>
      </c>
      <c r="AH193" s="123" t="str">
        <f t="shared" si="101"/>
        <v>NC</v>
      </c>
      <c r="AI193" s="123">
        <f t="shared" ca="1" si="102"/>
        <v>-1386</v>
      </c>
      <c r="AJ193" s="123">
        <f t="shared" ca="1" si="103"/>
        <v>-1333</v>
      </c>
      <c r="AK193" s="123">
        <f t="shared" ca="1" si="104"/>
        <v>-1020</v>
      </c>
      <c r="AL193" s="138"/>
      <c r="AM193" s="139">
        <f t="shared" si="105"/>
        <v>1.9586148400777344E-3</v>
      </c>
      <c r="AN193" s="138"/>
      <c r="AO193" s="138"/>
      <c r="AP193" s="138" t="s">
        <v>470</v>
      </c>
      <c r="AQ193" s="141" t="s">
        <v>643</v>
      </c>
      <c r="AR193" s="138"/>
      <c r="AS193" s="142" t="s">
        <v>1243</v>
      </c>
      <c r="AT193" s="143" t="s">
        <v>1262</v>
      </c>
      <c r="AU193" s="143" t="s">
        <v>1271</v>
      </c>
    </row>
    <row r="194" spans="1:47" s="124" customFormat="1" x14ac:dyDescent="0.3">
      <c r="A194" s="121" t="s">
        <v>100</v>
      </c>
      <c r="B194" s="117" t="s">
        <v>1104</v>
      </c>
      <c r="C194" s="121" t="s">
        <v>539</v>
      </c>
      <c r="D194" s="123" t="s">
        <v>145</v>
      </c>
      <c r="E194" s="123" t="s">
        <v>857</v>
      </c>
      <c r="F194" s="121" t="s">
        <v>289</v>
      </c>
      <c r="G194" s="120"/>
      <c r="H194" s="144">
        <v>43830</v>
      </c>
      <c r="I194" s="145">
        <v>130000000</v>
      </c>
      <c r="J194" s="146">
        <v>2008</v>
      </c>
      <c r="K194" s="154">
        <v>45047</v>
      </c>
      <c r="L194" s="133">
        <v>43983</v>
      </c>
      <c r="M194" s="148"/>
      <c r="N194" s="149" t="s">
        <v>596</v>
      </c>
      <c r="O194" s="150"/>
      <c r="P194" s="116" t="s">
        <v>30</v>
      </c>
      <c r="Q194" s="57">
        <v>43755</v>
      </c>
      <c r="R194" s="57" t="s">
        <v>30</v>
      </c>
      <c r="S194" s="34" t="s">
        <v>30</v>
      </c>
      <c r="T194" s="57" t="s">
        <v>30</v>
      </c>
      <c r="U194" s="57" t="s">
        <v>30</v>
      </c>
      <c r="V194" s="34" t="s">
        <v>30</v>
      </c>
      <c r="W194" s="137" t="str">
        <f t="shared" si="91"/>
        <v>NC</v>
      </c>
      <c r="X194" s="57">
        <f t="shared" si="92"/>
        <v>43936</v>
      </c>
      <c r="Y194" s="57" t="str">
        <f t="shared" si="93"/>
        <v>NC</v>
      </c>
      <c r="Z194" s="57" t="str">
        <f t="shared" si="94"/>
        <v>NC</v>
      </c>
      <c r="AA194" s="57" t="str">
        <f t="shared" si="95"/>
        <v>NC</v>
      </c>
      <c r="AB194" s="57" t="str">
        <f t="shared" si="96"/>
        <v>NC</v>
      </c>
      <c r="AC194" s="57" t="str">
        <f t="shared" si="97"/>
        <v>NC</v>
      </c>
      <c r="AE194" s="123" t="str">
        <f t="shared" si="98"/>
        <v>NC</v>
      </c>
      <c r="AF194" s="123">
        <f t="shared" ca="1" si="99"/>
        <v>-1651</v>
      </c>
      <c r="AG194" s="123" t="str">
        <f t="shared" si="100"/>
        <v>NC</v>
      </c>
      <c r="AH194" s="123" t="str">
        <f t="shared" si="101"/>
        <v>NC</v>
      </c>
      <c r="AI194" s="123" t="str">
        <f t="shared" si="102"/>
        <v>NC</v>
      </c>
      <c r="AJ194" s="123" t="str">
        <f t="shared" si="103"/>
        <v>NC</v>
      </c>
      <c r="AK194" s="123" t="str">
        <f t="shared" si="104"/>
        <v>NC</v>
      </c>
      <c r="AL194" s="138"/>
      <c r="AM194" s="151">
        <f t="shared" si="105"/>
        <v>8.7286027283296222E-2</v>
      </c>
      <c r="AN194" s="152"/>
      <c r="AP194" s="141" t="s">
        <v>643</v>
      </c>
      <c r="AQ194" s="141" t="s">
        <v>643</v>
      </c>
      <c r="AS194" s="143" t="s">
        <v>1273</v>
      </c>
      <c r="AT194" s="143" t="s">
        <v>1272</v>
      </c>
      <c r="AU194" s="143" t="s">
        <v>1274</v>
      </c>
    </row>
    <row r="195" spans="1:47" s="124" customFormat="1" x14ac:dyDescent="0.3">
      <c r="A195" s="121" t="s">
        <v>162</v>
      </c>
      <c r="B195" s="117" t="s">
        <v>1105</v>
      </c>
      <c r="C195" s="121" t="s">
        <v>539</v>
      </c>
      <c r="D195" s="123" t="s">
        <v>145</v>
      </c>
      <c r="E195" s="123" t="s">
        <v>858</v>
      </c>
      <c r="F195" s="121">
        <v>402856</v>
      </c>
      <c r="G195" s="120"/>
      <c r="H195" s="144">
        <v>43830</v>
      </c>
      <c r="I195" s="145">
        <v>130000000</v>
      </c>
      <c r="J195" s="146">
        <v>2006</v>
      </c>
      <c r="K195" s="154">
        <v>45931</v>
      </c>
      <c r="L195" s="133">
        <v>43952</v>
      </c>
      <c r="M195" s="148"/>
      <c r="N195" s="149" t="s">
        <v>596</v>
      </c>
      <c r="O195" s="150"/>
      <c r="P195" s="116" t="s">
        <v>30</v>
      </c>
      <c r="Q195" s="57">
        <v>43755</v>
      </c>
      <c r="R195" s="57" t="s">
        <v>30</v>
      </c>
      <c r="S195" s="34" t="s">
        <v>30</v>
      </c>
      <c r="T195" s="57" t="s">
        <v>30</v>
      </c>
      <c r="U195" s="57" t="s">
        <v>30</v>
      </c>
      <c r="V195" s="34" t="s">
        <v>30</v>
      </c>
      <c r="W195" s="137" t="str">
        <f t="shared" si="91"/>
        <v>NC</v>
      </c>
      <c r="X195" s="57">
        <f t="shared" si="92"/>
        <v>43936</v>
      </c>
      <c r="Y195" s="57" t="str">
        <f t="shared" si="93"/>
        <v>NC</v>
      </c>
      <c r="Z195" s="57" t="str">
        <f t="shared" si="94"/>
        <v>NC</v>
      </c>
      <c r="AA195" s="57" t="str">
        <f t="shared" si="95"/>
        <v>NC</v>
      </c>
      <c r="AB195" s="57" t="str">
        <f t="shared" si="96"/>
        <v>NC</v>
      </c>
      <c r="AC195" s="57" t="str">
        <f t="shared" si="97"/>
        <v>NC</v>
      </c>
      <c r="AE195" s="123" t="str">
        <f t="shared" si="98"/>
        <v>NC</v>
      </c>
      <c r="AF195" s="123">
        <f t="shared" ca="1" si="99"/>
        <v>-1651</v>
      </c>
      <c r="AG195" s="123" t="str">
        <f t="shared" si="100"/>
        <v>NC</v>
      </c>
      <c r="AH195" s="123" t="str">
        <f t="shared" si="101"/>
        <v>NC</v>
      </c>
      <c r="AI195" s="123" t="str">
        <f t="shared" si="102"/>
        <v>NC</v>
      </c>
      <c r="AJ195" s="123" t="str">
        <f t="shared" si="103"/>
        <v>NC</v>
      </c>
      <c r="AK195" s="123" t="str">
        <f t="shared" si="104"/>
        <v>NC</v>
      </c>
      <c r="AL195" s="138"/>
      <c r="AM195" s="230">
        <f t="shared" si="105"/>
        <v>0.10225790160290095</v>
      </c>
      <c r="AN195" s="152"/>
      <c r="AP195" s="141" t="s">
        <v>643</v>
      </c>
      <c r="AQ195" s="141" t="s">
        <v>643</v>
      </c>
      <c r="AS195" s="143" t="s">
        <v>1273</v>
      </c>
      <c r="AT195" s="143" t="s">
        <v>1272</v>
      </c>
      <c r="AU195" s="143" t="s">
        <v>1274</v>
      </c>
    </row>
    <row r="196" spans="1:47" s="124" customFormat="1" x14ac:dyDescent="0.3">
      <c r="A196" s="121" t="s">
        <v>167</v>
      </c>
      <c r="B196" s="117" t="s">
        <v>163</v>
      </c>
      <c r="C196" s="121" t="s">
        <v>540</v>
      </c>
      <c r="D196" s="123" t="s">
        <v>145</v>
      </c>
      <c r="E196" s="123" t="s">
        <v>856</v>
      </c>
      <c r="F196" s="121">
        <v>99272</v>
      </c>
      <c r="G196" s="120"/>
      <c r="H196" s="144">
        <v>43830</v>
      </c>
      <c r="I196" s="145">
        <v>150000000</v>
      </c>
      <c r="J196" s="146">
        <v>2005</v>
      </c>
      <c r="K196" s="154">
        <v>45566</v>
      </c>
      <c r="L196" s="133">
        <v>44075</v>
      </c>
      <c r="M196" s="148"/>
      <c r="N196" s="149" t="s">
        <v>596</v>
      </c>
      <c r="O196" s="150"/>
      <c r="P196" s="116" t="s">
        <v>30</v>
      </c>
      <c r="Q196" s="57">
        <v>43573</v>
      </c>
      <c r="R196" s="116" t="s">
        <v>30</v>
      </c>
      <c r="S196" s="34" t="s">
        <v>30</v>
      </c>
      <c r="T196" s="57" t="s">
        <v>30</v>
      </c>
      <c r="U196" s="57" t="s">
        <v>30</v>
      </c>
      <c r="V196" s="34" t="s">
        <v>30</v>
      </c>
      <c r="W196" s="137" t="str">
        <f t="shared" si="91"/>
        <v>NC</v>
      </c>
      <c r="X196" s="57">
        <f>IF(Q196="NC","NC",IF(Q196="","erreur",Q196+365))</f>
        <v>43938</v>
      </c>
      <c r="Y196" s="57" t="str">
        <f t="shared" si="93"/>
        <v>NC</v>
      </c>
      <c r="Z196" s="57" t="str">
        <f t="shared" si="94"/>
        <v>NC</v>
      </c>
      <c r="AA196" s="57" t="str">
        <f t="shared" si="95"/>
        <v>NC</v>
      </c>
      <c r="AB196" s="57" t="str">
        <f t="shared" si="96"/>
        <v>NC</v>
      </c>
      <c r="AC196" s="57" t="str">
        <f t="shared" si="97"/>
        <v>NC</v>
      </c>
      <c r="AE196" s="123" t="str">
        <f t="shared" si="98"/>
        <v>NC</v>
      </c>
      <c r="AF196" s="123">
        <f t="shared" ca="1" si="99"/>
        <v>-1649</v>
      </c>
      <c r="AG196" s="123" t="str">
        <f t="shared" si="100"/>
        <v>NC</v>
      </c>
      <c r="AH196" s="123" t="str">
        <f t="shared" si="101"/>
        <v>NC</v>
      </c>
      <c r="AI196" s="123" t="str">
        <f t="shared" si="102"/>
        <v>NC</v>
      </c>
      <c r="AJ196" s="123" t="str">
        <f t="shared" si="103"/>
        <v>NC</v>
      </c>
      <c r="AK196" s="123" t="str">
        <f t="shared" si="104"/>
        <v>NC</v>
      </c>
      <c r="AL196" s="138"/>
      <c r="AM196" s="230">
        <f t="shared" si="105"/>
        <v>0.12662750626465769</v>
      </c>
      <c r="AN196" s="152"/>
      <c r="AP196" s="141" t="s">
        <v>643</v>
      </c>
      <c r="AQ196" s="141" t="s">
        <v>643</v>
      </c>
      <c r="AS196" s="143" t="s">
        <v>1273</v>
      </c>
      <c r="AT196" s="143" t="s">
        <v>1275</v>
      </c>
      <c r="AU196" s="143" t="s">
        <v>1276</v>
      </c>
    </row>
    <row r="197" spans="1:47" s="138" customFormat="1" ht="14.4" customHeight="1" x14ac:dyDescent="0.3">
      <c r="A197" s="121" t="s">
        <v>166</v>
      </c>
      <c r="B197" s="117" t="s">
        <v>1106</v>
      </c>
      <c r="C197" s="121" t="s">
        <v>540</v>
      </c>
      <c r="D197" s="123" t="s">
        <v>145</v>
      </c>
      <c r="E197" s="123"/>
      <c r="F197" s="121" t="s">
        <v>30</v>
      </c>
      <c r="G197" s="120"/>
      <c r="H197" s="231" t="s">
        <v>30</v>
      </c>
      <c r="I197" s="145">
        <v>31485936</v>
      </c>
      <c r="J197" s="146">
        <v>2016</v>
      </c>
      <c r="K197" s="154">
        <v>45992</v>
      </c>
      <c r="L197" s="133">
        <v>44075</v>
      </c>
      <c r="M197" s="148"/>
      <c r="N197" s="149" t="s">
        <v>596</v>
      </c>
      <c r="O197" s="150"/>
      <c r="P197" s="116" t="s">
        <v>30</v>
      </c>
      <c r="Q197" s="116" t="s">
        <v>30</v>
      </c>
      <c r="R197" s="116" t="s">
        <v>30</v>
      </c>
      <c r="S197" s="34" t="s">
        <v>30</v>
      </c>
      <c r="T197" s="57" t="s">
        <v>30</v>
      </c>
      <c r="U197" s="57" t="s">
        <v>30</v>
      </c>
      <c r="V197" s="34" t="s">
        <v>30</v>
      </c>
      <c r="W197" s="137" t="str">
        <f t="shared" si="91"/>
        <v>NC</v>
      </c>
      <c r="X197" s="57" t="str">
        <f>IF(Q197="NC","NC",IF(Q197="","erreur",Q197+181))</f>
        <v>NC</v>
      </c>
      <c r="Y197" s="57" t="str">
        <f t="shared" si="93"/>
        <v>NC</v>
      </c>
      <c r="Z197" s="57" t="str">
        <f t="shared" si="94"/>
        <v>NC</v>
      </c>
      <c r="AA197" s="57" t="str">
        <f t="shared" si="95"/>
        <v>NC</v>
      </c>
      <c r="AB197" s="57" t="str">
        <f t="shared" si="96"/>
        <v>NC</v>
      </c>
      <c r="AC197" s="57" t="str">
        <f t="shared" si="97"/>
        <v>NC</v>
      </c>
      <c r="AD197" s="124"/>
      <c r="AE197" s="123" t="str">
        <f t="shared" si="98"/>
        <v>NC</v>
      </c>
      <c r="AF197" s="123" t="str">
        <f t="shared" si="99"/>
        <v>NC</v>
      </c>
      <c r="AG197" s="123" t="str">
        <f t="shared" si="100"/>
        <v>NC</v>
      </c>
      <c r="AH197" s="123" t="str">
        <f t="shared" si="101"/>
        <v>NC</v>
      </c>
      <c r="AI197" s="123" t="str">
        <f t="shared" si="102"/>
        <v>NC</v>
      </c>
      <c r="AJ197" s="123" t="str">
        <f t="shared" si="103"/>
        <v>NC</v>
      </c>
      <c r="AK197" s="123" t="str">
        <f t="shared" si="104"/>
        <v>NC</v>
      </c>
      <c r="AM197" s="151">
        <f t="shared" si="105"/>
        <v>6.6359104786741976E-3</v>
      </c>
      <c r="AN197" s="152"/>
      <c r="AO197" s="124"/>
      <c r="AP197" s="141" t="s">
        <v>643</v>
      </c>
      <c r="AQ197" s="141" t="s">
        <v>643</v>
      </c>
      <c r="AR197" s="124"/>
      <c r="AS197" s="143" t="s">
        <v>1273</v>
      </c>
      <c r="AT197" s="143" t="s">
        <v>165</v>
      </c>
      <c r="AU197" s="143"/>
    </row>
    <row r="198" spans="1:47" s="232" customFormat="1" x14ac:dyDescent="0.3">
      <c r="A198" s="121" t="s">
        <v>164</v>
      </c>
      <c r="B198" s="117" t="s">
        <v>163</v>
      </c>
      <c r="C198" s="121" t="s">
        <v>541</v>
      </c>
      <c r="D198" s="123" t="s">
        <v>145</v>
      </c>
      <c r="E198" s="123" t="s">
        <v>859</v>
      </c>
      <c r="F198" s="121">
        <v>400358</v>
      </c>
      <c r="G198" s="120"/>
      <c r="H198" s="144">
        <v>43830</v>
      </c>
      <c r="I198" s="145">
        <v>150000000</v>
      </c>
      <c r="J198" s="146">
        <v>2005</v>
      </c>
      <c r="K198" s="147" t="s">
        <v>609</v>
      </c>
      <c r="L198" s="133">
        <v>44044</v>
      </c>
      <c r="M198" s="148"/>
      <c r="N198" s="149" t="s">
        <v>596</v>
      </c>
      <c r="O198" s="150"/>
      <c r="P198" s="116" t="s">
        <v>30</v>
      </c>
      <c r="Q198" s="57">
        <v>43692</v>
      </c>
      <c r="R198" s="116" t="s">
        <v>30</v>
      </c>
      <c r="S198" s="34" t="s">
        <v>30</v>
      </c>
      <c r="T198" s="57" t="s">
        <v>30</v>
      </c>
      <c r="U198" s="57" t="s">
        <v>30</v>
      </c>
      <c r="V198" s="34" t="s">
        <v>30</v>
      </c>
      <c r="W198" s="137" t="str">
        <f t="shared" si="91"/>
        <v>NC</v>
      </c>
      <c r="X198" s="57">
        <f>IF(Q198="NC","NC",IF(Q198="","erreur",Q198+365))</f>
        <v>44057</v>
      </c>
      <c r="Y198" s="57" t="str">
        <f t="shared" si="93"/>
        <v>NC</v>
      </c>
      <c r="Z198" s="57" t="str">
        <f t="shared" si="94"/>
        <v>NC</v>
      </c>
      <c r="AA198" s="57" t="str">
        <f t="shared" si="95"/>
        <v>NC</v>
      </c>
      <c r="AB198" s="57" t="str">
        <f t="shared" si="96"/>
        <v>NC</v>
      </c>
      <c r="AC198" s="57" t="str">
        <f t="shared" si="97"/>
        <v>NC</v>
      </c>
      <c r="AD198" s="124"/>
      <c r="AE198" s="123" t="str">
        <f t="shared" si="98"/>
        <v>NC</v>
      </c>
      <c r="AF198" s="123">
        <f t="shared" ca="1" si="99"/>
        <v>-1530</v>
      </c>
      <c r="AG198" s="123" t="str">
        <f t="shared" si="100"/>
        <v>NC</v>
      </c>
      <c r="AH198" s="123" t="str">
        <f t="shared" si="101"/>
        <v>NC</v>
      </c>
      <c r="AI198" s="123" t="str">
        <f t="shared" si="102"/>
        <v>NC</v>
      </c>
      <c r="AJ198" s="123" t="str">
        <f t="shared" si="103"/>
        <v>NC</v>
      </c>
      <c r="AK198" s="123" t="str">
        <f t="shared" si="104"/>
        <v>NC</v>
      </c>
      <c r="AL198" s="138"/>
      <c r="AM198" s="230">
        <f t="shared" si="105"/>
        <v>0.12662750626465769</v>
      </c>
      <c r="AN198" s="152"/>
      <c r="AO198" s="124"/>
      <c r="AP198" s="141" t="s">
        <v>643</v>
      </c>
      <c r="AQ198" s="141" t="s">
        <v>643</v>
      </c>
      <c r="AR198" s="124"/>
      <c r="AS198" s="143" t="s">
        <v>1273</v>
      </c>
      <c r="AT198" s="143" t="s">
        <v>1275</v>
      </c>
      <c r="AU198" s="143" t="s">
        <v>1276</v>
      </c>
    </row>
    <row r="199" spans="1:47" s="160" customFormat="1" ht="14.4" customHeight="1" x14ac:dyDescent="0.3">
      <c r="A199" s="121" t="s">
        <v>101</v>
      </c>
      <c r="B199" s="117" t="s">
        <v>1107</v>
      </c>
      <c r="C199" s="121" t="s">
        <v>542</v>
      </c>
      <c r="D199" s="123" t="s">
        <v>49</v>
      </c>
      <c r="E199" s="123"/>
      <c r="F199" s="121" t="s">
        <v>290</v>
      </c>
      <c r="G199" s="120"/>
      <c r="H199" s="231" t="s">
        <v>30</v>
      </c>
      <c r="I199" s="145"/>
      <c r="J199" s="146">
        <v>2013</v>
      </c>
      <c r="K199" s="154"/>
      <c r="L199" s="133"/>
      <c r="M199" s="148"/>
      <c r="N199" s="149" t="s">
        <v>596</v>
      </c>
      <c r="O199" s="150"/>
      <c r="P199" s="116" t="s">
        <v>30</v>
      </c>
      <c r="Q199" s="116" t="s">
        <v>30</v>
      </c>
      <c r="R199" s="116" t="s">
        <v>30</v>
      </c>
      <c r="S199" s="34" t="s">
        <v>30</v>
      </c>
      <c r="T199" s="57" t="s">
        <v>30</v>
      </c>
      <c r="U199" s="57" t="s">
        <v>30</v>
      </c>
      <c r="V199" s="34" t="s">
        <v>30</v>
      </c>
      <c r="W199" s="137" t="str">
        <f t="shared" si="91"/>
        <v>NC</v>
      </c>
      <c r="X199" s="57" t="str">
        <f t="shared" ref="X199:X230" si="106">IF(Q199="NC","NC",IF(Q199="","erreur",Q199+181))</f>
        <v>NC</v>
      </c>
      <c r="Y199" s="57" t="str">
        <f t="shared" si="93"/>
        <v>NC</v>
      </c>
      <c r="Z199" s="57" t="str">
        <f t="shared" si="94"/>
        <v>NC</v>
      </c>
      <c r="AA199" s="57" t="str">
        <f t="shared" si="95"/>
        <v>NC</v>
      </c>
      <c r="AB199" s="57" t="str">
        <f t="shared" si="96"/>
        <v>NC</v>
      </c>
      <c r="AC199" s="57" t="str">
        <f t="shared" si="97"/>
        <v>NC</v>
      </c>
      <c r="AD199" s="124"/>
      <c r="AE199" s="123" t="str">
        <f t="shared" si="98"/>
        <v>NC</v>
      </c>
      <c r="AF199" s="123" t="str">
        <f t="shared" si="99"/>
        <v>NC</v>
      </c>
      <c r="AG199" s="123" t="str">
        <f t="shared" si="100"/>
        <v>NC</v>
      </c>
      <c r="AH199" s="123" t="str">
        <f t="shared" si="101"/>
        <v>NC</v>
      </c>
      <c r="AI199" s="123" t="str">
        <f t="shared" si="102"/>
        <v>NC</v>
      </c>
      <c r="AJ199" s="123" t="str">
        <f t="shared" si="103"/>
        <v>NC</v>
      </c>
      <c r="AK199" s="123" t="str">
        <f t="shared" si="104"/>
        <v>NC</v>
      </c>
      <c r="AL199" s="138"/>
      <c r="AM199" s="151">
        <f t="shared" si="105"/>
        <v>0</v>
      </c>
      <c r="AN199" s="152"/>
      <c r="AO199" s="124"/>
      <c r="AP199" s="141" t="s">
        <v>643</v>
      </c>
      <c r="AQ199" s="141" t="s">
        <v>643</v>
      </c>
      <c r="AR199" s="124"/>
      <c r="AS199" s="143" t="s">
        <v>1277</v>
      </c>
      <c r="AT199" s="143" t="s">
        <v>945</v>
      </c>
      <c r="AU199" s="143" t="s">
        <v>946</v>
      </c>
    </row>
    <row r="200" spans="1:47" s="124" customFormat="1" ht="14.4" customHeight="1" x14ac:dyDescent="0.3">
      <c r="A200" s="121" t="s">
        <v>102</v>
      </c>
      <c r="B200" s="117" t="s">
        <v>1107</v>
      </c>
      <c r="C200" s="121" t="s">
        <v>542</v>
      </c>
      <c r="D200" s="123" t="s">
        <v>49</v>
      </c>
      <c r="E200" s="123"/>
      <c r="F200" s="121" t="s">
        <v>291</v>
      </c>
      <c r="G200" s="120"/>
      <c r="H200" s="231" t="s">
        <v>30</v>
      </c>
      <c r="I200" s="145"/>
      <c r="J200" s="146">
        <v>2013</v>
      </c>
      <c r="K200" s="154"/>
      <c r="L200" s="133"/>
      <c r="M200" s="148"/>
      <c r="N200" s="149" t="s">
        <v>596</v>
      </c>
      <c r="O200" s="150"/>
      <c r="P200" s="116" t="s">
        <v>30</v>
      </c>
      <c r="Q200" s="116" t="s">
        <v>30</v>
      </c>
      <c r="R200" s="116" t="s">
        <v>30</v>
      </c>
      <c r="S200" s="34" t="s">
        <v>30</v>
      </c>
      <c r="T200" s="57" t="s">
        <v>30</v>
      </c>
      <c r="U200" s="57" t="s">
        <v>30</v>
      </c>
      <c r="V200" s="34" t="s">
        <v>30</v>
      </c>
      <c r="W200" s="137" t="str">
        <f t="shared" si="91"/>
        <v>NC</v>
      </c>
      <c r="X200" s="57" t="str">
        <f t="shared" si="106"/>
        <v>NC</v>
      </c>
      <c r="Y200" s="57" t="str">
        <f t="shared" si="93"/>
        <v>NC</v>
      </c>
      <c r="Z200" s="57" t="str">
        <f t="shared" si="94"/>
        <v>NC</v>
      </c>
      <c r="AA200" s="57" t="str">
        <f t="shared" si="95"/>
        <v>NC</v>
      </c>
      <c r="AB200" s="57" t="str">
        <f t="shared" si="96"/>
        <v>NC</v>
      </c>
      <c r="AC200" s="57" t="str">
        <f t="shared" si="97"/>
        <v>NC</v>
      </c>
      <c r="AE200" s="123" t="str">
        <f t="shared" si="98"/>
        <v>NC</v>
      </c>
      <c r="AF200" s="123" t="str">
        <f t="shared" si="99"/>
        <v>NC</v>
      </c>
      <c r="AG200" s="123" t="str">
        <f t="shared" si="100"/>
        <v>NC</v>
      </c>
      <c r="AH200" s="123" t="str">
        <f t="shared" si="101"/>
        <v>NC</v>
      </c>
      <c r="AI200" s="123" t="str">
        <f t="shared" si="102"/>
        <v>NC</v>
      </c>
      <c r="AJ200" s="123" t="str">
        <f t="shared" si="103"/>
        <v>NC</v>
      </c>
      <c r="AK200" s="123" t="str">
        <f t="shared" si="104"/>
        <v>NC</v>
      </c>
      <c r="AL200" s="138"/>
      <c r="AM200" s="151">
        <f t="shared" si="105"/>
        <v>0</v>
      </c>
      <c r="AN200" s="152"/>
      <c r="AP200" s="141" t="s">
        <v>643</v>
      </c>
      <c r="AQ200" s="141" t="s">
        <v>643</v>
      </c>
      <c r="AS200" s="143" t="s">
        <v>1277</v>
      </c>
      <c r="AT200" s="143" t="s">
        <v>945</v>
      </c>
      <c r="AU200" s="143" t="s">
        <v>946</v>
      </c>
    </row>
    <row r="201" spans="1:47" s="212" customFormat="1" x14ac:dyDescent="0.3">
      <c r="A201" s="117" t="s">
        <v>161</v>
      </c>
      <c r="B201" s="117" t="s">
        <v>1108</v>
      </c>
      <c r="C201" s="121" t="s">
        <v>1504</v>
      </c>
      <c r="D201" s="116" t="s">
        <v>145</v>
      </c>
      <c r="E201" s="116"/>
      <c r="F201" s="121" t="s">
        <v>292</v>
      </c>
      <c r="G201" s="120"/>
      <c r="H201" s="144">
        <v>43830</v>
      </c>
      <c r="I201" s="130">
        <v>240000000</v>
      </c>
      <c r="J201" s="131">
        <v>2015</v>
      </c>
      <c r="K201" s="154">
        <v>44501</v>
      </c>
      <c r="L201" s="133">
        <v>44166</v>
      </c>
      <c r="M201" s="134"/>
      <c r="N201" s="149" t="s">
        <v>596</v>
      </c>
      <c r="O201" s="136">
        <v>3515</v>
      </c>
      <c r="P201" s="116" t="s">
        <v>30</v>
      </c>
      <c r="Q201" s="57">
        <v>43886</v>
      </c>
      <c r="R201" s="57">
        <v>43673</v>
      </c>
      <c r="S201" s="34" t="s">
        <v>30</v>
      </c>
      <c r="T201" s="57" t="s">
        <v>30</v>
      </c>
      <c r="U201" s="57" t="s">
        <v>30</v>
      </c>
      <c r="V201" s="34" t="s">
        <v>30</v>
      </c>
      <c r="W201" s="137" t="str">
        <f t="shared" si="91"/>
        <v>NC</v>
      </c>
      <c r="X201" s="57">
        <f t="shared" si="106"/>
        <v>44067</v>
      </c>
      <c r="Y201" s="57">
        <f t="shared" si="93"/>
        <v>44038</v>
      </c>
      <c r="Z201" s="57" t="str">
        <f t="shared" si="94"/>
        <v>NC</v>
      </c>
      <c r="AA201" s="57" t="str">
        <f t="shared" si="95"/>
        <v>NC</v>
      </c>
      <c r="AB201" s="57" t="str">
        <f t="shared" si="96"/>
        <v>NC</v>
      </c>
      <c r="AC201" s="57" t="str">
        <f t="shared" si="97"/>
        <v>NC</v>
      </c>
      <c r="AD201" s="124"/>
      <c r="AE201" s="123" t="str">
        <f t="shared" si="98"/>
        <v>NC</v>
      </c>
      <c r="AF201" s="123">
        <f t="shared" ca="1" si="99"/>
        <v>-1520</v>
      </c>
      <c r="AG201" s="123">
        <f t="shared" ca="1" si="100"/>
        <v>-1549</v>
      </c>
      <c r="AH201" s="123" t="str">
        <f t="shared" si="101"/>
        <v>NC</v>
      </c>
      <c r="AI201" s="123" t="str">
        <f t="shared" si="102"/>
        <v>NC</v>
      </c>
      <c r="AJ201" s="123" t="str">
        <f t="shared" si="103"/>
        <v>NC</v>
      </c>
      <c r="AK201" s="123" t="str">
        <f t="shared" si="104"/>
        <v>NC</v>
      </c>
      <c r="AL201" s="138"/>
      <c r="AM201" s="151">
        <f t="shared" si="105"/>
        <v>6.4402093227100873E-2</v>
      </c>
      <c r="AN201" s="152"/>
      <c r="AO201" s="124"/>
      <c r="AP201" s="141" t="s">
        <v>643</v>
      </c>
      <c r="AQ201" s="141" t="s">
        <v>643</v>
      </c>
      <c r="AR201" s="124"/>
      <c r="AS201" s="143" t="s">
        <v>1278</v>
      </c>
      <c r="AT201" s="143" t="s">
        <v>1279</v>
      </c>
      <c r="AU201" s="143" t="s">
        <v>1280</v>
      </c>
    </row>
    <row r="202" spans="1:47" s="160" customFormat="1" ht="14.4" customHeight="1" x14ac:dyDescent="0.3">
      <c r="A202" s="117" t="s">
        <v>43</v>
      </c>
      <c r="B202" s="117" t="s">
        <v>1108</v>
      </c>
      <c r="C202" s="121" t="s">
        <v>543</v>
      </c>
      <c r="D202" s="123" t="s">
        <v>357</v>
      </c>
      <c r="E202" s="123"/>
      <c r="F202" s="121">
        <v>507345</v>
      </c>
      <c r="G202" s="120"/>
      <c r="H202" s="144">
        <v>43830</v>
      </c>
      <c r="I202" s="130">
        <v>240000000</v>
      </c>
      <c r="J202" s="146">
        <v>2009</v>
      </c>
      <c r="K202" s="147" t="s">
        <v>609</v>
      </c>
      <c r="L202" s="133">
        <v>43983</v>
      </c>
      <c r="M202" s="148"/>
      <c r="N202" s="149" t="s">
        <v>596</v>
      </c>
      <c r="O202" s="150"/>
      <c r="P202" s="57" t="s">
        <v>30</v>
      </c>
      <c r="Q202" s="57">
        <v>43683</v>
      </c>
      <c r="R202" s="57">
        <v>43628</v>
      </c>
      <c r="S202" s="34" t="s">
        <v>30</v>
      </c>
      <c r="T202" s="57" t="s">
        <v>30</v>
      </c>
      <c r="U202" s="57" t="s">
        <v>30</v>
      </c>
      <c r="V202" s="34" t="s">
        <v>30</v>
      </c>
      <c r="W202" s="137" t="str">
        <f t="shared" si="91"/>
        <v>NC</v>
      </c>
      <c r="X202" s="57">
        <f t="shared" si="106"/>
        <v>43864</v>
      </c>
      <c r="Y202" s="57">
        <f t="shared" si="93"/>
        <v>43993</v>
      </c>
      <c r="Z202" s="57" t="str">
        <f t="shared" si="94"/>
        <v>NC</v>
      </c>
      <c r="AA202" s="57" t="str">
        <f t="shared" si="95"/>
        <v>NC</v>
      </c>
      <c r="AB202" s="57" t="str">
        <f t="shared" si="96"/>
        <v>NC</v>
      </c>
      <c r="AC202" s="57" t="str">
        <f t="shared" si="97"/>
        <v>NC</v>
      </c>
      <c r="AD202" s="124"/>
      <c r="AE202" s="123" t="str">
        <f t="shared" si="98"/>
        <v>NC</v>
      </c>
      <c r="AF202" s="123">
        <f t="shared" ca="1" si="99"/>
        <v>-1723</v>
      </c>
      <c r="AG202" s="123">
        <f t="shared" ca="1" si="100"/>
        <v>-1594</v>
      </c>
      <c r="AH202" s="123" t="str">
        <f t="shared" si="101"/>
        <v>NC</v>
      </c>
      <c r="AI202" s="123" t="str">
        <f t="shared" si="102"/>
        <v>NC</v>
      </c>
      <c r="AJ202" s="123" t="str">
        <f t="shared" si="103"/>
        <v>NC</v>
      </c>
      <c r="AK202" s="123" t="str">
        <f t="shared" si="104"/>
        <v>NC</v>
      </c>
      <c r="AL202" s="138"/>
      <c r="AM202" s="230">
        <f t="shared" si="105"/>
        <v>0.1473232433049117</v>
      </c>
      <c r="AN202" s="152"/>
      <c r="AO202" s="124"/>
      <c r="AP202" s="141" t="s">
        <v>643</v>
      </c>
      <c r="AQ202" s="141" t="s">
        <v>643</v>
      </c>
      <c r="AR202" s="138"/>
      <c r="AS202" s="142" t="s">
        <v>1278</v>
      </c>
      <c r="AT202" s="143" t="s">
        <v>1279</v>
      </c>
      <c r="AU202" s="143" t="s">
        <v>1280</v>
      </c>
    </row>
    <row r="203" spans="1:47" s="160" customFormat="1" x14ac:dyDescent="0.3">
      <c r="A203" s="116" t="s">
        <v>1043</v>
      </c>
      <c r="B203" s="117" t="s">
        <v>1108</v>
      </c>
      <c r="C203" s="117" t="s">
        <v>543</v>
      </c>
      <c r="D203" s="116" t="s">
        <v>145</v>
      </c>
      <c r="E203" s="116"/>
      <c r="F203" s="117">
        <v>507539</v>
      </c>
      <c r="G203" s="120"/>
      <c r="H203" s="156"/>
      <c r="I203" s="130">
        <v>240000000</v>
      </c>
      <c r="J203" s="131">
        <v>2012</v>
      </c>
      <c r="K203" s="132"/>
      <c r="L203" s="233">
        <v>44044</v>
      </c>
      <c r="M203" s="116"/>
      <c r="N203" s="135"/>
      <c r="O203" s="136"/>
      <c r="P203" s="57" t="s">
        <v>30</v>
      </c>
      <c r="Q203" s="57">
        <v>43742</v>
      </c>
      <c r="R203" s="57"/>
      <c r="S203" s="34" t="s">
        <v>30</v>
      </c>
      <c r="T203" s="57" t="s">
        <v>30</v>
      </c>
      <c r="U203" s="57" t="s">
        <v>30</v>
      </c>
      <c r="V203" s="34" t="s">
        <v>30</v>
      </c>
      <c r="W203" s="137" t="str">
        <f t="shared" si="91"/>
        <v>NC</v>
      </c>
      <c r="X203" s="57">
        <f t="shared" si="106"/>
        <v>43923</v>
      </c>
      <c r="Y203" s="57" t="str">
        <f t="shared" si="93"/>
        <v>erreur</v>
      </c>
      <c r="Z203" s="57" t="str">
        <f t="shared" si="94"/>
        <v>NC</v>
      </c>
      <c r="AA203" s="57" t="str">
        <f t="shared" si="95"/>
        <v>NC</v>
      </c>
      <c r="AB203" s="57" t="str">
        <f t="shared" si="96"/>
        <v>NC</v>
      </c>
      <c r="AC203" s="57" t="str">
        <f t="shared" si="97"/>
        <v>NC</v>
      </c>
      <c r="AD203" s="138"/>
      <c r="AE203" s="116" t="str">
        <f t="shared" si="98"/>
        <v>NC</v>
      </c>
      <c r="AF203" s="116">
        <f t="shared" ca="1" si="99"/>
        <v>-1664</v>
      </c>
      <c r="AG203" s="116" t="str">
        <f t="shared" si="100"/>
        <v>erreur</v>
      </c>
      <c r="AH203" s="116" t="str">
        <f t="shared" si="101"/>
        <v>NC</v>
      </c>
      <c r="AI203" s="116" t="str">
        <f t="shared" si="102"/>
        <v>NC</v>
      </c>
      <c r="AJ203" s="116" t="str">
        <f t="shared" si="103"/>
        <v>NC</v>
      </c>
      <c r="AK203" s="116" t="str">
        <f t="shared" si="104"/>
        <v>NC</v>
      </c>
      <c r="AL203" s="138"/>
      <c r="AM203" s="139"/>
      <c r="AN203" s="138"/>
      <c r="AO203" s="138"/>
      <c r="AP203" s="138" t="s">
        <v>643</v>
      </c>
      <c r="AQ203" s="138" t="s">
        <v>643</v>
      </c>
      <c r="AR203" s="138"/>
      <c r="AS203" s="142" t="s">
        <v>1278</v>
      </c>
      <c r="AT203" s="142" t="s">
        <v>1279</v>
      </c>
      <c r="AU203" s="142" t="s">
        <v>1280</v>
      </c>
    </row>
    <row r="204" spans="1:47" s="138" customFormat="1" ht="14.4" customHeight="1" x14ac:dyDescent="0.3">
      <c r="A204" s="116" t="s">
        <v>381</v>
      </c>
      <c r="B204" s="116" t="s">
        <v>1109</v>
      </c>
      <c r="C204" s="121" t="s">
        <v>1504</v>
      </c>
      <c r="D204" s="116" t="s">
        <v>46</v>
      </c>
      <c r="E204" s="116"/>
      <c r="F204" s="117" t="s">
        <v>382</v>
      </c>
      <c r="G204" s="120"/>
      <c r="H204" s="156">
        <v>43830</v>
      </c>
      <c r="I204" s="130">
        <v>256000000</v>
      </c>
      <c r="J204" s="146">
        <v>2015</v>
      </c>
      <c r="K204" s="154"/>
      <c r="L204" s="162">
        <v>43983</v>
      </c>
      <c r="M204" s="116"/>
      <c r="N204" s="149" t="s">
        <v>596</v>
      </c>
      <c r="O204" s="136">
        <v>4752</v>
      </c>
      <c r="P204" s="57" t="s">
        <v>30</v>
      </c>
      <c r="Q204" s="57">
        <v>43762</v>
      </c>
      <c r="R204" s="34">
        <v>43852</v>
      </c>
      <c r="S204" s="34" t="s">
        <v>30</v>
      </c>
      <c r="T204" s="57" t="s">
        <v>30</v>
      </c>
      <c r="U204" s="57" t="s">
        <v>30</v>
      </c>
      <c r="V204" s="34" t="s">
        <v>30</v>
      </c>
      <c r="W204" s="137" t="str">
        <f t="shared" si="91"/>
        <v>NC</v>
      </c>
      <c r="X204" s="57">
        <f t="shared" si="106"/>
        <v>43943</v>
      </c>
      <c r="Y204" s="57">
        <f t="shared" si="93"/>
        <v>44217</v>
      </c>
      <c r="Z204" s="57" t="str">
        <f t="shared" si="94"/>
        <v>NC</v>
      </c>
      <c r="AA204" s="57" t="str">
        <f t="shared" si="95"/>
        <v>NC</v>
      </c>
      <c r="AB204" s="57" t="str">
        <f t="shared" si="96"/>
        <v>NC</v>
      </c>
      <c r="AC204" s="57" t="str">
        <f t="shared" si="97"/>
        <v>NC</v>
      </c>
      <c r="AE204" s="123" t="str">
        <f t="shared" si="98"/>
        <v>NC</v>
      </c>
      <c r="AF204" s="123">
        <f t="shared" ca="1" si="99"/>
        <v>-1644</v>
      </c>
      <c r="AG204" s="123">
        <f t="shared" ca="1" si="100"/>
        <v>-1370</v>
      </c>
      <c r="AH204" s="123" t="str">
        <f t="shared" si="101"/>
        <v>NC</v>
      </c>
      <c r="AI204" s="123" t="str">
        <f t="shared" si="102"/>
        <v>NC</v>
      </c>
      <c r="AJ204" s="123" t="str">
        <f t="shared" si="103"/>
        <v>NC</v>
      </c>
      <c r="AK204" s="123" t="str">
        <f t="shared" si="104"/>
        <v>NC</v>
      </c>
      <c r="AM204" s="151">
        <f>I204*($AM$3-J204)/$I$4</f>
        <v>6.8695566108907605E-2</v>
      </c>
      <c r="AP204" s="141" t="s">
        <v>643</v>
      </c>
      <c r="AQ204" s="141" t="s">
        <v>643</v>
      </c>
      <c r="AR204" s="232"/>
      <c r="AS204" s="143" t="s">
        <v>1278</v>
      </c>
      <c r="AT204" s="143" t="s">
        <v>1279</v>
      </c>
      <c r="AU204" s="143" t="s">
        <v>1281</v>
      </c>
    </row>
    <row r="205" spans="1:47" s="138" customFormat="1" x14ac:dyDescent="0.3">
      <c r="A205" s="157" t="s">
        <v>1045</v>
      </c>
      <c r="B205" s="157" t="s">
        <v>1110</v>
      </c>
      <c r="C205" s="168" t="s">
        <v>543</v>
      </c>
      <c r="D205" s="157" t="s">
        <v>145</v>
      </c>
      <c r="E205" s="157"/>
      <c r="F205" s="168"/>
      <c r="G205" s="172"/>
      <c r="H205" s="170"/>
      <c r="I205" s="171"/>
      <c r="J205" s="234"/>
      <c r="K205" s="133"/>
      <c r="L205" s="162">
        <v>44044</v>
      </c>
      <c r="M205" s="157"/>
      <c r="N205" s="235"/>
      <c r="O205" s="236"/>
      <c r="P205" s="57" t="s">
        <v>30</v>
      </c>
      <c r="Q205" s="173"/>
      <c r="R205" s="57"/>
      <c r="S205" s="34" t="s">
        <v>30</v>
      </c>
      <c r="T205" s="57" t="s">
        <v>30</v>
      </c>
      <c r="U205" s="57" t="s">
        <v>30</v>
      </c>
      <c r="V205" s="34" t="s">
        <v>30</v>
      </c>
      <c r="W205" s="137" t="str">
        <f t="shared" si="91"/>
        <v>NC</v>
      </c>
      <c r="X205" s="57" t="str">
        <f t="shared" si="106"/>
        <v>erreur</v>
      </c>
      <c r="Y205" s="57" t="str">
        <f t="shared" si="93"/>
        <v>erreur</v>
      </c>
      <c r="Z205" s="57" t="str">
        <f t="shared" si="94"/>
        <v>NC</v>
      </c>
      <c r="AA205" s="57" t="str">
        <f t="shared" si="95"/>
        <v>NC</v>
      </c>
      <c r="AB205" s="57" t="str">
        <f t="shared" si="96"/>
        <v>NC</v>
      </c>
      <c r="AC205" s="57" t="str">
        <f t="shared" si="97"/>
        <v>NC</v>
      </c>
      <c r="AD205" s="160"/>
      <c r="AE205" s="123" t="str">
        <f t="shared" si="98"/>
        <v>NC</v>
      </c>
      <c r="AF205" s="123" t="str">
        <f t="shared" si="99"/>
        <v>erreur</v>
      </c>
      <c r="AG205" s="123" t="str">
        <f t="shared" si="100"/>
        <v>erreur</v>
      </c>
      <c r="AH205" s="123" t="str">
        <f t="shared" si="101"/>
        <v>NC</v>
      </c>
      <c r="AI205" s="123" t="str">
        <f t="shared" si="102"/>
        <v>NC</v>
      </c>
      <c r="AJ205" s="123" t="str">
        <f t="shared" si="103"/>
        <v>NC</v>
      </c>
      <c r="AK205" s="123" t="str">
        <f t="shared" si="104"/>
        <v>NC</v>
      </c>
      <c r="AL205" s="160"/>
      <c r="AM205" s="237"/>
      <c r="AN205" s="160"/>
      <c r="AO205" s="160"/>
      <c r="AP205" s="141" t="s">
        <v>643</v>
      </c>
      <c r="AQ205" s="141" t="s">
        <v>643</v>
      </c>
      <c r="AR205" s="160"/>
      <c r="AS205" s="175"/>
      <c r="AT205" s="175"/>
      <c r="AU205" s="175"/>
    </row>
    <row r="206" spans="1:47" s="124" customFormat="1" x14ac:dyDescent="0.3">
      <c r="A206" s="117" t="s">
        <v>820</v>
      </c>
      <c r="B206" s="117" t="s">
        <v>1111</v>
      </c>
      <c r="C206" s="117" t="s">
        <v>821</v>
      </c>
      <c r="D206" s="116" t="s">
        <v>145</v>
      </c>
      <c r="E206" s="116"/>
      <c r="F206" s="117" t="s">
        <v>885</v>
      </c>
      <c r="G206" s="120"/>
      <c r="H206" s="156" t="s">
        <v>974</v>
      </c>
      <c r="I206" s="130">
        <v>815000000</v>
      </c>
      <c r="J206" s="131">
        <v>2019</v>
      </c>
      <c r="K206" s="132"/>
      <c r="L206" s="133">
        <v>44013</v>
      </c>
      <c r="M206" s="134"/>
      <c r="N206" s="135" t="s">
        <v>822</v>
      </c>
      <c r="O206" s="136"/>
      <c r="P206" s="57" t="s">
        <v>30</v>
      </c>
      <c r="Q206" s="57">
        <v>43798</v>
      </c>
      <c r="R206" s="57" t="s">
        <v>30</v>
      </c>
      <c r="S206" s="34" t="s">
        <v>30</v>
      </c>
      <c r="T206" s="57" t="s">
        <v>30</v>
      </c>
      <c r="U206" s="57" t="s">
        <v>30</v>
      </c>
      <c r="V206" s="34" t="s">
        <v>30</v>
      </c>
      <c r="W206" s="137" t="str">
        <f t="shared" si="91"/>
        <v>NC</v>
      </c>
      <c r="X206" s="57">
        <f t="shared" si="106"/>
        <v>43979</v>
      </c>
      <c r="Y206" s="57" t="str">
        <f t="shared" si="93"/>
        <v>NC</v>
      </c>
      <c r="Z206" s="57" t="str">
        <f t="shared" si="94"/>
        <v>NC</v>
      </c>
      <c r="AA206" s="57" t="str">
        <f t="shared" si="95"/>
        <v>NC</v>
      </c>
      <c r="AB206" s="57" t="str">
        <f t="shared" si="96"/>
        <v>NC</v>
      </c>
      <c r="AC206" s="57" t="str">
        <f t="shared" si="97"/>
        <v>NC</v>
      </c>
      <c r="AD206" s="138"/>
      <c r="AE206" s="116" t="str">
        <f t="shared" si="98"/>
        <v>NC</v>
      </c>
      <c r="AF206" s="116">
        <f t="shared" ca="1" si="99"/>
        <v>-1608</v>
      </c>
      <c r="AG206" s="116" t="str">
        <f t="shared" si="100"/>
        <v>NC</v>
      </c>
      <c r="AH206" s="116" t="str">
        <f t="shared" si="101"/>
        <v>NC</v>
      </c>
      <c r="AI206" s="116" t="str">
        <f t="shared" si="102"/>
        <v>NC</v>
      </c>
      <c r="AJ206" s="116" t="str">
        <f t="shared" si="103"/>
        <v>NC</v>
      </c>
      <c r="AK206" s="116" t="str">
        <f t="shared" si="104"/>
        <v>NC</v>
      </c>
      <c r="AL206" s="138"/>
      <c r="AM206" s="139">
        <f t="shared" ref="AM206:AM211" si="107">I206*($AM$3-J206)/$I$4</f>
        <v>3.09745046019861E-2</v>
      </c>
      <c r="AN206" s="138"/>
      <c r="AO206" s="138"/>
      <c r="AP206" s="141" t="s">
        <v>643</v>
      </c>
      <c r="AQ206" s="141" t="s">
        <v>643</v>
      </c>
      <c r="AR206" s="138"/>
      <c r="AS206" s="142" t="s">
        <v>1426</v>
      </c>
      <c r="AT206" s="142" t="s">
        <v>1427</v>
      </c>
      <c r="AU206" s="142" t="s">
        <v>1428</v>
      </c>
    </row>
    <row r="207" spans="1:47" s="124" customFormat="1" ht="14.4" customHeight="1" x14ac:dyDescent="0.3">
      <c r="A207" s="117" t="s">
        <v>17</v>
      </c>
      <c r="B207" s="117" t="s">
        <v>1435</v>
      </c>
      <c r="C207" s="121" t="s">
        <v>544</v>
      </c>
      <c r="D207" s="123" t="s">
        <v>46</v>
      </c>
      <c r="E207" s="123"/>
      <c r="F207" s="121">
        <v>764786</v>
      </c>
      <c r="G207" s="120"/>
      <c r="H207" s="231" t="s">
        <v>30</v>
      </c>
      <c r="I207" s="153">
        <v>52476560</v>
      </c>
      <c r="J207" s="146">
        <v>2013</v>
      </c>
      <c r="K207" s="147" t="s">
        <v>609</v>
      </c>
      <c r="L207" s="133" t="s">
        <v>1022</v>
      </c>
      <c r="M207" s="148"/>
      <c r="N207" s="149" t="s">
        <v>596</v>
      </c>
      <c r="O207" s="150">
        <v>3035</v>
      </c>
      <c r="P207" s="116" t="s">
        <v>30</v>
      </c>
      <c r="Q207" s="57">
        <v>42864</v>
      </c>
      <c r="R207" s="57"/>
      <c r="S207" s="34" t="s">
        <v>30</v>
      </c>
      <c r="T207" s="57" t="s">
        <v>30</v>
      </c>
      <c r="U207" s="57" t="s">
        <v>30</v>
      </c>
      <c r="V207" s="34" t="s">
        <v>30</v>
      </c>
      <c r="W207" s="137" t="str">
        <f t="shared" si="91"/>
        <v>NC</v>
      </c>
      <c r="X207" s="57">
        <f t="shared" si="106"/>
        <v>43045</v>
      </c>
      <c r="Y207" s="57" t="str">
        <f t="shared" si="93"/>
        <v>erreur</v>
      </c>
      <c r="Z207" s="57" t="str">
        <f t="shared" si="94"/>
        <v>NC</v>
      </c>
      <c r="AA207" s="57" t="str">
        <f t="shared" si="95"/>
        <v>NC</v>
      </c>
      <c r="AB207" s="57" t="str">
        <f t="shared" si="96"/>
        <v>NC</v>
      </c>
      <c r="AC207" s="57" t="str">
        <f t="shared" si="97"/>
        <v>NC</v>
      </c>
      <c r="AE207" s="123" t="str">
        <f t="shared" si="98"/>
        <v>NC</v>
      </c>
      <c r="AF207" s="123">
        <f t="shared" ca="1" si="99"/>
        <v>-2542</v>
      </c>
      <c r="AG207" s="123" t="str">
        <f t="shared" si="100"/>
        <v>erreur</v>
      </c>
      <c r="AH207" s="123" t="str">
        <f t="shared" si="101"/>
        <v>NC</v>
      </c>
      <c r="AI207" s="123" t="str">
        <f t="shared" si="102"/>
        <v>NC</v>
      </c>
      <c r="AJ207" s="123" t="str">
        <f t="shared" si="103"/>
        <v>NC</v>
      </c>
      <c r="AK207" s="123" t="str">
        <f t="shared" si="104"/>
        <v>NC</v>
      </c>
      <c r="AL207" s="138"/>
      <c r="AM207" s="151">
        <f t="shared" si="107"/>
        <v>2.0125302271388756E-2</v>
      </c>
      <c r="AN207" s="152"/>
      <c r="AP207" s="141" t="s">
        <v>643</v>
      </c>
      <c r="AQ207" s="141" t="s">
        <v>643</v>
      </c>
      <c r="AS207" s="143" t="s">
        <v>1282</v>
      </c>
      <c r="AT207" s="143" t="s">
        <v>1283</v>
      </c>
      <c r="AU207" s="143" t="s">
        <v>1284</v>
      </c>
    </row>
    <row r="208" spans="1:47" s="138" customFormat="1" ht="14.4" customHeight="1" x14ac:dyDescent="0.3">
      <c r="A208" s="121" t="s">
        <v>44</v>
      </c>
      <c r="B208" s="117" t="s">
        <v>1433</v>
      </c>
      <c r="C208" s="121" t="s">
        <v>544</v>
      </c>
      <c r="D208" s="123" t="s">
        <v>49</v>
      </c>
      <c r="E208" s="123"/>
      <c r="F208" s="121" t="s">
        <v>293</v>
      </c>
      <c r="G208" s="120"/>
      <c r="H208" s="231" t="s">
        <v>30</v>
      </c>
      <c r="I208" s="153">
        <v>38176697</v>
      </c>
      <c r="J208" s="146">
        <v>2014</v>
      </c>
      <c r="K208" s="147" t="s">
        <v>609</v>
      </c>
      <c r="L208" s="133">
        <v>43983</v>
      </c>
      <c r="M208" s="148"/>
      <c r="N208" s="149" t="s">
        <v>596</v>
      </c>
      <c r="O208" s="150"/>
      <c r="P208" s="116" t="s">
        <v>30</v>
      </c>
      <c r="Q208" s="57">
        <v>43805</v>
      </c>
      <c r="R208" s="57">
        <v>43523</v>
      </c>
      <c r="S208" s="34" t="s">
        <v>30</v>
      </c>
      <c r="T208" s="57" t="s">
        <v>30</v>
      </c>
      <c r="U208" s="57" t="s">
        <v>30</v>
      </c>
      <c r="V208" s="34" t="s">
        <v>30</v>
      </c>
      <c r="W208" s="137" t="str">
        <f t="shared" si="91"/>
        <v>NC</v>
      </c>
      <c r="X208" s="57">
        <f t="shared" si="106"/>
        <v>43986</v>
      </c>
      <c r="Y208" s="57">
        <f t="shared" si="93"/>
        <v>43888</v>
      </c>
      <c r="Z208" s="57" t="str">
        <f t="shared" si="94"/>
        <v>NC</v>
      </c>
      <c r="AA208" s="57" t="str">
        <f t="shared" si="95"/>
        <v>NC</v>
      </c>
      <c r="AB208" s="57" t="str">
        <f t="shared" si="96"/>
        <v>NC</v>
      </c>
      <c r="AC208" s="57" t="str">
        <f t="shared" si="97"/>
        <v>NC</v>
      </c>
      <c r="AD208" s="124"/>
      <c r="AE208" s="123" t="str">
        <f t="shared" si="98"/>
        <v>NC</v>
      </c>
      <c r="AF208" s="123">
        <f t="shared" ca="1" si="99"/>
        <v>-1601</v>
      </c>
      <c r="AG208" s="123">
        <f t="shared" ca="1" si="100"/>
        <v>-1699</v>
      </c>
      <c r="AH208" s="123" t="str">
        <f t="shared" si="101"/>
        <v>NC</v>
      </c>
      <c r="AI208" s="123" t="str">
        <f t="shared" si="102"/>
        <v>NC</v>
      </c>
      <c r="AJ208" s="123" t="str">
        <f t="shared" si="103"/>
        <v>NC</v>
      </c>
      <c r="AK208" s="123" t="str">
        <f t="shared" si="104"/>
        <v>NC</v>
      </c>
      <c r="AM208" s="151">
        <f t="shared" si="107"/>
        <v>1.2442785289717226E-2</v>
      </c>
      <c r="AN208" s="152"/>
      <c r="AO208" s="124"/>
      <c r="AP208" s="141" t="s">
        <v>643</v>
      </c>
      <c r="AQ208" s="141" t="s">
        <v>643</v>
      </c>
      <c r="AR208" s="124"/>
      <c r="AS208" s="143" t="s">
        <v>1282</v>
      </c>
      <c r="AT208" s="143" t="s">
        <v>1283</v>
      </c>
      <c r="AU208" s="143" t="s">
        <v>1429</v>
      </c>
    </row>
    <row r="209" spans="1:47" s="232" customFormat="1" ht="14.4" customHeight="1" x14ac:dyDescent="0.3">
      <c r="A209" s="116" t="s">
        <v>404</v>
      </c>
      <c r="B209" s="116" t="s">
        <v>1434</v>
      </c>
      <c r="C209" s="117" t="s">
        <v>545</v>
      </c>
      <c r="D209" s="116" t="s">
        <v>46</v>
      </c>
      <c r="E209" s="116"/>
      <c r="F209" s="117" t="s">
        <v>657</v>
      </c>
      <c r="G209" s="120"/>
      <c r="H209" s="120" t="s">
        <v>30</v>
      </c>
      <c r="I209" s="134">
        <v>76500000</v>
      </c>
      <c r="J209" s="120">
        <v>2018</v>
      </c>
      <c r="K209" s="132"/>
      <c r="L209" s="158">
        <v>43952</v>
      </c>
      <c r="M209" s="116"/>
      <c r="N209" s="135" t="s">
        <v>596</v>
      </c>
      <c r="O209" s="116"/>
      <c r="P209" s="57" t="s">
        <v>30</v>
      </c>
      <c r="Q209" s="57">
        <v>43818</v>
      </c>
      <c r="R209" s="57">
        <v>43670</v>
      </c>
      <c r="S209" s="34" t="s">
        <v>30</v>
      </c>
      <c r="T209" s="57" t="s">
        <v>30</v>
      </c>
      <c r="U209" s="57" t="s">
        <v>30</v>
      </c>
      <c r="V209" s="34" t="s">
        <v>30</v>
      </c>
      <c r="W209" s="137" t="str">
        <f t="shared" si="91"/>
        <v>NC</v>
      </c>
      <c r="X209" s="57">
        <f t="shared" si="106"/>
        <v>43999</v>
      </c>
      <c r="Y209" s="57">
        <f t="shared" si="93"/>
        <v>44035</v>
      </c>
      <c r="Z209" s="57" t="str">
        <f t="shared" si="94"/>
        <v>NC</v>
      </c>
      <c r="AA209" s="57" t="str">
        <f t="shared" si="95"/>
        <v>NC</v>
      </c>
      <c r="AB209" s="57" t="str">
        <f t="shared" si="96"/>
        <v>NC</v>
      </c>
      <c r="AC209" s="57" t="str">
        <f t="shared" si="97"/>
        <v>NC</v>
      </c>
      <c r="AD209" s="138"/>
      <c r="AE209" s="123" t="str">
        <f t="shared" si="98"/>
        <v>NC</v>
      </c>
      <c r="AF209" s="123">
        <f t="shared" ca="1" si="99"/>
        <v>-1588</v>
      </c>
      <c r="AG209" s="123">
        <f t="shared" ca="1" si="100"/>
        <v>-1552</v>
      </c>
      <c r="AH209" s="123" t="str">
        <f t="shared" si="101"/>
        <v>NC</v>
      </c>
      <c r="AI209" s="123" t="str">
        <f t="shared" si="102"/>
        <v>NC</v>
      </c>
      <c r="AJ209" s="123" t="str">
        <f t="shared" si="103"/>
        <v>NC</v>
      </c>
      <c r="AK209" s="123" t="str">
        <f t="shared" si="104"/>
        <v>NC</v>
      </c>
      <c r="AL209" s="138"/>
      <c r="AM209" s="139">
        <f t="shared" si="107"/>
        <v>7.3126089224873035E-3</v>
      </c>
      <c r="AN209" s="138"/>
      <c r="AO209" s="138"/>
      <c r="AP209" s="141" t="s">
        <v>643</v>
      </c>
      <c r="AQ209" s="141" t="s">
        <v>643</v>
      </c>
      <c r="AR209" s="138"/>
      <c r="AS209" s="142" t="s">
        <v>1282</v>
      </c>
      <c r="AT209" s="143" t="s">
        <v>1283</v>
      </c>
      <c r="AU209" s="143" t="s">
        <v>1285</v>
      </c>
    </row>
    <row r="210" spans="1:47" s="138" customFormat="1" x14ac:dyDescent="0.3">
      <c r="A210" s="116" t="s">
        <v>405</v>
      </c>
      <c r="B210" s="116" t="s">
        <v>1436</v>
      </c>
      <c r="C210" s="117" t="s">
        <v>545</v>
      </c>
      <c r="D210" s="116" t="s">
        <v>145</v>
      </c>
      <c r="E210" s="116"/>
      <c r="F210" s="117" t="s">
        <v>876</v>
      </c>
      <c r="G210" s="120"/>
      <c r="H210" s="120" t="s">
        <v>30</v>
      </c>
      <c r="I210" s="134">
        <v>134000000</v>
      </c>
      <c r="J210" s="120">
        <v>2019</v>
      </c>
      <c r="K210" s="132"/>
      <c r="L210" s="158">
        <v>44166</v>
      </c>
      <c r="M210" s="116"/>
      <c r="N210" s="135" t="s">
        <v>596</v>
      </c>
      <c r="O210" s="116"/>
      <c r="P210" s="57" t="s">
        <v>30</v>
      </c>
      <c r="Q210" s="57">
        <v>43718</v>
      </c>
      <c r="R210" s="57">
        <v>43721</v>
      </c>
      <c r="S210" s="34" t="s">
        <v>30</v>
      </c>
      <c r="T210" s="57" t="s">
        <v>30</v>
      </c>
      <c r="U210" s="57" t="s">
        <v>30</v>
      </c>
      <c r="V210" s="34" t="s">
        <v>30</v>
      </c>
      <c r="W210" s="137" t="str">
        <f t="shared" si="91"/>
        <v>NC</v>
      </c>
      <c r="X210" s="57">
        <f t="shared" si="106"/>
        <v>43899</v>
      </c>
      <c r="Y210" s="57">
        <f t="shared" si="93"/>
        <v>44086</v>
      </c>
      <c r="Z210" s="57" t="str">
        <f t="shared" si="94"/>
        <v>NC</v>
      </c>
      <c r="AA210" s="57" t="str">
        <f t="shared" si="95"/>
        <v>NC</v>
      </c>
      <c r="AB210" s="57" t="str">
        <f t="shared" si="96"/>
        <v>NC</v>
      </c>
      <c r="AC210" s="57" t="str">
        <f t="shared" si="97"/>
        <v>NC</v>
      </c>
      <c r="AE210" s="123" t="str">
        <f t="shared" si="98"/>
        <v>NC</v>
      </c>
      <c r="AF210" s="123">
        <f t="shared" ca="1" si="99"/>
        <v>-1688</v>
      </c>
      <c r="AG210" s="123">
        <f t="shared" ca="1" si="100"/>
        <v>-1501</v>
      </c>
      <c r="AH210" s="123" t="str">
        <f t="shared" si="101"/>
        <v>NC</v>
      </c>
      <c r="AI210" s="123" t="str">
        <f t="shared" si="102"/>
        <v>NC</v>
      </c>
      <c r="AJ210" s="123" t="str">
        <f t="shared" si="103"/>
        <v>NC</v>
      </c>
      <c r="AK210" s="123" t="str">
        <f t="shared" si="104"/>
        <v>NC</v>
      </c>
      <c r="AM210" s="139">
        <f t="shared" si="107"/>
        <v>5.0927406339461804E-3</v>
      </c>
      <c r="AP210" s="141" t="s">
        <v>643</v>
      </c>
      <c r="AQ210" s="141" t="s">
        <v>643</v>
      </c>
      <c r="AS210" s="142" t="s">
        <v>1282</v>
      </c>
      <c r="AT210" s="143" t="s">
        <v>1283</v>
      </c>
      <c r="AU210" s="143" t="s">
        <v>1430</v>
      </c>
    </row>
    <row r="211" spans="1:47" s="160" customFormat="1" x14ac:dyDescent="0.3">
      <c r="A211" s="116" t="s">
        <v>975</v>
      </c>
      <c r="B211" s="116" t="s">
        <v>1432</v>
      </c>
      <c r="C211" s="117" t="s">
        <v>545</v>
      </c>
      <c r="D211" s="116" t="s">
        <v>145</v>
      </c>
      <c r="E211" s="116"/>
      <c r="F211" s="117" t="s">
        <v>1005</v>
      </c>
      <c r="G211" s="120"/>
      <c r="H211" s="120" t="s">
        <v>30</v>
      </c>
      <c r="I211" s="134">
        <v>64250000</v>
      </c>
      <c r="J211" s="120">
        <v>2019</v>
      </c>
      <c r="K211" s="132"/>
      <c r="L211" s="158">
        <v>44044</v>
      </c>
      <c r="M211" s="157" t="s">
        <v>145</v>
      </c>
      <c r="N211" s="135"/>
      <c r="O211" s="116"/>
      <c r="P211" s="57" t="s">
        <v>30</v>
      </c>
      <c r="Q211" s="57">
        <v>43873</v>
      </c>
      <c r="R211" s="57">
        <v>43837</v>
      </c>
      <c r="S211" s="34" t="s">
        <v>30</v>
      </c>
      <c r="T211" s="57" t="s">
        <v>30</v>
      </c>
      <c r="U211" s="57" t="s">
        <v>30</v>
      </c>
      <c r="V211" s="34" t="s">
        <v>30</v>
      </c>
      <c r="W211" s="137" t="str">
        <f t="shared" si="91"/>
        <v>NC</v>
      </c>
      <c r="X211" s="57">
        <f t="shared" si="106"/>
        <v>44054</v>
      </c>
      <c r="Y211" s="57">
        <f t="shared" si="93"/>
        <v>44202</v>
      </c>
      <c r="Z211" s="57" t="str">
        <f t="shared" si="94"/>
        <v>NC</v>
      </c>
      <c r="AA211" s="57" t="str">
        <f t="shared" si="95"/>
        <v>NC</v>
      </c>
      <c r="AB211" s="57" t="str">
        <f t="shared" si="96"/>
        <v>NC</v>
      </c>
      <c r="AC211" s="57" t="str">
        <f t="shared" si="97"/>
        <v>NC</v>
      </c>
      <c r="AD211" s="138"/>
      <c r="AE211" s="116" t="str">
        <f t="shared" si="98"/>
        <v>NC</v>
      </c>
      <c r="AF211" s="116">
        <f t="shared" ca="1" si="99"/>
        <v>-1533</v>
      </c>
      <c r="AG211" s="116">
        <f t="shared" ca="1" si="100"/>
        <v>-1385</v>
      </c>
      <c r="AH211" s="116" t="str">
        <f t="shared" si="101"/>
        <v>NC</v>
      </c>
      <c r="AI211" s="116" t="str">
        <f t="shared" si="102"/>
        <v>NC</v>
      </c>
      <c r="AJ211" s="116" t="str">
        <f t="shared" si="103"/>
        <v>NC</v>
      </c>
      <c r="AK211" s="116" t="str">
        <f t="shared" si="104"/>
        <v>NC</v>
      </c>
      <c r="AL211" s="138"/>
      <c r="AM211" s="139">
        <f t="shared" si="107"/>
        <v>2.4418551173958367E-3</v>
      </c>
      <c r="AN211" s="138"/>
      <c r="AO211" s="138"/>
      <c r="AP211" s="141" t="s">
        <v>643</v>
      </c>
      <c r="AQ211" s="141" t="s">
        <v>643</v>
      </c>
      <c r="AR211" s="138"/>
      <c r="AS211" s="142" t="s">
        <v>1282</v>
      </c>
      <c r="AT211" s="142" t="s">
        <v>1283</v>
      </c>
      <c r="AU211" s="142" t="s">
        <v>1431</v>
      </c>
    </row>
    <row r="212" spans="1:47" s="160" customFormat="1" x14ac:dyDescent="0.3">
      <c r="A212" s="116" t="s">
        <v>976</v>
      </c>
      <c r="B212" s="116" t="s">
        <v>1432</v>
      </c>
      <c r="C212" s="117" t="s">
        <v>545</v>
      </c>
      <c r="D212" s="116" t="s">
        <v>145</v>
      </c>
      <c r="E212" s="116" t="s">
        <v>1053</v>
      </c>
      <c r="F212" s="117" t="s">
        <v>1052</v>
      </c>
      <c r="G212" s="120"/>
      <c r="H212" s="120"/>
      <c r="I212" s="134">
        <v>64250000</v>
      </c>
      <c r="J212" s="120">
        <v>2019</v>
      </c>
      <c r="K212" s="132"/>
      <c r="L212" s="238">
        <v>44044</v>
      </c>
      <c r="M212" s="116"/>
      <c r="N212" s="135"/>
      <c r="O212" s="116"/>
      <c r="P212" s="57" t="s">
        <v>30</v>
      </c>
      <c r="Q212" s="57">
        <v>43886</v>
      </c>
      <c r="R212" s="57"/>
      <c r="S212" s="34" t="s">
        <v>30</v>
      </c>
      <c r="T212" s="57" t="s">
        <v>30</v>
      </c>
      <c r="U212" s="57" t="s">
        <v>30</v>
      </c>
      <c r="V212" s="34" t="s">
        <v>30</v>
      </c>
      <c r="W212" s="137" t="str">
        <f t="shared" si="91"/>
        <v>NC</v>
      </c>
      <c r="X212" s="57">
        <f t="shared" si="106"/>
        <v>44067</v>
      </c>
      <c r="Y212" s="57" t="str">
        <f t="shared" si="93"/>
        <v>erreur</v>
      </c>
      <c r="Z212" s="57" t="str">
        <f t="shared" si="94"/>
        <v>NC</v>
      </c>
      <c r="AA212" s="57" t="str">
        <f t="shared" si="95"/>
        <v>NC</v>
      </c>
      <c r="AB212" s="57" t="str">
        <f t="shared" si="96"/>
        <v>NC</v>
      </c>
      <c r="AC212" s="57" t="str">
        <f t="shared" si="97"/>
        <v>NC</v>
      </c>
      <c r="AD212" s="138"/>
      <c r="AE212" s="116" t="str">
        <f t="shared" si="98"/>
        <v>NC</v>
      </c>
      <c r="AF212" s="116">
        <f t="shared" ca="1" si="99"/>
        <v>-1520</v>
      </c>
      <c r="AG212" s="116" t="str">
        <f t="shared" si="100"/>
        <v>erreur</v>
      </c>
      <c r="AH212" s="116" t="str">
        <f t="shared" si="101"/>
        <v>NC</v>
      </c>
      <c r="AI212" s="116" t="str">
        <f t="shared" si="102"/>
        <v>NC</v>
      </c>
      <c r="AJ212" s="116" t="str">
        <f t="shared" si="103"/>
        <v>NC</v>
      </c>
      <c r="AK212" s="116" t="str">
        <f t="shared" si="104"/>
        <v>NC</v>
      </c>
      <c r="AL212" s="138"/>
      <c r="AM212" s="139"/>
      <c r="AN212" s="138"/>
      <c r="AO212" s="138"/>
      <c r="AP212" s="138" t="s">
        <v>643</v>
      </c>
      <c r="AQ212" s="138" t="s">
        <v>643</v>
      </c>
      <c r="AR212" s="138"/>
      <c r="AS212" s="142" t="s">
        <v>1282</v>
      </c>
      <c r="AT212" s="142" t="s">
        <v>1283</v>
      </c>
      <c r="AU212" s="142" t="s">
        <v>1431</v>
      </c>
    </row>
    <row r="213" spans="1:47" s="160" customFormat="1" x14ac:dyDescent="0.3">
      <c r="A213" s="116" t="s">
        <v>977</v>
      </c>
      <c r="B213" s="116" t="s">
        <v>1018</v>
      </c>
      <c r="C213" s="117" t="s">
        <v>979</v>
      </c>
      <c r="D213" s="116" t="s">
        <v>145</v>
      </c>
      <c r="E213" s="116" t="s">
        <v>1017</v>
      </c>
      <c r="F213" s="117" t="s">
        <v>1019</v>
      </c>
      <c r="G213" s="120"/>
      <c r="H213" s="120"/>
      <c r="I213" s="134">
        <v>72155000</v>
      </c>
      <c r="J213" s="120">
        <v>2013</v>
      </c>
      <c r="K213" s="132"/>
      <c r="L213" s="158">
        <v>44044</v>
      </c>
      <c r="M213" s="116"/>
      <c r="N213" s="135"/>
      <c r="O213" s="116"/>
      <c r="P213" s="57" t="s">
        <v>30</v>
      </c>
      <c r="Q213" s="57">
        <v>43844</v>
      </c>
      <c r="R213" s="57">
        <v>43844</v>
      </c>
      <c r="S213" s="34" t="s">
        <v>30</v>
      </c>
      <c r="T213" s="57" t="s">
        <v>30</v>
      </c>
      <c r="U213" s="57" t="s">
        <v>30</v>
      </c>
      <c r="V213" s="34" t="s">
        <v>30</v>
      </c>
      <c r="W213" s="137" t="str">
        <f t="shared" si="91"/>
        <v>NC</v>
      </c>
      <c r="X213" s="57">
        <f t="shared" si="106"/>
        <v>44025</v>
      </c>
      <c r="Y213" s="57">
        <f t="shared" si="93"/>
        <v>44209</v>
      </c>
      <c r="Z213" s="57" t="str">
        <f t="shared" si="94"/>
        <v>NC</v>
      </c>
      <c r="AA213" s="57" t="str">
        <f t="shared" si="95"/>
        <v>NC</v>
      </c>
      <c r="AB213" s="57" t="str">
        <f t="shared" si="96"/>
        <v>NC</v>
      </c>
      <c r="AC213" s="57" t="str">
        <f t="shared" si="97"/>
        <v>NC</v>
      </c>
      <c r="AD213" s="138"/>
      <c r="AE213" s="116" t="str">
        <f t="shared" si="98"/>
        <v>NC</v>
      </c>
      <c r="AF213" s="116">
        <f t="shared" ca="1" si="99"/>
        <v>-1562</v>
      </c>
      <c r="AG213" s="116">
        <f t="shared" ca="1" si="100"/>
        <v>-1378</v>
      </c>
      <c r="AH213" s="116" t="str">
        <f t="shared" si="101"/>
        <v>NC</v>
      </c>
      <c r="AI213" s="116" t="str">
        <f t="shared" si="102"/>
        <v>NC</v>
      </c>
      <c r="AJ213" s="116" t="str">
        <f t="shared" si="103"/>
        <v>NC</v>
      </c>
      <c r="AK213" s="116" t="str">
        <f t="shared" si="104"/>
        <v>NC</v>
      </c>
      <c r="AL213" s="138"/>
      <c r="AM213" s="139"/>
      <c r="AN213" s="138"/>
      <c r="AO213" s="138"/>
      <c r="AP213" s="141" t="s">
        <v>643</v>
      </c>
      <c r="AQ213" s="141" t="s">
        <v>643</v>
      </c>
      <c r="AR213" s="138"/>
      <c r="AS213" s="142" t="s">
        <v>1437</v>
      </c>
      <c r="AT213" s="142" t="s">
        <v>1438</v>
      </c>
      <c r="AU213" s="142" t="s">
        <v>1439</v>
      </c>
    </row>
    <row r="214" spans="1:47" s="138" customFormat="1" x14ac:dyDescent="0.3">
      <c r="A214" s="116" t="s">
        <v>978</v>
      </c>
      <c r="B214" s="116" t="s">
        <v>368</v>
      </c>
      <c r="C214" s="117" t="s">
        <v>979</v>
      </c>
      <c r="D214" s="116" t="s">
        <v>145</v>
      </c>
      <c r="E214" s="116" t="s">
        <v>1046</v>
      </c>
      <c r="F214" s="239" t="s">
        <v>1047</v>
      </c>
      <c r="G214" s="120"/>
      <c r="H214" s="120"/>
      <c r="I214" s="134">
        <v>104700000</v>
      </c>
      <c r="J214" s="120">
        <v>2019</v>
      </c>
      <c r="K214" s="132"/>
      <c r="L214" s="238">
        <v>44166</v>
      </c>
      <c r="M214" s="116"/>
      <c r="N214" s="135" t="s">
        <v>596</v>
      </c>
      <c r="O214" s="116"/>
      <c r="P214" s="57" t="s">
        <v>30</v>
      </c>
      <c r="Q214" s="57">
        <v>43873</v>
      </c>
      <c r="R214" s="57"/>
      <c r="S214" s="34" t="s">
        <v>30</v>
      </c>
      <c r="T214" s="57" t="s">
        <v>30</v>
      </c>
      <c r="U214" s="57" t="s">
        <v>30</v>
      </c>
      <c r="V214" s="34" t="s">
        <v>30</v>
      </c>
      <c r="W214" s="137" t="str">
        <f t="shared" si="91"/>
        <v>NC</v>
      </c>
      <c r="X214" s="57">
        <f t="shared" si="106"/>
        <v>44054</v>
      </c>
      <c r="Y214" s="57" t="str">
        <f t="shared" si="93"/>
        <v>erreur</v>
      </c>
      <c r="Z214" s="57" t="str">
        <f t="shared" si="94"/>
        <v>NC</v>
      </c>
      <c r="AA214" s="57" t="str">
        <f t="shared" si="95"/>
        <v>NC</v>
      </c>
      <c r="AB214" s="57" t="str">
        <f t="shared" si="96"/>
        <v>NC</v>
      </c>
      <c r="AC214" s="57" t="str">
        <f t="shared" si="97"/>
        <v>NC</v>
      </c>
      <c r="AE214" s="116" t="str">
        <f t="shared" si="98"/>
        <v>NC</v>
      </c>
      <c r="AF214" s="116">
        <f t="shared" ca="1" si="99"/>
        <v>-1533</v>
      </c>
      <c r="AG214" s="116" t="str">
        <f t="shared" si="100"/>
        <v>erreur</v>
      </c>
      <c r="AH214" s="116" t="str">
        <f t="shared" si="101"/>
        <v>NC</v>
      </c>
      <c r="AI214" s="116" t="str">
        <f t="shared" si="102"/>
        <v>NC</v>
      </c>
      <c r="AJ214" s="116" t="str">
        <f t="shared" si="103"/>
        <v>NC</v>
      </c>
      <c r="AK214" s="116" t="str">
        <f t="shared" si="104"/>
        <v>NC</v>
      </c>
      <c r="AM214" s="139">
        <f t="shared" ref="AM214:AM245" si="108">I214*($AM$3-J214)/$I$4</f>
        <v>3.9791786893594409E-3</v>
      </c>
      <c r="AP214" s="138" t="s">
        <v>643</v>
      </c>
      <c r="AQ214" s="138" t="s">
        <v>643</v>
      </c>
      <c r="AS214" s="142"/>
      <c r="AT214" s="142" t="s">
        <v>1438</v>
      </c>
      <c r="AU214" s="142"/>
    </row>
    <row r="215" spans="1:47" s="124" customFormat="1" ht="14.4" customHeight="1" x14ac:dyDescent="0.3">
      <c r="A215" s="26" t="s">
        <v>191</v>
      </c>
      <c r="B215" s="26" t="s">
        <v>1112</v>
      </c>
      <c r="C215" s="121" t="s">
        <v>546</v>
      </c>
      <c r="D215" s="116" t="s">
        <v>46</v>
      </c>
      <c r="E215" s="116"/>
      <c r="F215" s="121" t="s">
        <v>294</v>
      </c>
      <c r="G215" s="120"/>
      <c r="H215" s="144">
        <v>43830</v>
      </c>
      <c r="I215" s="134">
        <v>323760000</v>
      </c>
      <c r="J215" s="131">
        <v>2018</v>
      </c>
      <c r="K215" s="154">
        <v>45231</v>
      </c>
      <c r="L215" s="133">
        <v>43891</v>
      </c>
      <c r="M215" s="134"/>
      <c r="N215" s="149" t="s">
        <v>596</v>
      </c>
      <c r="O215" s="136">
        <v>167</v>
      </c>
      <c r="P215" s="57" t="s">
        <v>30</v>
      </c>
      <c r="Q215" s="57" t="s">
        <v>30</v>
      </c>
      <c r="R215" s="57">
        <v>43703</v>
      </c>
      <c r="S215" s="34" t="s">
        <v>30</v>
      </c>
      <c r="T215" s="57" t="s">
        <v>30</v>
      </c>
      <c r="U215" s="57" t="s">
        <v>30</v>
      </c>
      <c r="V215" s="34" t="s">
        <v>30</v>
      </c>
      <c r="W215" s="137" t="str">
        <f t="shared" si="91"/>
        <v>NC</v>
      </c>
      <c r="X215" s="57" t="str">
        <f t="shared" si="106"/>
        <v>NC</v>
      </c>
      <c r="Y215" s="57">
        <f t="shared" si="93"/>
        <v>44068</v>
      </c>
      <c r="Z215" s="57" t="str">
        <f t="shared" si="94"/>
        <v>NC</v>
      </c>
      <c r="AA215" s="57" t="str">
        <f t="shared" si="95"/>
        <v>NC</v>
      </c>
      <c r="AB215" s="57" t="str">
        <f t="shared" si="96"/>
        <v>NC</v>
      </c>
      <c r="AC215" s="57" t="str">
        <f t="shared" si="97"/>
        <v>NC</v>
      </c>
      <c r="AE215" s="123" t="str">
        <f t="shared" si="98"/>
        <v>NC</v>
      </c>
      <c r="AF215" s="123" t="str">
        <f t="shared" si="99"/>
        <v>NC</v>
      </c>
      <c r="AG215" s="123">
        <f t="shared" ca="1" si="100"/>
        <v>-1519</v>
      </c>
      <c r="AH215" s="123" t="str">
        <f t="shared" si="101"/>
        <v>NC</v>
      </c>
      <c r="AI215" s="123" t="str">
        <f t="shared" si="102"/>
        <v>NC</v>
      </c>
      <c r="AJ215" s="123" t="str">
        <f t="shared" si="103"/>
        <v>NC</v>
      </c>
      <c r="AK215" s="123" t="str">
        <f t="shared" si="104"/>
        <v>NC</v>
      </c>
      <c r="AL215" s="138"/>
      <c r="AM215" s="151">
        <f t="shared" si="108"/>
        <v>3.0948108035875676E-2</v>
      </c>
      <c r="AN215" s="140"/>
      <c r="AP215" s="141" t="s">
        <v>643</v>
      </c>
      <c r="AQ215" s="141" t="s">
        <v>643</v>
      </c>
      <c r="AR215" s="138"/>
      <c r="AS215" s="142" t="s">
        <v>1169</v>
      </c>
      <c r="AT215" s="143" t="s">
        <v>1286</v>
      </c>
      <c r="AU215" s="143" t="s">
        <v>1287</v>
      </c>
    </row>
    <row r="216" spans="1:47" s="124" customFormat="1" ht="14.4" customHeight="1" x14ac:dyDescent="0.3">
      <c r="A216" s="116" t="s">
        <v>491</v>
      </c>
      <c r="B216" s="116" t="s">
        <v>1113</v>
      </c>
      <c r="C216" s="117" t="s">
        <v>546</v>
      </c>
      <c r="D216" s="116" t="s">
        <v>46</v>
      </c>
      <c r="E216" s="116"/>
      <c r="F216" s="117" t="s">
        <v>659</v>
      </c>
      <c r="G216" s="120"/>
      <c r="H216" s="120" t="s">
        <v>30</v>
      </c>
      <c r="I216" s="134">
        <v>75435000</v>
      </c>
      <c r="J216" s="120">
        <v>2018</v>
      </c>
      <c r="K216" s="132"/>
      <c r="L216" s="158">
        <v>43891</v>
      </c>
      <c r="M216" s="116"/>
      <c r="N216" s="135" t="s">
        <v>596</v>
      </c>
      <c r="O216" s="116"/>
      <c r="P216" s="57" t="s">
        <v>30</v>
      </c>
      <c r="Q216" s="57" t="s">
        <v>30</v>
      </c>
      <c r="R216" s="57" t="s">
        <v>30</v>
      </c>
      <c r="S216" s="34" t="s">
        <v>30</v>
      </c>
      <c r="T216" s="57" t="s">
        <v>30</v>
      </c>
      <c r="U216" s="57" t="s">
        <v>30</v>
      </c>
      <c r="V216" s="34" t="s">
        <v>30</v>
      </c>
      <c r="W216" s="137" t="str">
        <f t="shared" si="91"/>
        <v>NC</v>
      </c>
      <c r="X216" s="57" t="str">
        <f t="shared" si="106"/>
        <v>NC</v>
      </c>
      <c r="Y216" s="57" t="str">
        <f t="shared" si="93"/>
        <v>NC</v>
      </c>
      <c r="Z216" s="57" t="str">
        <f t="shared" si="94"/>
        <v>NC</v>
      </c>
      <c r="AA216" s="57" t="str">
        <f t="shared" si="95"/>
        <v>NC</v>
      </c>
      <c r="AB216" s="57" t="str">
        <f t="shared" si="96"/>
        <v>NC</v>
      </c>
      <c r="AC216" s="57" t="str">
        <f t="shared" si="97"/>
        <v>NC</v>
      </c>
      <c r="AD216" s="138"/>
      <c r="AE216" s="123" t="str">
        <f t="shared" si="98"/>
        <v>NC</v>
      </c>
      <c r="AF216" s="123" t="str">
        <f t="shared" si="99"/>
        <v>NC</v>
      </c>
      <c r="AG216" s="123" t="str">
        <f t="shared" si="100"/>
        <v>NC</v>
      </c>
      <c r="AH216" s="123" t="str">
        <f t="shared" si="101"/>
        <v>NC</v>
      </c>
      <c r="AI216" s="123" t="str">
        <f t="shared" si="102"/>
        <v>NC</v>
      </c>
      <c r="AJ216" s="123" t="str">
        <f t="shared" si="103"/>
        <v>NC</v>
      </c>
      <c r="AK216" s="123" t="str">
        <f t="shared" si="104"/>
        <v>NC</v>
      </c>
      <c r="AL216" s="138"/>
      <c r="AM216" s="151">
        <f t="shared" si="108"/>
        <v>7.2108059355271859E-3</v>
      </c>
      <c r="AN216" s="138"/>
      <c r="AO216" s="138"/>
      <c r="AP216" s="141" t="s">
        <v>643</v>
      </c>
      <c r="AQ216" s="141" t="s">
        <v>643</v>
      </c>
      <c r="AR216" s="232"/>
      <c r="AS216" s="240" t="s">
        <v>1288</v>
      </c>
      <c r="AT216" s="143" t="s">
        <v>1289</v>
      </c>
      <c r="AU216" s="143" t="s">
        <v>1290</v>
      </c>
    </row>
    <row r="217" spans="1:47" s="138" customFormat="1" ht="14.4" customHeight="1" x14ac:dyDescent="0.3">
      <c r="A217" s="26" t="s">
        <v>192</v>
      </c>
      <c r="B217" s="26" t="s">
        <v>1454</v>
      </c>
      <c r="C217" s="121" t="s">
        <v>547</v>
      </c>
      <c r="D217" s="116" t="s">
        <v>46</v>
      </c>
      <c r="E217" s="116"/>
      <c r="F217" s="117" t="s">
        <v>415</v>
      </c>
      <c r="G217" s="120"/>
      <c r="H217" s="120" t="s">
        <v>30</v>
      </c>
      <c r="I217" s="153">
        <v>13775097</v>
      </c>
      <c r="J217" s="131">
        <v>2012</v>
      </c>
      <c r="K217" s="147" t="s">
        <v>609</v>
      </c>
      <c r="L217" s="133">
        <v>43952</v>
      </c>
      <c r="M217" s="134"/>
      <c r="N217" s="149" t="s">
        <v>596</v>
      </c>
      <c r="O217" s="136"/>
      <c r="P217" s="57" t="s">
        <v>30</v>
      </c>
      <c r="Q217" s="57" t="s">
        <v>30</v>
      </c>
      <c r="R217" s="57" t="s">
        <v>30</v>
      </c>
      <c r="S217" s="34" t="s">
        <v>30</v>
      </c>
      <c r="T217" s="57" t="s">
        <v>30</v>
      </c>
      <c r="U217" s="57" t="s">
        <v>30</v>
      </c>
      <c r="V217" s="34" t="s">
        <v>30</v>
      </c>
      <c r="W217" s="137" t="str">
        <f t="shared" si="91"/>
        <v>NC</v>
      </c>
      <c r="X217" s="57" t="str">
        <f t="shared" si="106"/>
        <v>NC</v>
      </c>
      <c r="Y217" s="57" t="str">
        <f t="shared" si="93"/>
        <v>NC</v>
      </c>
      <c r="Z217" s="57" t="str">
        <f t="shared" si="94"/>
        <v>NC</v>
      </c>
      <c r="AA217" s="57" t="str">
        <f t="shared" si="95"/>
        <v>NC</v>
      </c>
      <c r="AB217" s="57" t="str">
        <f t="shared" si="96"/>
        <v>NC</v>
      </c>
      <c r="AC217" s="57" t="str">
        <f t="shared" si="97"/>
        <v>NC</v>
      </c>
      <c r="AD217" s="124"/>
      <c r="AE217" s="123" t="str">
        <f t="shared" si="98"/>
        <v>NC</v>
      </c>
      <c r="AF217" s="123" t="str">
        <f t="shared" si="99"/>
        <v>NC</v>
      </c>
      <c r="AG217" s="123" t="str">
        <f t="shared" si="100"/>
        <v>NC</v>
      </c>
      <c r="AH217" s="123" t="str">
        <f t="shared" si="101"/>
        <v>NC</v>
      </c>
      <c r="AI217" s="123" t="str">
        <f t="shared" si="102"/>
        <v>NC</v>
      </c>
      <c r="AJ217" s="123" t="str">
        <f t="shared" si="103"/>
        <v>NC</v>
      </c>
      <c r="AK217" s="123" t="str">
        <f t="shared" si="104"/>
        <v>NC</v>
      </c>
      <c r="AM217" s="151">
        <f t="shared" si="108"/>
        <v>6.0761188501794105E-3</v>
      </c>
      <c r="AN217" s="140"/>
      <c r="AO217" s="124"/>
      <c r="AP217" s="141" t="s">
        <v>643</v>
      </c>
      <c r="AQ217" s="141" t="s">
        <v>643</v>
      </c>
      <c r="AR217" s="160"/>
      <c r="AS217" s="175" t="s">
        <v>1291</v>
      </c>
      <c r="AT217" s="143" t="s">
        <v>1292</v>
      </c>
      <c r="AU217" s="143" t="s">
        <v>1293</v>
      </c>
    </row>
    <row r="218" spans="1:47" s="138" customFormat="1" ht="14.4" customHeight="1" x14ac:dyDescent="0.3">
      <c r="A218" s="121" t="s">
        <v>18</v>
      </c>
      <c r="B218" s="26" t="s">
        <v>1455</v>
      </c>
      <c r="C218" s="121" t="s">
        <v>547</v>
      </c>
      <c r="D218" s="123" t="s">
        <v>46</v>
      </c>
      <c r="E218" s="123"/>
      <c r="F218" s="121" t="s">
        <v>295</v>
      </c>
      <c r="G218" s="120"/>
      <c r="H218" s="231" t="s">
        <v>30</v>
      </c>
      <c r="I218" s="153">
        <v>13775097</v>
      </c>
      <c r="J218" s="146">
        <v>2014</v>
      </c>
      <c r="K218" s="154">
        <v>43497</v>
      </c>
      <c r="L218" s="133">
        <v>43862</v>
      </c>
      <c r="M218" s="148"/>
      <c r="N218" s="149" t="s">
        <v>596</v>
      </c>
      <c r="O218" s="150"/>
      <c r="P218" s="57" t="s">
        <v>30</v>
      </c>
      <c r="Q218" s="57" t="s">
        <v>30</v>
      </c>
      <c r="R218" s="57" t="s">
        <v>30</v>
      </c>
      <c r="S218" s="34" t="s">
        <v>30</v>
      </c>
      <c r="T218" s="57" t="s">
        <v>30</v>
      </c>
      <c r="U218" s="57" t="s">
        <v>30</v>
      </c>
      <c r="V218" s="34" t="s">
        <v>30</v>
      </c>
      <c r="W218" s="137" t="str">
        <f t="shared" si="91"/>
        <v>NC</v>
      </c>
      <c r="X218" s="57" t="str">
        <f t="shared" si="106"/>
        <v>NC</v>
      </c>
      <c r="Y218" s="57" t="str">
        <f t="shared" si="93"/>
        <v>NC</v>
      </c>
      <c r="Z218" s="57" t="str">
        <f t="shared" si="94"/>
        <v>NC</v>
      </c>
      <c r="AA218" s="57" t="str">
        <f t="shared" si="95"/>
        <v>NC</v>
      </c>
      <c r="AB218" s="57" t="str">
        <f t="shared" si="96"/>
        <v>NC</v>
      </c>
      <c r="AC218" s="57" t="str">
        <f t="shared" si="97"/>
        <v>NC</v>
      </c>
      <c r="AD218" s="124"/>
      <c r="AE218" s="123" t="str">
        <f t="shared" si="98"/>
        <v>NC</v>
      </c>
      <c r="AF218" s="123" t="str">
        <f t="shared" si="99"/>
        <v>NC</v>
      </c>
      <c r="AG218" s="123" t="str">
        <f t="shared" si="100"/>
        <v>NC</v>
      </c>
      <c r="AH218" s="123" t="str">
        <f t="shared" si="101"/>
        <v>NC</v>
      </c>
      <c r="AI218" s="123" t="str">
        <f t="shared" si="102"/>
        <v>NC</v>
      </c>
      <c r="AJ218" s="123" t="str">
        <f t="shared" si="103"/>
        <v>NC</v>
      </c>
      <c r="AK218" s="123" t="str">
        <f t="shared" si="104"/>
        <v>NC</v>
      </c>
      <c r="AM218" s="151">
        <f t="shared" si="108"/>
        <v>4.4896648422996857E-3</v>
      </c>
      <c r="AN218" s="152"/>
      <c r="AO218" s="124"/>
      <c r="AP218" s="141" t="s">
        <v>643</v>
      </c>
      <c r="AQ218" s="141" t="s">
        <v>643</v>
      </c>
      <c r="AR218" s="160"/>
      <c r="AS218" s="175" t="s">
        <v>1291</v>
      </c>
      <c r="AT218" s="143" t="s">
        <v>1292</v>
      </c>
      <c r="AU218" s="143" t="s">
        <v>1293</v>
      </c>
    </row>
    <row r="219" spans="1:47" s="124" customFormat="1" ht="14.4" customHeight="1" x14ac:dyDescent="0.3">
      <c r="A219" s="116" t="s">
        <v>383</v>
      </c>
      <c r="B219" s="241" t="s">
        <v>1114</v>
      </c>
      <c r="C219" s="121" t="s">
        <v>1503</v>
      </c>
      <c r="D219" s="116" t="s">
        <v>46</v>
      </c>
      <c r="E219" s="116"/>
      <c r="F219" s="117" t="s">
        <v>423</v>
      </c>
      <c r="G219" s="120"/>
      <c r="H219" s="156">
        <v>43830</v>
      </c>
      <c r="I219" s="134">
        <v>178420304</v>
      </c>
      <c r="J219" s="120">
        <v>2009</v>
      </c>
      <c r="K219" s="154"/>
      <c r="L219" s="162" t="s">
        <v>1022</v>
      </c>
      <c r="M219" s="116"/>
      <c r="N219" s="149" t="s">
        <v>596</v>
      </c>
      <c r="O219" s="136"/>
      <c r="P219" s="57" t="s">
        <v>30</v>
      </c>
      <c r="Q219" s="57" t="s">
        <v>30</v>
      </c>
      <c r="R219" s="57">
        <v>43638</v>
      </c>
      <c r="S219" s="34" t="s">
        <v>30</v>
      </c>
      <c r="T219" s="57" t="s">
        <v>30</v>
      </c>
      <c r="U219" s="57" t="s">
        <v>30</v>
      </c>
      <c r="V219" s="34" t="s">
        <v>30</v>
      </c>
      <c r="W219" s="137" t="str">
        <f t="shared" si="91"/>
        <v>NC</v>
      </c>
      <c r="X219" s="57" t="str">
        <f t="shared" si="106"/>
        <v>NC</v>
      </c>
      <c r="Y219" s="57">
        <f t="shared" si="93"/>
        <v>44003</v>
      </c>
      <c r="Z219" s="57" t="str">
        <f t="shared" si="94"/>
        <v>NC</v>
      </c>
      <c r="AA219" s="57" t="str">
        <f t="shared" si="95"/>
        <v>NC</v>
      </c>
      <c r="AB219" s="57" t="str">
        <f t="shared" si="96"/>
        <v>NC</v>
      </c>
      <c r="AC219" s="57" t="str">
        <f t="shared" si="97"/>
        <v>NC</v>
      </c>
      <c r="AD219" s="138"/>
      <c r="AE219" s="123" t="str">
        <f t="shared" si="98"/>
        <v>NC</v>
      </c>
      <c r="AF219" s="123" t="str">
        <f t="shared" si="99"/>
        <v>NC</v>
      </c>
      <c r="AG219" s="123">
        <f t="shared" ca="1" si="100"/>
        <v>-1584</v>
      </c>
      <c r="AH219" s="123" t="str">
        <f t="shared" si="101"/>
        <v>NC</v>
      </c>
      <c r="AI219" s="123" t="str">
        <f t="shared" si="102"/>
        <v>NC</v>
      </c>
      <c r="AJ219" s="123" t="str">
        <f t="shared" si="103"/>
        <v>NC</v>
      </c>
      <c r="AK219" s="123" t="str">
        <f t="shared" si="104"/>
        <v>NC</v>
      </c>
      <c r="AL219" s="138"/>
      <c r="AM219" s="230">
        <f t="shared" si="108"/>
        <v>0.10952274106970131</v>
      </c>
      <c r="AN219" s="138"/>
      <c r="AO219" s="138"/>
      <c r="AP219" s="141" t="s">
        <v>643</v>
      </c>
      <c r="AQ219" s="141" t="s">
        <v>643</v>
      </c>
      <c r="AR219" s="138"/>
      <c r="AS219" s="142" t="s">
        <v>1294</v>
      </c>
      <c r="AT219" s="143" t="s">
        <v>1295</v>
      </c>
      <c r="AU219" s="143" t="s">
        <v>1296</v>
      </c>
    </row>
    <row r="220" spans="1:47" s="124" customFormat="1" ht="14.4" customHeight="1" x14ac:dyDescent="0.3">
      <c r="A220" s="121" t="s">
        <v>193</v>
      </c>
      <c r="B220" s="117" t="s">
        <v>1440</v>
      </c>
      <c r="C220" s="121" t="s">
        <v>548</v>
      </c>
      <c r="D220" s="123" t="s">
        <v>46</v>
      </c>
      <c r="E220" s="123"/>
      <c r="F220" s="121" t="s">
        <v>296</v>
      </c>
      <c r="G220" s="120"/>
      <c r="H220" s="231" t="s">
        <v>30</v>
      </c>
      <c r="I220" s="145">
        <v>98400000</v>
      </c>
      <c r="J220" s="146">
        <v>2014</v>
      </c>
      <c r="K220" s="154"/>
      <c r="L220" s="133" t="s">
        <v>1022</v>
      </c>
      <c r="M220" s="148"/>
      <c r="N220" s="149" t="s">
        <v>596</v>
      </c>
      <c r="O220" s="150"/>
      <c r="P220" s="242" t="s">
        <v>30</v>
      </c>
      <c r="Q220" s="242" t="s">
        <v>30</v>
      </c>
      <c r="R220" s="242" t="s">
        <v>30</v>
      </c>
      <c r="S220" s="243" t="s">
        <v>30</v>
      </c>
      <c r="T220" s="57" t="s">
        <v>30</v>
      </c>
      <c r="U220" s="57" t="s">
        <v>30</v>
      </c>
      <c r="V220" s="243" t="s">
        <v>30</v>
      </c>
      <c r="W220" s="137" t="str">
        <f t="shared" si="91"/>
        <v>NC</v>
      </c>
      <c r="X220" s="57" t="str">
        <f t="shared" si="106"/>
        <v>NC</v>
      </c>
      <c r="Y220" s="57" t="str">
        <f t="shared" si="93"/>
        <v>NC</v>
      </c>
      <c r="Z220" s="57" t="str">
        <f t="shared" si="94"/>
        <v>NC</v>
      </c>
      <c r="AA220" s="57" t="str">
        <f t="shared" si="95"/>
        <v>NC</v>
      </c>
      <c r="AB220" s="57" t="str">
        <f t="shared" si="96"/>
        <v>NC</v>
      </c>
      <c r="AC220" s="57" t="str">
        <f t="shared" si="97"/>
        <v>NC</v>
      </c>
      <c r="AE220" s="123" t="str">
        <f t="shared" si="98"/>
        <v>NC</v>
      </c>
      <c r="AF220" s="123" t="str">
        <f t="shared" si="99"/>
        <v>NC</v>
      </c>
      <c r="AG220" s="123" t="str">
        <f t="shared" si="100"/>
        <v>NC</v>
      </c>
      <c r="AH220" s="123" t="str">
        <f t="shared" si="101"/>
        <v>NC</v>
      </c>
      <c r="AI220" s="123" t="str">
        <f t="shared" si="102"/>
        <v>NC</v>
      </c>
      <c r="AJ220" s="123" t="str">
        <f t="shared" si="103"/>
        <v>NC</v>
      </c>
      <c r="AK220" s="123" t="str">
        <f t="shared" si="104"/>
        <v>NC</v>
      </c>
      <c r="AM220" s="151">
        <f t="shared" si="108"/>
        <v>3.2071136811761769E-2</v>
      </c>
      <c r="AN220" s="152"/>
      <c r="AP220" s="141" t="s">
        <v>643</v>
      </c>
      <c r="AQ220" s="141" t="s">
        <v>643</v>
      </c>
      <c r="AS220" s="143" t="s">
        <v>1297</v>
      </c>
      <c r="AT220" s="143" t="s">
        <v>1298</v>
      </c>
      <c r="AU220" s="143" t="s">
        <v>1441</v>
      </c>
    </row>
    <row r="221" spans="1:47" s="138" customFormat="1" ht="14.4" customHeight="1" x14ac:dyDescent="0.3">
      <c r="A221" s="117" t="s">
        <v>146</v>
      </c>
      <c r="B221" s="117" t="s">
        <v>1115</v>
      </c>
      <c r="C221" s="121" t="s">
        <v>549</v>
      </c>
      <c r="D221" s="116" t="s">
        <v>46</v>
      </c>
      <c r="E221" s="116"/>
      <c r="F221" s="117" t="s">
        <v>348</v>
      </c>
      <c r="G221" s="120"/>
      <c r="H221" s="156">
        <v>43830</v>
      </c>
      <c r="I221" s="134">
        <v>178420304</v>
      </c>
      <c r="J221" s="131">
        <v>2018</v>
      </c>
      <c r="K221" s="154">
        <v>45231</v>
      </c>
      <c r="L221" s="133">
        <v>43952</v>
      </c>
      <c r="M221" s="134"/>
      <c r="N221" s="149" t="s">
        <v>596</v>
      </c>
      <c r="O221" s="136"/>
      <c r="P221" s="57" t="s">
        <v>30</v>
      </c>
      <c r="Q221" s="57" t="s">
        <v>30</v>
      </c>
      <c r="R221" s="57">
        <v>43704</v>
      </c>
      <c r="S221" s="34" t="s">
        <v>30</v>
      </c>
      <c r="T221" s="57" t="s">
        <v>30</v>
      </c>
      <c r="U221" s="57" t="s">
        <v>30</v>
      </c>
      <c r="V221" s="34" t="s">
        <v>30</v>
      </c>
      <c r="W221" s="137" t="str">
        <f t="shared" si="91"/>
        <v>NC</v>
      </c>
      <c r="X221" s="57" t="str">
        <f t="shared" si="106"/>
        <v>NC</v>
      </c>
      <c r="Y221" s="57">
        <f t="shared" si="93"/>
        <v>44069</v>
      </c>
      <c r="Z221" s="57" t="str">
        <f t="shared" si="94"/>
        <v>NC</v>
      </c>
      <c r="AA221" s="57" t="str">
        <f t="shared" si="95"/>
        <v>NC</v>
      </c>
      <c r="AB221" s="57" t="str">
        <f t="shared" si="96"/>
        <v>NC</v>
      </c>
      <c r="AC221" s="57" t="str">
        <f t="shared" si="97"/>
        <v>NC</v>
      </c>
      <c r="AD221" s="124"/>
      <c r="AE221" s="123" t="str">
        <f t="shared" si="98"/>
        <v>NC</v>
      </c>
      <c r="AF221" s="123" t="str">
        <f t="shared" si="99"/>
        <v>NC</v>
      </c>
      <c r="AG221" s="123">
        <f t="shared" ca="1" si="100"/>
        <v>-1518</v>
      </c>
      <c r="AH221" s="123" t="str">
        <f t="shared" si="101"/>
        <v>NC</v>
      </c>
      <c r="AI221" s="123" t="str">
        <f t="shared" si="102"/>
        <v>NC</v>
      </c>
      <c r="AJ221" s="123" t="str">
        <f t="shared" si="103"/>
        <v>NC</v>
      </c>
      <c r="AK221" s="123" t="str">
        <f t="shared" si="104"/>
        <v>NC</v>
      </c>
      <c r="AM221" s="151">
        <f t="shared" si="108"/>
        <v>1.7055136038997346E-2</v>
      </c>
      <c r="AN221" s="140"/>
      <c r="AO221" s="124"/>
      <c r="AP221" s="141" t="s">
        <v>643</v>
      </c>
      <c r="AQ221" s="141" t="s">
        <v>643</v>
      </c>
      <c r="AR221" s="124"/>
      <c r="AS221" s="143" t="s">
        <v>1294</v>
      </c>
      <c r="AT221" s="143" t="s">
        <v>1295</v>
      </c>
      <c r="AU221" s="143" t="s">
        <v>1299</v>
      </c>
    </row>
    <row r="222" spans="1:47" s="138" customFormat="1" ht="14.4" customHeight="1" x14ac:dyDescent="0.3">
      <c r="A222" s="116" t="s">
        <v>476</v>
      </c>
      <c r="B222" s="116" t="s">
        <v>1116</v>
      </c>
      <c r="C222" s="117" t="s">
        <v>549</v>
      </c>
      <c r="D222" s="116" t="s">
        <v>46</v>
      </c>
      <c r="E222" s="116"/>
      <c r="F222" s="117" t="s">
        <v>687</v>
      </c>
      <c r="G222" s="120"/>
      <c r="H222" s="120" t="s">
        <v>30</v>
      </c>
      <c r="I222" s="134">
        <f>(1400000+36100)*655.957</f>
        <v>942019847.70000005</v>
      </c>
      <c r="J222" s="120">
        <v>2019</v>
      </c>
      <c r="K222" s="132"/>
      <c r="L222" s="158">
        <v>43952</v>
      </c>
      <c r="M222" s="116"/>
      <c r="N222" s="135" t="s">
        <v>596</v>
      </c>
      <c r="O222" s="116"/>
      <c r="P222" s="57" t="s">
        <v>30</v>
      </c>
      <c r="Q222" s="57" t="s">
        <v>30</v>
      </c>
      <c r="R222" s="57" t="s">
        <v>30</v>
      </c>
      <c r="S222" s="34">
        <v>43466</v>
      </c>
      <c r="T222" s="57" t="s">
        <v>30</v>
      </c>
      <c r="U222" s="57" t="s">
        <v>30</v>
      </c>
      <c r="V222" s="34" t="s">
        <v>30</v>
      </c>
      <c r="W222" s="137" t="str">
        <f t="shared" ref="W222:W253" si="109">IF(P222="NC","NC",IF(P222="","erreur",P222+365))</f>
        <v>NC</v>
      </c>
      <c r="X222" s="57" t="str">
        <f t="shared" si="106"/>
        <v>NC</v>
      </c>
      <c r="Y222" s="57" t="str">
        <f t="shared" ref="Y222:Y253" si="110">IF(R222="NC","NC",IF(R222="","erreur",R222+365))</f>
        <v>NC</v>
      </c>
      <c r="Z222" s="57">
        <f t="shared" ref="Z222:Z253" si="111">IF(S222="NC","NC",IF(S222="","erreur",S222+3650))</f>
        <v>47116</v>
      </c>
      <c r="AA222" s="57" t="str">
        <f t="shared" ref="AA222:AA253" si="112">IF(T222="NC","NC",IF(T222="","erreur",T222+365))</f>
        <v>NC</v>
      </c>
      <c r="AB222" s="57" t="str">
        <f t="shared" ref="AB222:AB253" si="113">IF(U222="NC","NC",IF(U222="","erreur",U222+365))</f>
        <v>NC</v>
      </c>
      <c r="AC222" s="57" t="str">
        <f t="shared" ref="AC222:AC253" si="114">IF(V222="NC","NC",IF(V222="","erreur",V222+730))</f>
        <v>NC</v>
      </c>
      <c r="AE222" s="123" t="str">
        <f t="shared" ref="AE222:AE253" si="115">IF(W222="NC","NC",IF(W222="erreur","erreur",W222-$F$3))</f>
        <v>NC</v>
      </c>
      <c r="AF222" s="123" t="str">
        <f t="shared" ref="AF222:AF253" si="116">IF(X222="NC","NC",IF(X222="erreur","erreur",X222-$F$3))</f>
        <v>NC</v>
      </c>
      <c r="AG222" s="123" t="str">
        <f t="shared" ref="AG222:AG253" si="117">IF(Y222="NC","NC",IF(Y222="erreur","erreur",Y222-$F$3))</f>
        <v>NC</v>
      </c>
      <c r="AH222" s="123">
        <f t="shared" ref="AH222:AH253" ca="1" si="118">IF(Z222="NC","NC",IF(Z222="erreur","erreur",Z222-$F$3))</f>
        <v>1529</v>
      </c>
      <c r="AI222" s="123" t="str">
        <f t="shared" ref="AI222:AI253" si="119">IF(AA222="NC","NC",IF(AA222="erreur","erreur",AA222-$F$3))</f>
        <v>NC</v>
      </c>
      <c r="AJ222" s="123" t="str">
        <f t="shared" ref="AJ222:AJ253" si="120">IF(AB222="NC","NC",IF(AB222="erreur","erreur",AB222-$F$3))</f>
        <v>NC</v>
      </c>
      <c r="AK222" s="123" t="str">
        <f t="shared" ref="AK222:AK253" si="121">IF(AC222="NC","NC",IF(AC222="erreur","erreur",AC222-$F$3))</f>
        <v>NC</v>
      </c>
      <c r="AM222" s="151">
        <f t="shared" si="108"/>
        <v>3.5801960868399867E-2</v>
      </c>
      <c r="AP222" s="141" t="s">
        <v>643</v>
      </c>
      <c r="AQ222" s="141" t="s">
        <v>643</v>
      </c>
      <c r="AS222" s="142" t="s">
        <v>1300</v>
      </c>
      <c r="AT222" s="143"/>
      <c r="AU222" s="143" t="s">
        <v>1301</v>
      </c>
    </row>
    <row r="223" spans="1:47" s="124" customFormat="1" ht="14.4" customHeight="1" x14ac:dyDescent="0.3">
      <c r="A223" s="121" t="s">
        <v>103</v>
      </c>
      <c r="B223" s="117" t="s">
        <v>1117</v>
      </c>
      <c r="C223" s="121" t="s">
        <v>550</v>
      </c>
      <c r="D223" s="123" t="s">
        <v>49</v>
      </c>
      <c r="E223" s="123"/>
      <c r="F223" s="121" t="s">
        <v>299</v>
      </c>
      <c r="G223" s="120"/>
      <c r="H223" s="120" t="s">
        <v>30</v>
      </c>
      <c r="I223" s="145">
        <v>9970546</v>
      </c>
      <c r="J223" s="146">
        <v>2016</v>
      </c>
      <c r="K223" s="154"/>
      <c r="L223" s="133">
        <v>43891</v>
      </c>
      <c r="M223" s="148"/>
      <c r="N223" s="149" t="s">
        <v>596</v>
      </c>
      <c r="O223" s="150"/>
      <c r="P223" s="57" t="s">
        <v>30</v>
      </c>
      <c r="Q223" s="57" t="s">
        <v>30</v>
      </c>
      <c r="R223" s="116" t="s">
        <v>30</v>
      </c>
      <c r="S223" s="118" t="s">
        <v>30</v>
      </c>
      <c r="T223" s="57" t="s">
        <v>30</v>
      </c>
      <c r="U223" s="57" t="s">
        <v>30</v>
      </c>
      <c r="V223" s="34" t="s">
        <v>30</v>
      </c>
      <c r="W223" s="137" t="str">
        <f t="shared" si="109"/>
        <v>NC</v>
      </c>
      <c r="X223" s="57" t="str">
        <f t="shared" si="106"/>
        <v>NC</v>
      </c>
      <c r="Y223" s="57" t="str">
        <f t="shared" si="110"/>
        <v>NC</v>
      </c>
      <c r="Z223" s="57" t="str">
        <f t="shared" si="111"/>
        <v>NC</v>
      </c>
      <c r="AA223" s="57" t="str">
        <f t="shared" si="112"/>
        <v>NC</v>
      </c>
      <c r="AB223" s="57" t="str">
        <f t="shared" si="113"/>
        <v>NC</v>
      </c>
      <c r="AC223" s="57" t="str">
        <f t="shared" si="114"/>
        <v>NC</v>
      </c>
      <c r="AE223" s="123" t="str">
        <f t="shared" si="115"/>
        <v>NC</v>
      </c>
      <c r="AF223" s="123" t="str">
        <f t="shared" si="116"/>
        <v>NC</v>
      </c>
      <c r="AG223" s="123" t="str">
        <f t="shared" si="117"/>
        <v>NC</v>
      </c>
      <c r="AH223" s="123" t="str">
        <f t="shared" si="118"/>
        <v>NC</v>
      </c>
      <c r="AI223" s="123" t="str">
        <f t="shared" si="119"/>
        <v>NC</v>
      </c>
      <c r="AJ223" s="123" t="str">
        <f t="shared" si="120"/>
        <v>NC</v>
      </c>
      <c r="AK223" s="123" t="str">
        <f t="shared" si="121"/>
        <v>NC</v>
      </c>
      <c r="AL223" s="138"/>
      <c r="AM223" s="151">
        <f t="shared" si="108"/>
        <v>2.1013715672769931E-3</v>
      </c>
      <c r="AN223" s="152"/>
      <c r="AP223" s="141" t="s">
        <v>643</v>
      </c>
      <c r="AQ223" s="141" t="s">
        <v>643</v>
      </c>
      <c r="AS223" s="143" t="s">
        <v>1302</v>
      </c>
      <c r="AT223" s="143" t="s">
        <v>1303</v>
      </c>
      <c r="AU223" s="143" t="s">
        <v>1304</v>
      </c>
    </row>
    <row r="224" spans="1:47" s="124" customFormat="1" ht="14.4" customHeight="1" x14ac:dyDescent="0.3">
      <c r="A224" s="121" t="s">
        <v>104</v>
      </c>
      <c r="B224" s="117" t="s">
        <v>1117</v>
      </c>
      <c r="C224" s="121" t="s">
        <v>550</v>
      </c>
      <c r="D224" s="123" t="s">
        <v>49</v>
      </c>
      <c r="E224" s="123"/>
      <c r="F224" s="121" t="s">
        <v>300</v>
      </c>
      <c r="G224" s="120"/>
      <c r="H224" s="120" t="s">
        <v>30</v>
      </c>
      <c r="I224" s="145">
        <v>9970546</v>
      </c>
      <c r="J224" s="146">
        <v>2016</v>
      </c>
      <c r="K224" s="154"/>
      <c r="L224" s="133">
        <v>43891</v>
      </c>
      <c r="M224" s="148"/>
      <c r="N224" s="149" t="s">
        <v>596</v>
      </c>
      <c r="O224" s="150"/>
      <c r="P224" s="57" t="s">
        <v>30</v>
      </c>
      <c r="Q224" s="57" t="s">
        <v>30</v>
      </c>
      <c r="R224" s="116" t="s">
        <v>30</v>
      </c>
      <c r="S224" s="118" t="s">
        <v>30</v>
      </c>
      <c r="T224" s="57" t="s">
        <v>30</v>
      </c>
      <c r="U224" s="57" t="s">
        <v>30</v>
      </c>
      <c r="V224" s="34" t="s">
        <v>30</v>
      </c>
      <c r="W224" s="137" t="str">
        <f t="shared" si="109"/>
        <v>NC</v>
      </c>
      <c r="X224" s="57" t="str">
        <f t="shared" si="106"/>
        <v>NC</v>
      </c>
      <c r="Y224" s="57" t="str">
        <f t="shared" si="110"/>
        <v>NC</v>
      </c>
      <c r="Z224" s="57" t="str">
        <f t="shared" si="111"/>
        <v>NC</v>
      </c>
      <c r="AA224" s="57" t="str">
        <f t="shared" si="112"/>
        <v>NC</v>
      </c>
      <c r="AB224" s="57" t="str">
        <f t="shared" si="113"/>
        <v>NC</v>
      </c>
      <c r="AC224" s="57" t="str">
        <f t="shared" si="114"/>
        <v>NC</v>
      </c>
      <c r="AE224" s="123" t="str">
        <f t="shared" si="115"/>
        <v>NC</v>
      </c>
      <c r="AF224" s="123" t="str">
        <f t="shared" si="116"/>
        <v>NC</v>
      </c>
      <c r="AG224" s="123" t="str">
        <f t="shared" si="117"/>
        <v>NC</v>
      </c>
      <c r="AH224" s="123" t="str">
        <f t="shared" si="118"/>
        <v>NC</v>
      </c>
      <c r="AI224" s="123" t="str">
        <f t="shared" si="119"/>
        <v>NC</v>
      </c>
      <c r="AJ224" s="123" t="str">
        <f t="shared" si="120"/>
        <v>NC</v>
      </c>
      <c r="AK224" s="123" t="str">
        <f t="shared" si="121"/>
        <v>NC</v>
      </c>
      <c r="AL224" s="138"/>
      <c r="AM224" s="151">
        <f t="shared" si="108"/>
        <v>2.1013715672769931E-3</v>
      </c>
      <c r="AN224" s="152"/>
      <c r="AP224" s="141" t="s">
        <v>643</v>
      </c>
      <c r="AQ224" s="141" t="s">
        <v>643</v>
      </c>
      <c r="AS224" s="143" t="s">
        <v>1302</v>
      </c>
      <c r="AT224" s="143" t="s">
        <v>1303</v>
      </c>
      <c r="AU224" s="143" t="s">
        <v>1304</v>
      </c>
    </row>
    <row r="225" spans="1:47" s="124" customFormat="1" ht="14.4" customHeight="1" x14ac:dyDescent="0.3">
      <c r="A225" s="125" t="s">
        <v>19</v>
      </c>
      <c r="B225" s="117" t="s">
        <v>1118</v>
      </c>
      <c r="C225" s="121" t="s">
        <v>550</v>
      </c>
      <c r="D225" s="123" t="s">
        <v>46</v>
      </c>
      <c r="E225" s="123"/>
      <c r="F225" s="121" t="s">
        <v>301</v>
      </c>
      <c r="G225" s="120"/>
      <c r="H225" s="120" t="s">
        <v>30</v>
      </c>
      <c r="I225" s="153">
        <v>19350732</v>
      </c>
      <c r="J225" s="146">
        <v>2016</v>
      </c>
      <c r="K225" s="154">
        <v>44317</v>
      </c>
      <c r="L225" s="133">
        <v>43952</v>
      </c>
      <c r="M225" s="148"/>
      <c r="N225" s="149" t="s">
        <v>596</v>
      </c>
      <c r="O225" s="150">
        <v>1268</v>
      </c>
      <c r="P225" s="57" t="s">
        <v>30</v>
      </c>
      <c r="Q225" s="57" t="s">
        <v>30</v>
      </c>
      <c r="R225" s="57">
        <v>43794</v>
      </c>
      <c r="S225" s="34" t="s">
        <v>30</v>
      </c>
      <c r="T225" s="57" t="s">
        <v>30</v>
      </c>
      <c r="U225" s="57" t="s">
        <v>30</v>
      </c>
      <c r="V225" s="34" t="s">
        <v>30</v>
      </c>
      <c r="W225" s="137" t="str">
        <f t="shared" si="109"/>
        <v>NC</v>
      </c>
      <c r="X225" s="57" t="str">
        <f t="shared" si="106"/>
        <v>NC</v>
      </c>
      <c r="Y225" s="57">
        <f t="shared" si="110"/>
        <v>44159</v>
      </c>
      <c r="Z225" s="57" t="str">
        <f t="shared" si="111"/>
        <v>NC</v>
      </c>
      <c r="AA225" s="57" t="str">
        <f t="shared" si="112"/>
        <v>NC</v>
      </c>
      <c r="AB225" s="57" t="str">
        <f t="shared" si="113"/>
        <v>NC</v>
      </c>
      <c r="AC225" s="57" t="str">
        <f t="shared" si="114"/>
        <v>NC</v>
      </c>
      <c r="AE225" s="123" t="str">
        <f t="shared" si="115"/>
        <v>NC</v>
      </c>
      <c r="AF225" s="123" t="str">
        <f t="shared" si="116"/>
        <v>NC</v>
      </c>
      <c r="AG225" s="123">
        <f t="shared" ca="1" si="117"/>
        <v>-1428</v>
      </c>
      <c r="AH225" s="123" t="str">
        <f t="shared" si="118"/>
        <v>NC</v>
      </c>
      <c r="AI225" s="123" t="str">
        <f t="shared" si="119"/>
        <v>NC</v>
      </c>
      <c r="AJ225" s="123" t="str">
        <f t="shared" si="120"/>
        <v>NC</v>
      </c>
      <c r="AK225" s="123" t="str">
        <f t="shared" si="121"/>
        <v>NC</v>
      </c>
      <c r="AL225" s="138"/>
      <c r="AM225" s="151">
        <f t="shared" si="108"/>
        <v>4.0783200870641448E-3</v>
      </c>
      <c r="AN225" s="152"/>
      <c r="AP225" s="141" t="s">
        <v>643</v>
      </c>
      <c r="AQ225" s="141" t="s">
        <v>643</v>
      </c>
      <c r="AS225" s="143" t="s">
        <v>1302</v>
      </c>
      <c r="AT225" s="143" t="s">
        <v>1305</v>
      </c>
      <c r="AU225" s="143" t="s">
        <v>1306</v>
      </c>
    </row>
    <row r="226" spans="1:47" s="138" customFormat="1" ht="14.4" customHeight="1" x14ac:dyDescent="0.3">
      <c r="A226" s="116" t="s">
        <v>384</v>
      </c>
      <c r="B226" s="116" t="s">
        <v>1119</v>
      </c>
      <c r="C226" s="121" t="s">
        <v>550</v>
      </c>
      <c r="D226" s="116" t="s">
        <v>46</v>
      </c>
      <c r="E226" s="116"/>
      <c r="F226" s="117" t="s">
        <v>420</v>
      </c>
      <c r="G226" s="120"/>
      <c r="H226" s="120" t="s">
        <v>30</v>
      </c>
      <c r="I226" s="153">
        <v>19700000</v>
      </c>
      <c r="J226" s="146">
        <v>2016</v>
      </c>
      <c r="K226" s="154"/>
      <c r="L226" s="162">
        <v>43952</v>
      </c>
      <c r="M226" s="116"/>
      <c r="N226" s="149" t="s">
        <v>596</v>
      </c>
      <c r="O226" s="136">
        <v>1278</v>
      </c>
      <c r="P226" s="57" t="s">
        <v>30</v>
      </c>
      <c r="Q226" s="57" t="s">
        <v>30</v>
      </c>
      <c r="R226" s="57">
        <v>43724</v>
      </c>
      <c r="S226" s="34" t="s">
        <v>30</v>
      </c>
      <c r="T226" s="57" t="s">
        <v>30</v>
      </c>
      <c r="U226" s="57" t="s">
        <v>30</v>
      </c>
      <c r="V226" s="34" t="s">
        <v>30</v>
      </c>
      <c r="W226" s="137" t="str">
        <f t="shared" si="109"/>
        <v>NC</v>
      </c>
      <c r="X226" s="57" t="str">
        <f t="shared" si="106"/>
        <v>NC</v>
      </c>
      <c r="Y226" s="57">
        <f t="shared" si="110"/>
        <v>44089</v>
      </c>
      <c r="Z226" s="57" t="str">
        <f t="shared" si="111"/>
        <v>NC</v>
      </c>
      <c r="AA226" s="57" t="str">
        <f t="shared" si="112"/>
        <v>NC</v>
      </c>
      <c r="AB226" s="57" t="str">
        <f t="shared" si="113"/>
        <v>NC</v>
      </c>
      <c r="AC226" s="57" t="str">
        <f t="shared" si="114"/>
        <v>NC</v>
      </c>
      <c r="AE226" s="123" t="str">
        <f t="shared" si="115"/>
        <v>NC</v>
      </c>
      <c r="AF226" s="123" t="str">
        <f t="shared" si="116"/>
        <v>NC</v>
      </c>
      <c r="AG226" s="123">
        <f t="shared" ca="1" si="117"/>
        <v>-1498</v>
      </c>
      <c r="AH226" s="123" t="str">
        <f t="shared" si="118"/>
        <v>NC</v>
      </c>
      <c r="AI226" s="123" t="str">
        <f t="shared" si="119"/>
        <v>NC</v>
      </c>
      <c r="AJ226" s="123" t="str">
        <f t="shared" si="120"/>
        <v>NC</v>
      </c>
      <c r="AK226" s="123" t="str">
        <f t="shared" si="121"/>
        <v>NC</v>
      </c>
      <c r="AM226" s="151">
        <f t="shared" si="108"/>
        <v>4.1519310853544789E-3</v>
      </c>
      <c r="AP226" s="141" t="s">
        <v>643</v>
      </c>
      <c r="AQ226" s="141" t="s">
        <v>643</v>
      </c>
      <c r="AS226" s="142" t="s">
        <v>1169</v>
      </c>
      <c r="AT226" s="143" t="s">
        <v>1305</v>
      </c>
      <c r="AU226" s="143" t="s">
        <v>1307</v>
      </c>
    </row>
    <row r="227" spans="1:47" s="124" customFormat="1" ht="14.4" customHeight="1" x14ac:dyDescent="0.3">
      <c r="A227" s="116" t="s">
        <v>385</v>
      </c>
      <c r="B227" s="116" t="s">
        <v>1119</v>
      </c>
      <c r="C227" s="117" t="s">
        <v>550</v>
      </c>
      <c r="D227" s="123" t="s">
        <v>145</v>
      </c>
      <c r="E227" s="116"/>
      <c r="F227" s="117" t="s">
        <v>656</v>
      </c>
      <c r="G227" s="120"/>
      <c r="H227" s="120" t="s">
        <v>30</v>
      </c>
      <c r="I227" s="153">
        <v>19700000</v>
      </c>
      <c r="J227" s="120">
        <v>2016</v>
      </c>
      <c r="K227" s="132"/>
      <c r="L227" s="158">
        <v>43952</v>
      </c>
      <c r="M227" s="116"/>
      <c r="N227" s="135" t="s">
        <v>596</v>
      </c>
      <c r="O227" s="116"/>
      <c r="P227" s="57" t="s">
        <v>30</v>
      </c>
      <c r="Q227" s="57" t="s">
        <v>30</v>
      </c>
      <c r="R227" s="57">
        <v>43757</v>
      </c>
      <c r="S227" s="34" t="s">
        <v>30</v>
      </c>
      <c r="T227" s="57" t="s">
        <v>30</v>
      </c>
      <c r="U227" s="57" t="s">
        <v>30</v>
      </c>
      <c r="V227" s="34" t="s">
        <v>30</v>
      </c>
      <c r="W227" s="137" t="str">
        <f t="shared" si="109"/>
        <v>NC</v>
      </c>
      <c r="X227" s="57" t="str">
        <f t="shared" si="106"/>
        <v>NC</v>
      </c>
      <c r="Y227" s="57">
        <f t="shared" si="110"/>
        <v>44122</v>
      </c>
      <c r="Z227" s="57" t="str">
        <f t="shared" si="111"/>
        <v>NC</v>
      </c>
      <c r="AA227" s="57" t="str">
        <f t="shared" si="112"/>
        <v>NC</v>
      </c>
      <c r="AB227" s="57" t="str">
        <f t="shared" si="113"/>
        <v>NC</v>
      </c>
      <c r="AC227" s="57" t="str">
        <f t="shared" si="114"/>
        <v>NC</v>
      </c>
      <c r="AD227" s="138"/>
      <c r="AE227" s="123" t="str">
        <f t="shared" si="115"/>
        <v>NC</v>
      </c>
      <c r="AF227" s="123" t="str">
        <f t="shared" si="116"/>
        <v>NC</v>
      </c>
      <c r="AG227" s="123">
        <f t="shared" ca="1" si="117"/>
        <v>-1465</v>
      </c>
      <c r="AH227" s="123" t="str">
        <f t="shared" si="118"/>
        <v>NC</v>
      </c>
      <c r="AI227" s="123" t="str">
        <f t="shared" si="119"/>
        <v>NC</v>
      </c>
      <c r="AJ227" s="123" t="str">
        <f t="shared" si="120"/>
        <v>NC</v>
      </c>
      <c r="AK227" s="123" t="str">
        <f t="shared" si="121"/>
        <v>NC</v>
      </c>
      <c r="AL227" s="138"/>
      <c r="AM227" s="151">
        <f t="shared" si="108"/>
        <v>4.1519310853544789E-3</v>
      </c>
      <c r="AN227" s="138"/>
      <c r="AO227" s="138"/>
      <c r="AP227" s="141" t="s">
        <v>643</v>
      </c>
      <c r="AQ227" s="141" t="s">
        <v>643</v>
      </c>
      <c r="AR227" s="138"/>
      <c r="AS227" s="142" t="s">
        <v>1169</v>
      </c>
      <c r="AT227" s="143" t="s">
        <v>1305</v>
      </c>
      <c r="AU227" s="143" t="s">
        <v>1307</v>
      </c>
    </row>
    <row r="228" spans="1:47" s="124" customFormat="1" ht="14.4" customHeight="1" x14ac:dyDescent="0.3">
      <c r="A228" s="121" t="s">
        <v>105</v>
      </c>
      <c r="B228" s="117" t="s">
        <v>1120</v>
      </c>
      <c r="C228" s="121" t="s">
        <v>550</v>
      </c>
      <c r="D228" s="123" t="s">
        <v>357</v>
      </c>
      <c r="E228" s="123"/>
      <c r="F228" s="121" t="s">
        <v>297</v>
      </c>
      <c r="G228" s="120"/>
      <c r="H228" s="120" t="s">
        <v>30</v>
      </c>
      <c r="I228" s="145">
        <v>2850000</v>
      </c>
      <c r="J228" s="146">
        <v>2015</v>
      </c>
      <c r="K228" s="154"/>
      <c r="L228" s="133">
        <v>43922</v>
      </c>
      <c r="M228" s="148"/>
      <c r="N228" s="149" t="s">
        <v>596</v>
      </c>
      <c r="O228" s="150"/>
      <c r="P228" s="57" t="s">
        <v>30</v>
      </c>
      <c r="Q228" s="57" t="s">
        <v>30</v>
      </c>
      <c r="R228" s="116" t="s">
        <v>30</v>
      </c>
      <c r="S228" s="118" t="s">
        <v>30</v>
      </c>
      <c r="T228" s="57" t="s">
        <v>30</v>
      </c>
      <c r="U228" s="57" t="s">
        <v>30</v>
      </c>
      <c r="V228" s="34" t="s">
        <v>30</v>
      </c>
      <c r="W228" s="137" t="str">
        <f t="shared" si="109"/>
        <v>NC</v>
      </c>
      <c r="X228" s="57" t="str">
        <f t="shared" si="106"/>
        <v>NC</v>
      </c>
      <c r="Y228" s="57" t="str">
        <f t="shared" si="110"/>
        <v>NC</v>
      </c>
      <c r="Z228" s="57" t="str">
        <f t="shared" si="111"/>
        <v>NC</v>
      </c>
      <c r="AA228" s="57" t="str">
        <f t="shared" si="112"/>
        <v>NC</v>
      </c>
      <c r="AB228" s="57" t="str">
        <f t="shared" si="113"/>
        <v>NC</v>
      </c>
      <c r="AC228" s="57" t="str">
        <f t="shared" si="114"/>
        <v>NC</v>
      </c>
      <c r="AE228" s="123" t="str">
        <f t="shared" si="115"/>
        <v>NC</v>
      </c>
      <c r="AF228" s="123" t="str">
        <f t="shared" si="116"/>
        <v>NC</v>
      </c>
      <c r="AG228" s="123" t="str">
        <f t="shared" si="117"/>
        <v>NC</v>
      </c>
      <c r="AH228" s="123" t="str">
        <f t="shared" si="118"/>
        <v>NC</v>
      </c>
      <c r="AI228" s="123" t="str">
        <f t="shared" si="119"/>
        <v>NC</v>
      </c>
      <c r="AJ228" s="123" t="str">
        <f t="shared" si="120"/>
        <v>NC</v>
      </c>
      <c r="AK228" s="123" t="str">
        <f t="shared" si="121"/>
        <v>NC</v>
      </c>
      <c r="AL228" s="138"/>
      <c r="AM228" s="151">
        <f t="shared" si="108"/>
        <v>7.6477485707182288E-4</v>
      </c>
      <c r="AN228" s="152"/>
      <c r="AP228" s="141" t="s">
        <v>643</v>
      </c>
      <c r="AQ228" s="141" t="s">
        <v>643</v>
      </c>
      <c r="AS228" s="143" t="s">
        <v>1302</v>
      </c>
      <c r="AT228" s="143" t="s">
        <v>947</v>
      </c>
      <c r="AU228" s="143" t="s">
        <v>948</v>
      </c>
    </row>
    <row r="229" spans="1:47" s="124" customFormat="1" ht="14.4" customHeight="1" x14ac:dyDescent="0.3">
      <c r="A229" s="121" t="s">
        <v>106</v>
      </c>
      <c r="B229" s="117" t="s">
        <v>1120</v>
      </c>
      <c r="C229" s="121" t="s">
        <v>550</v>
      </c>
      <c r="D229" s="123" t="s">
        <v>357</v>
      </c>
      <c r="E229" s="123"/>
      <c r="F229" s="121" t="s">
        <v>298</v>
      </c>
      <c r="G229" s="120"/>
      <c r="H229" s="120" t="s">
        <v>30</v>
      </c>
      <c r="I229" s="145">
        <v>2850000</v>
      </c>
      <c r="J229" s="146">
        <v>2015</v>
      </c>
      <c r="K229" s="154"/>
      <c r="L229" s="133">
        <v>43922</v>
      </c>
      <c r="M229" s="148"/>
      <c r="N229" s="149" t="s">
        <v>596</v>
      </c>
      <c r="O229" s="150"/>
      <c r="P229" s="57" t="s">
        <v>30</v>
      </c>
      <c r="Q229" s="57" t="s">
        <v>30</v>
      </c>
      <c r="R229" s="116" t="s">
        <v>30</v>
      </c>
      <c r="S229" s="118" t="s">
        <v>30</v>
      </c>
      <c r="T229" s="57" t="s">
        <v>30</v>
      </c>
      <c r="U229" s="57" t="s">
        <v>30</v>
      </c>
      <c r="V229" s="34" t="s">
        <v>30</v>
      </c>
      <c r="W229" s="137" t="str">
        <f t="shared" si="109"/>
        <v>NC</v>
      </c>
      <c r="X229" s="57" t="str">
        <f t="shared" si="106"/>
        <v>NC</v>
      </c>
      <c r="Y229" s="57" t="str">
        <f t="shared" si="110"/>
        <v>NC</v>
      </c>
      <c r="Z229" s="57" t="str">
        <f t="shared" si="111"/>
        <v>NC</v>
      </c>
      <c r="AA229" s="57" t="str">
        <f t="shared" si="112"/>
        <v>NC</v>
      </c>
      <c r="AB229" s="57" t="str">
        <f t="shared" si="113"/>
        <v>NC</v>
      </c>
      <c r="AC229" s="57" t="str">
        <f t="shared" si="114"/>
        <v>NC</v>
      </c>
      <c r="AE229" s="123" t="str">
        <f t="shared" si="115"/>
        <v>NC</v>
      </c>
      <c r="AF229" s="123" t="str">
        <f t="shared" si="116"/>
        <v>NC</v>
      </c>
      <c r="AG229" s="123" t="str">
        <f t="shared" si="117"/>
        <v>NC</v>
      </c>
      <c r="AH229" s="123" t="str">
        <f t="shared" si="118"/>
        <v>NC</v>
      </c>
      <c r="AI229" s="123" t="str">
        <f t="shared" si="119"/>
        <v>NC</v>
      </c>
      <c r="AJ229" s="123" t="str">
        <f t="shared" si="120"/>
        <v>NC</v>
      </c>
      <c r="AK229" s="123" t="str">
        <f t="shared" si="121"/>
        <v>NC</v>
      </c>
      <c r="AL229" s="138"/>
      <c r="AM229" s="151">
        <f t="shared" si="108"/>
        <v>7.6477485707182288E-4</v>
      </c>
      <c r="AN229" s="152"/>
      <c r="AP229" s="141" t="s">
        <v>643</v>
      </c>
      <c r="AQ229" s="141" t="s">
        <v>643</v>
      </c>
      <c r="AS229" s="143" t="s">
        <v>1302</v>
      </c>
      <c r="AT229" s="143" t="s">
        <v>947</v>
      </c>
      <c r="AU229" s="143" t="s">
        <v>948</v>
      </c>
    </row>
    <row r="230" spans="1:47" s="124" customFormat="1" ht="14.4" customHeight="1" x14ac:dyDescent="0.3">
      <c r="A230" s="121" t="s">
        <v>627</v>
      </c>
      <c r="B230" s="117" t="s">
        <v>1120</v>
      </c>
      <c r="C230" s="121" t="s">
        <v>550</v>
      </c>
      <c r="D230" s="123" t="s">
        <v>145</v>
      </c>
      <c r="E230" s="123"/>
      <c r="F230" s="244" t="s">
        <v>632</v>
      </c>
      <c r="G230" s="120"/>
      <c r="H230" s="120" t="s">
        <v>30</v>
      </c>
      <c r="I230" s="145">
        <v>2850000</v>
      </c>
      <c r="J230" s="146">
        <v>2015</v>
      </c>
      <c r="K230" s="154"/>
      <c r="L230" s="133"/>
      <c r="M230" s="148"/>
      <c r="N230" s="149" t="s">
        <v>596</v>
      </c>
      <c r="O230" s="150"/>
      <c r="P230" s="57" t="s">
        <v>30</v>
      </c>
      <c r="Q230" s="57" t="s">
        <v>30</v>
      </c>
      <c r="R230" s="116" t="s">
        <v>30</v>
      </c>
      <c r="S230" s="118" t="s">
        <v>30</v>
      </c>
      <c r="T230" s="57" t="s">
        <v>30</v>
      </c>
      <c r="U230" s="57" t="s">
        <v>30</v>
      </c>
      <c r="V230" s="34" t="s">
        <v>30</v>
      </c>
      <c r="W230" s="137" t="str">
        <f t="shared" si="109"/>
        <v>NC</v>
      </c>
      <c r="X230" s="57" t="str">
        <f t="shared" si="106"/>
        <v>NC</v>
      </c>
      <c r="Y230" s="57" t="str">
        <f t="shared" si="110"/>
        <v>NC</v>
      </c>
      <c r="Z230" s="57" t="str">
        <f t="shared" si="111"/>
        <v>NC</v>
      </c>
      <c r="AA230" s="57" t="str">
        <f t="shared" si="112"/>
        <v>NC</v>
      </c>
      <c r="AB230" s="57" t="str">
        <f t="shared" si="113"/>
        <v>NC</v>
      </c>
      <c r="AC230" s="57" t="str">
        <f t="shared" si="114"/>
        <v>NC</v>
      </c>
      <c r="AE230" s="123" t="str">
        <f t="shared" si="115"/>
        <v>NC</v>
      </c>
      <c r="AF230" s="123" t="str">
        <f t="shared" si="116"/>
        <v>NC</v>
      </c>
      <c r="AG230" s="123" t="str">
        <f t="shared" si="117"/>
        <v>NC</v>
      </c>
      <c r="AH230" s="123" t="str">
        <f t="shared" si="118"/>
        <v>NC</v>
      </c>
      <c r="AI230" s="123" t="str">
        <f t="shared" si="119"/>
        <v>NC</v>
      </c>
      <c r="AJ230" s="123" t="str">
        <f t="shared" si="120"/>
        <v>NC</v>
      </c>
      <c r="AK230" s="123" t="str">
        <f t="shared" si="121"/>
        <v>NC</v>
      </c>
      <c r="AL230" s="138"/>
      <c r="AM230" s="151">
        <f t="shared" si="108"/>
        <v>7.6477485707182288E-4</v>
      </c>
      <c r="AN230" s="152"/>
      <c r="AP230" s="141" t="s">
        <v>643</v>
      </c>
      <c r="AQ230" s="141" t="s">
        <v>643</v>
      </c>
      <c r="AS230" s="143" t="s">
        <v>1302</v>
      </c>
      <c r="AT230" s="143" t="s">
        <v>947</v>
      </c>
      <c r="AU230" s="143" t="s">
        <v>948</v>
      </c>
    </row>
    <row r="231" spans="1:47" s="138" customFormat="1" ht="14.4" customHeight="1" x14ac:dyDescent="0.3">
      <c r="A231" s="116" t="s">
        <v>386</v>
      </c>
      <c r="B231" s="116" t="s">
        <v>1121</v>
      </c>
      <c r="C231" s="121" t="s">
        <v>551</v>
      </c>
      <c r="D231" s="116" t="s">
        <v>145</v>
      </c>
      <c r="E231" s="116"/>
      <c r="F231" s="117" t="s">
        <v>421</v>
      </c>
      <c r="G231" s="120"/>
      <c r="H231" s="120" t="s">
        <v>30</v>
      </c>
      <c r="I231" s="134">
        <v>65000000</v>
      </c>
      <c r="J231" s="146">
        <v>2006</v>
      </c>
      <c r="K231" s="154"/>
      <c r="L231" s="162" t="s">
        <v>1022</v>
      </c>
      <c r="M231" s="116"/>
      <c r="N231" s="149" t="s">
        <v>596</v>
      </c>
      <c r="O231" s="136">
        <v>6993</v>
      </c>
      <c r="P231" s="57" t="s">
        <v>30</v>
      </c>
      <c r="Q231" s="57" t="s">
        <v>30</v>
      </c>
      <c r="R231" s="57">
        <v>43670</v>
      </c>
      <c r="S231" s="34" t="s">
        <v>30</v>
      </c>
      <c r="T231" s="57" t="s">
        <v>30</v>
      </c>
      <c r="U231" s="57" t="s">
        <v>30</v>
      </c>
      <c r="V231" s="34" t="s">
        <v>30</v>
      </c>
      <c r="W231" s="137" t="str">
        <f t="shared" si="109"/>
        <v>NC</v>
      </c>
      <c r="X231" s="57" t="str">
        <f t="shared" ref="X231:X262" si="122">IF(Q231="NC","NC",IF(Q231="","erreur",Q231+181))</f>
        <v>NC</v>
      </c>
      <c r="Y231" s="57">
        <f t="shared" si="110"/>
        <v>44035</v>
      </c>
      <c r="Z231" s="57" t="str">
        <f t="shared" si="111"/>
        <v>NC</v>
      </c>
      <c r="AA231" s="57" t="str">
        <f t="shared" si="112"/>
        <v>NC</v>
      </c>
      <c r="AB231" s="57" t="str">
        <f t="shared" si="113"/>
        <v>NC</v>
      </c>
      <c r="AC231" s="57" t="str">
        <f t="shared" si="114"/>
        <v>NC</v>
      </c>
      <c r="AE231" s="123" t="str">
        <f t="shared" si="115"/>
        <v>NC</v>
      </c>
      <c r="AF231" s="123" t="str">
        <f t="shared" si="116"/>
        <v>NC</v>
      </c>
      <c r="AG231" s="123">
        <f t="shared" ca="1" si="117"/>
        <v>-1552</v>
      </c>
      <c r="AH231" s="123" t="str">
        <f t="shared" si="118"/>
        <v>NC</v>
      </c>
      <c r="AI231" s="123" t="str">
        <f t="shared" si="119"/>
        <v>NC</v>
      </c>
      <c r="AJ231" s="123" t="str">
        <f t="shared" si="120"/>
        <v>NC</v>
      </c>
      <c r="AK231" s="123" t="str">
        <f t="shared" si="121"/>
        <v>NC</v>
      </c>
      <c r="AM231" s="151">
        <f t="shared" si="108"/>
        <v>5.1128950801450475E-2</v>
      </c>
      <c r="AP231" s="141" t="s">
        <v>643</v>
      </c>
      <c r="AQ231" s="141" t="s">
        <v>643</v>
      </c>
      <c r="AS231" s="142" t="s">
        <v>1169</v>
      </c>
      <c r="AT231" s="143" t="s">
        <v>1308</v>
      </c>
      <c r="AU231" s="143" t="s">
        <v>1309</v>
      </c>
    </row>
    <row r="232" spans="1:47" s="124" customFormat="1" ht="14.4" customHeight="1" x14ac:dyDescent="0.3">
      <c r="A232" s="125" t="s">
        <v>20</v>
      </c>
      <c r="B232" s="117" t="s">
        <v>1122</v>
      </c>
      <c r="C232" s="121" t="s">
        <v>551</v>
      </c>
      <c r="D232" s="123" t="s">
        <v>145</v>
      </c>
      <c r="E232" s="123"/>
      <c r="F232" s="121" t="s">
        <v>305</v>
      </c>
      <c r="G232" s="120"/>
      <c r="H232" s="120" t="s">
        <v>30</v>
      </c>
      <c r="I232" s="153">
        <v>72680000</v>
      </c>
      <c r="J232" s="146">
        <v>2005</v>
      </c>
      <c r="K232" s="147" t="s">
        <v>609</v>
      </c>
      <c r="L232" s="245" t="s">
        <v>751</v>
      </c>
      <c r="M232" s="148"/>
      <c r="N232" s="149" t="s">
        <v>596</v>
      </c>
      <c r="O232" s="150">
        <v>122</v>
      </c>
      <c r="P232" s="57" t="s">
        <v>30</v>
      </c>
      <c r="Q232" s="57" t="s">
        <v>30</v>
      </c>
      <c r="R232" s="57">
        <v>43670</v>
      </c>
      <c r="S232" s="34" t="s">
        <v>30</v>
      </c>
      <c r="T232" s="57" t="s">
        <v>30</v>
      </c>
      <c r="U232" s="57" t="s">
        <v>30</v>
      </c>
      <c r="V232" s="34" t="s">
        <v>30</v>
      </c>
      <c r="W232" s="137" t="str">
        <f t="shared" si="109"/>
        <v>NC</v>
      </c>
      <c r="X232" s="57" t="str">
        <f t="shared" si="122"/>
        <v>NC</v>
      </c>
      <c r="Y232" s="57">
        <f t="shared" si="110"/>
        <v>44035</v>
      </c>
      <c r="Z232" s="57" t="str">
        <f t="shared" si="111"/>
        <v>NC</v>
      </c>
      <c r="AA232" s="57" t="str">
        <f t="shared" si="112"/>
        <v>NC</v>
      </c>
      <c r="AB232" s="57" t="str">
        <f t="shared" si="113"/>
        <v>NC</v>
      </c>
      <c r="AC232" s="57" t="str">
        <f t="shared" si="114"/>
        <v>NC</v>
      </c>
      <c r="AE232" s="123" t="str">
        <f t="shared" si="115"/>
        <v>NC</v>
      </c>
      <c r="AF232" s="123" t="str">
        <f t="shared" si="116"/>
        <v>NC</v>
      </c>
      <c r="AG232" s="123">
        <f t="shared" ca="1" si="117"/>
        <v>-1552</v>
      </c>
      <c r="AH232" s="123" t="str">
        <f t="shared" si="118"/>
        <v>NC</v>
      </c>
      <c r="AI232" s="123" t="str">
        <f t="shared" si="119"/>
        <v>NC</v>
      </c>
      <c r="AJ232" s="123" t="str">
        <f t="shared" si="120"/>
        <v>NC</v>
      </c>
      <c r="AK232" s="123" t="str">
        <f t="shared" si="121"/>
        <v>NC</v>
      </c>
      <c r="AL232" s="138"/>
      <c r="AM232" s="151">
        <f t="shared" si="108"/>
        <v>6.1355247702102128E-2</v>
      </c>
      <c r="AN232" s="152"/>
      <c r="AP232" s="141" t="s">
        <v>643</v>
      </c>
      <c r="AQ232" s="141" t="s">
        <v>643</v>
      </c>
      <c r="AS232" s="143" t="s">
        <v>1310</v>
      </c>
      <c r="AT232" s="143" t="s">
        <v>1311</v>
      </c>
      <c r="AU232" s="143" t="s">
        <v>1312</v>
      </c>
    </row>
    <row r="233" spans="1:47" s="160" customFormat="1" ht="14.4" customHeight="1" x14ac:dyDescent="0.3">
      <c r="A233" s="125" t="s">
        <v>151</v>
      </c>
      <c r="B233" s="117" t="s">
        <v>1122</v>
      </c>
      <c r="C233" s="121" t="s">
        <v>551</v>
      </c>
      <c r="D233" s="116" t="s">
        <v>145</v>
      </c>
      <c r="E233" s="116"/>
      <c r="F233" s="121" t="s">
        <v>306</v>
      </c>
      <c r="G233" s="120"/>
      <c r="H233" s="120" t="s">
        <v>30</v>
      </c>
      <c r="I233" s="153">
        <v>72680000</v>
      </c>
      <c r="J233" s="131">
        <v>2009</v>
      </c>
      <c r="K233" s="147" t="s">
        <v>609</v>
      </c>
      <c r="L233" s="133">
        <v>44166</v>
      </c>
      <c r="M233" s="134"/>
      <c r="N233" s="149" t="s">
        <v>596</v>
      </c>
      <c r="O233" s="136">
        <v>8681</v>
      </c>
      <c r="P233" s="57" t="s">
        <v>30</v>
      </c>
      <c r="Q233" s="57" t="s">
        <v>30</v>
      </c>
      <c r="R233" s="57">
        <v>43717</v>
      </c>
      <c r="S233" s="34" t="s">
        <v>30</v>
      </c>
      <c r="T233" s="57" t="s">
        <v>30</v>
      </c>
      <c r="U233" s="57" t="s">
        <v>30</v>
      </c>
      <c r="V233" s="34" t="s">
        <v>30</v>
      </c>
      <c r="W233" s="137" t="str">
        <f t="shared" si="109"/>
        <v>NC</v>
      </c>
      <c r="X233" s="57" t="str">
        <f t="shared" si="122"/>
        <v>NC</v>
      </c>
      <c r="Y233" s="57">
        <f t="shared" si="110"/>
        <v>44082</v>
      </c>
      <c r="Z233" s="57" t="str">
        <f t="shared" si="111"/>
        <v>NC</v>
      </c>
      <c r="AA233" s="57" t="str">
        <f t="shared" si="112"/>
        <v>NC</v>
      </c>
      <c r="AB233" s="57" t="str">
        <f t="shared" si="113"/>
        <v>NC</v>
      </c>
      <c r="AC233" s="57" t="str">
        <f t="shared" si="114"/>
        <v>NC</v>
      </c>
      <c r="AD233" s="124"/>
      <c r="AE233" s="123" t="str">
        <f t="shared" si="115"/>
        <v>NC</v>
      </c>
      <c r="AF233" s="123" t="str">
        <f t="shared" si="116"/>
        <v>NC</v>
      </c>
      <c r="AG233" s="123">
        <f t="shared" ca="1" si="117"/>
        <v>-1505</v>
      </c>
      <c r="AH233" s="123" t="str">
        <f t="shared" si="118"/>
        <v>NC</v>
      </c>
      <c r="AI233" s="123" t="str">
        <f t="shared" si="119"/>
        <v>NC</v>
      </c>
      <c r="AJ233" s="123" t="str">
        <f t="shared" si="120"/>
        <v>NC</v>
      </c>
      <c r="AK233" s="123" t="str">
        <f t="shared" si="121"/>
        <v>NC</v>
      </c>
      <c r="AL233" s="138"/>
      <c r="AM233" s="151">
        <f t="shared" si="108"/>
        <v>4.46143888475041E-2</v>
      </c>
      <c r="AN233" s="140"/>
      <c r="AO233" s="124"/>
      <c r="AP233" s="141" t="s">
        <v>643</v>
      </c>
      <c r="AQ233" s="141" t="s">
        <v>643</v>
      </c>
      <c r="AR233" s="124"/>
      <c r="AS233" s="143" t="s">
        <v>1310</v>
      </c>
      <c r="AT233" s="143" t="s">
        <v>1311</v>
      </c>
      <c r="AU233" s="143" t="s">
        <v>1312</v>
      </c>
    </row>
    <row r="234" spans="1:47" s="160" customFormat="1" ht="14.4" customHeight="1" x14ac:dyDescent="0.3">
      <c r="A234" s="125" t="s">
        <v>21</v>
      </c>
      <c r="B234" s="202" t="s">
        <v>1123</v>
      </c>
      <c r="C234" s="121" t="s">
        <v>551</v>
      </c>
      <c r="D234" s="123" t="s">
        <v>46</v>
      </c>
      <c r="E234" s="123"/>
      <c r="F234" s="121" t="s">
        <v>307</v>
      </c>
      <c r="G234" s="120"/>
      <c r="H234" s="120" t="s">
        <v>30</v>
      </c>
      <c r="I234" s="153">
        <v>72680000</v>
      </c>
      <c r="J234" s="146">
        <v>2013</v>
      </c>
      <c r="K234" s="154">
        <v>43497</v>
      </c>
      <c r="L234" s="133">
        <v>43952</v>
      </c>
      <c r="M234" s="148"/>
      <c r="N234" s="149" t="s">
        <v>596</v>
      </c>
      <c r="O234" s="150">
        <v>3192</v>
      </c>
      <c r="P234" s="57" t="s">
        <v>30</v>
      </c>
      <c r="Q234" s="57" t="s">
        <v>30</v>
      </c>
      <c r="R234" s="57">
        <v>43670</v>
      </c>
      <c r="S234" s="34" t="s">
        <v>30</v>
      </c>
      <c r="T234" s="57" t="s">
        <v>30</v>
      </c>
      <c r="U234" s="57" t="s">
        <v>30</v>
      </c>
      <c r="V234" s="34" t="s">
        <v>30</v>
      </c>
      <c r="W234" s="137" t="str">
        <f t="shared" si="109"/>
        <v>NC</v>
      </c>
      <c r="X234" s="57" t="str">
        <f t="shared" si="122"/>
        <v>NC</v>
      </c>
      <c r="Y234" s="57">
        <f t="shared" si="110"/>
        <v>44035</v>
      </c>
      <c r="Z234" s="57" t="str">
        <f t="shared" si="111"/>
        <v>NC</v>
      </c>
      <c r="AA234" s="57" t="str">
        <f t="shared" si="112"/>
        <v>NC</v>
      </c>
      <c r="AB234" s="57" t="str">
        <f t="shared" si="113"/>
        <v>NC</v>
      </c>
      <c r="AC234" s="57" t="str">
        <f t="shared" si="114"/>
        <v>NC</v>
      </c>
      <c r="AD234" s="124"/>
      <c r="AE234" s="123" t="str">
        <f t="shared" si="115"/>
        <v>NC</v>
      </c>
      <c r="AF234" s="123" t="str">
        <f t="shared" si="116"/>
        <v>NC</v>
      </c>
      <c r="AG234" s="123">
        <f t="shared" ca="1" si="117"/>
        <v>-1552</v>
      </c>
      <c r="AH234" s="123" t="str">
        <f t="shared" si="118"/>
        <v>NC</v>
      </c>
      <c r="AI234" s="123" t="str">
        <f t="shared" si="119"/>
        <v>NC</v>
      </c>
      <c r="AJ234" s="123" t="str">
        <f t="shared" si="120"/>
        <v>NC</v>
      </c>
      <c r="AK234" s="123" t="str">
        <f t="shared" si="121"/>
        <v>NC</v>
      </c>
      <c r="AL234" s="138"/>
      <c r="AM234" s="151">
        <f t="shared" si="108"/>
        <v>2.7873529992906067E-2</v>
      </c>
      <c r="AN234" s="152"/>
      <c r="AO234" s="124"/>
      <c r="AP234" s="141" t="s">
        <v>643</v>
      </c>
      <c r="AQ234" s="141" t="s">
        <v>643</v>
      </c>
      <c r="AR234" s="124"/>
      <c r="AS234" s="143" t="s">
        <v>1310</v>
      </c>
      <c r="AT234" s="143" t="s">
        <v>1311</v>
      </c>
      <c r="AU234" s="143" t="s">
        <v>1313</v>
      </c>
    </row>
    <row r="235" spans="1:47" s="246" customFormat="1" ht="14.4" customHeight="1" x14ac:dyDescent="0.3">
      <c r="A235" s="125" t="s">
        <v>22</v>
      </c>
      <c r="B235" s="117" t="s">
        <v>1316</v>
      </c>
      <c r="C235" s="117" t="s">
        <v>1502</v>
      </c>
      <c r="D235" s="116" t="s">
        <v>46</v>
      </c>
      <c r="E235" s="116"/>
      <c r="F235" s="117" t="s">
        <v>1317</v>
      </c>
      <c r="G235" s="120"/>
      <c r="H235" s="120" t="s">
        <v>30</v>
      </c>
      <c r="I235" s="130">
        <v>106800000</v>
      </c>
      <c r="J235" s="131">
        <v>2014</v>
      </c>
      <c r="K235" s="132"/>
      <c r="L235" s="132"/>
      <c r="M235" s="134"/>
      <c r="N235" s="135" t="s">
        <v>596</v>
      </c>
      <c r="O235" s="136"/>
      <c r="P235" s="57" t="s">
        <v>30</v>
      </c>
      <c r="Q235" s="57" t="s">
        <v>30</v>
      </c>
      <c r="R235" s="57">
        <v>43725</v>
      </c>
      <c r="S235" s="34" t="s">
        <v>30</v>
      </c>
      <c r="T235" s="57" t="s">
        <v>30</v>
      </c>
      <c r="U235" s="57" t="s">
        <v>30</v>
      </c>
      <c r="V235" s="34" t="s">
        <v>30</v>
      </c>
      <c r="W235" s="137" t="str">
        <f t="shared" si="109"/>
        <v>NC</v>
      </c>
      <c r="X235" s="57" t="str">
        <f t="shared" si="122"/>
        <v>NC</v>
      </c>
      <c r="Y235" s="57">
        <f t="shared" si="110"/>
        <v>44090</v>
      </c>
      <c r="Z235" s="57" t="str">
        <f t="shared" si="111"/>
        <v>NC</v>
      </c>
      <c r="AA235" s="57" t="str">
        <f t="shared" si="112"/>
        <v>NC</v>
      </c>
      <c r="AB235" s="57" t="str">
        <f t="shared" si="113"/>
        <v>NC</v>
      </c>
      <c r="AC235" s="57" t="str">
        <f t="shared" si="114"/>
        <v>NC</v>
      </c>
      <c r="AD235" s="138"/>
      <c r="AE235" s="116" t="str">
        <f t="shared" si="115"/>
        <v>NC</v>
      </c>
      <c r="AF235" s="116" t="str">
        <f t="shared" si="116"/>
        <v>NC</v>
      </c>
      <c r="AG235" s="116">
        <f t="shared" ca="1" si="117"/>
        <v>-1497</v>
      </c>
      <c r="AH235" s="116" t="str">
        <f t="shared" si="118"/>
        <v>NC</v>
      </c>
      <c r="AI235" s="116" t="str">
        <f t="shared" si="119"/>
        <v>NC</v>
      </c>
      <c r="AJ235" s="116" t="str">
        <f t="shared" si="120"/>
        <v>NC</v>
      </c>
      <c r="AK235" s="116" t="str">
        <f t="shared" si="121"/>
        <v>NC</v>
      </c>
      <c r="AL235" s="138"/>
      <c r="AM235" s="139">
        <f t="shared" si="108"/>
        <v>3.4808916783497526E-2</v>
      </c>
      <c r="AN235" s="140"/>
      <c r="AO235" s="138"/>
      <c r="AP235" s="138" t="s">
        <v>643</v>
      </c>
      <c r="AQ235" s="138" t="s">
        <v>643</v>
      </c>
      <c r="AR235" s="138"/>
      <c r="AS235" s="142" t="s">
        <v>1314</v>
      </c>
      <c r="AT235" s="142" t="s">
        <v>1308</v>
      </c>
      <c r="AU235" s="142" t="s">
        <v>1315</v>
      </c>
    </row>
    <row r="236" spans="1:47" s="124" customFormat="1" ht="14.4" customHeight="1" x14ac:dyDescent="0.3">
      <c r="A236" s="116" t="s">
        <v>387</v>
      </c>
      <c r="B236" s="123" t="s">
        <v>1501</v>
      </c>
      <c r="C236" s="121" t="s">
        <v>551</v>
      </c>
      <c r="D236" s="116" t="s">
        <v>145</v>
      </c>
      <c r="E236" s="116"/>
      <c r="F236" s="239" t="s">
        <v>419</v>
      </c>
      <c r="G236" s="120"/>
      <c r="H236" s="120" t="s">
        <v>30</v>
      </c>
      <c r="I236" s="153">
        <v>69299851</v>
      </c>
      <c r="J236" s="146">
        <v>2014</v>
      </c>
      <c r="K236" s="154"/>
      <c r="L236" s="162">
        <v>43831</v>
      </c>
      <c r="M236" s="116"/>
      <c r="N236" s="149" t="s">
        <v>596</v>
      </c>
      <c r="O236" s="136">
        <v>4237</v>
      </c>
      <c r="P236" s="57" t="s">
        <v>30</v>
      </c>
      <c r="Q236" s="57" t="s">
        <v>30</v>
      </c>
      <c r="R236" s="57">
        <v>43717</v>
      </c>
      <c r="S236" s="34" t="s">
        <v>30</v>
      </c>
      <c r="T236" s="57" t="s">
        <v>30</v>
      </c>
      <c r="U236" s="57" t="s">
        <v>30</v>
      </c>
      <c r="V236" s="34" t="s">
        <v>30</v>
      </c>
      <c r="W236" s="137" t="str">
        <f t="shared" si="109"/>
        <v>NC</v>
      </c>
      <c r="X236" s="57" t="str">
        <f t="shared" si="122"/>
        <v>NC</v>
      </c>
      <c r="Y236" s="57">
        <f t="shared" si="110"/>
        <v>44082</v>
      </c>
      <c r="Z236" s="57" t="str">
        <f t="shared" si="111"/>
        <v>NC</v>
      </c>
      <c r="AA236" s="57" t="str">
        <f t="shared" si="112"/>
        <v>NC</v>
      </c>
      <c r="AB236" s="57" t="str">
        <f t="shared" si="113"/>
        <v>NC</v>
      </c>
      <c r="AC236" s="57" t="str">
        <f t="shared" si="114"/>
        <v>NC</v>
      </c>
      <c r="AD236" s="138"/>
      <c r="AE236" s="123" t="str">
        <f t="shared" si="115"/>
        <v>NC</v>
      </c>
      <c r="AF236" s="123" t="str">
        <f t="shared" si="116"/>
        <v>NC</v>
      </c>
      <c r="AG236" s="123">
        <f t="shared" ca="1" si="117"/>
        <v>-1505</v>
      </c>
      <c r="AH236" s="123" t="str">
        <f t="shared" si="118"/>
        <v>NC</v>
      </c>
      <c r="AI236" s="123" t="str">
        <f t="shared" si="119"/>
        <v>NC</v>
      </c>
      <c r="AJ236" s="123" t="str">
        <f t="shared" si="120"/>
        <v>NC</v>
      </c>
      <c r="AK236" s="123" t="str">
        <f t="shared" si="121"/>
        <v>NC</v>
      </c>
      <c r="AL236" s="138"/>
      <c r="AM236" s="151">
        <f t="shared" si="108"/>
        <v>2.2586636203818147E-2</v>
      </c>
      <c r="AN236" s="138"/>
      <c r="AO236" s="138"/>
      <c r="AP236" s="141" t="s">
        <v>643</v>
      </c>
      <c r="AQ236" s="141" t="s">
        <v>643</v>
      </c>
      <c r="AR236" s="138"/>
      <c r="AS236" s="142" t="s">
        <v>1164</v>
      </c>
      <c r="AT236" s="143" t="s">
        <v>1311</v>
      </c>
      <c r="AU236" s="143" t="s">
        <v>1313</v>
      </c>
    </row>
    <row r="237" spans="1:47" s="124" customFormat="1" ht="14.4" customHeight="1" x14ac:dyDescent="0.3">
      <c r="A237" s="121" t="s">
        <v>23</v>
      </c>
      <c r="B237" s="117" t="s">
        <v>1500</v>
      </c>
      <c r="C237" s="121" t="s">
        <v>551</v>
      </c>
      <c r="D237" s="123" t="s">
        <v>357</v>
      </c>
      <c r="E237" s="123"/>
      <c r="F237" s="121" t="s">
        <v>308</v>
      </c>
      <c r="G237" s="120"/>
      <c r="H237" s="120" t="s">
        <v>30</v>
      </c>
      <c r="I237" s="153">
        <v>9970546</v>
      </c>
      <c r="J237" s="146">
        <v>2014</v>
      </c>
      <c r="K237" s="154">
        <v>43678</v>
      </c>
      <c r="L237" s="133">
        <v>43862</v>
      </c>
      <c r="M237" s="145" t="s">
        <v>1021</v>
      </c>
      <c r="N237" s="149" t="s">
        <v>596</v>
      </c>
      <c r="O237" s="150"/>
      <c r="P237" s="57" t="s">
        <v>30</v>
      </c>
      <c r="Q237" s="57" t="s">
        <v>30</v>
      </c>
      <c r="R237" s="57" t="s">
        <v>30</v>
      </c>
      <c r="S237" s="34" t="s">
        <v>30</v>
      </c>
      <c r="T237" s="57" t="s">
        <v>30</v>
      </c>
      <c r="U237" s="57" t="s">
        <v>30</v>
      </c>
      <c r="V237" s="34" t="s">
        <v>30</v>
      </c>
      <c r="W237" s="137" t="str">
        <f t="shared" si="109"/>
        <v>NC</v>
      </c>
      <c r="X237" s="57" t="str">
        <f t="shared" si="122"/>
        <v>NC</v>
      </c>
      <c r="Y237" s="57" t="str">
        <f t="shared" si="110"/>
        <v>NC</v>
      </c>
      <c r="Z237" s="57" t="str">
        <f t="shared" si="111"/>
        <v>NC</v>
      </c>
      <c r="AA237" s="57" t="str">
        <f t="shared" si="112"/>
        <v>NC</v>
      </c>
      <c r="AB237" s="57" t="str">
        <f t="shared" si="113"/>
        <v>NC</v>
      </c>
      <c r="AC237" s="57" t="str">
        <f t="shared" si="114"/>
        <v>NC</v>
      </c>
      <c r="AE237" s="123" t="str">
        <f t="shared" si="115"/>
        <v>NC</v>
      </c>
      <c r="AF237" s="123" t="str">
        <f t="shared" si="116"/>
        <v>NC</v>
      </c>
      <c r="AG237" s="123" t="str">
        <f t="shared" si="117"/>
        <v>NC</v>
      </c>
      <c r="AH237" s="123" t="str">
        <f t="shared" si="118"/>
        <v>NC</v>
      </c>
      <c r="AI237" s="123" t="str">
        <f t="shared" si="119"/>
        <v>NC</v>
      </c>
      <c r="AJ237" s="123" t="str">
        <f t="shared" si="120"/>
        <v>NC</v>
      </c>
      <c r="AK237" s="123" t="str">
        <f t="shared" si="121"/>
        <v>NC</v>
      </c>
      <c r="AL237" s="138"/>
      <c r="AM237" s="151">
        <f t="shared" si="108"/>
        <v>3.2496620411988216E-3</v>
      </c>
      <c r="AN237" s="152"/>
      <c r="AP237" s="141" t="s">
        <v>643</v>
      </c>
      <c r="AQ237" s="141" t="s">
        <v>643</v>
      </c>
      <c r="AS237" s="143" t="s">
        <v>1302</v>
      </c>
      <c r="AT237" s="143" t="s">
        <v>1303</v>
      </c>
      <c r="AU237" s="143" t="s">
        <v>1304</v>
      </c>
    </row>
    <row r="238" spans="1:47" s="124" customFormat="1" ht="14.4" customHeight="1" x14ac:dyDescent="0.3">
      <c r="A238" s="121" t="s">
        <v>36</v>
      </c>
      <c r="B238" s="241" t="s">
        <v>1124</v>
      </c>
      <c r="C238" s="121" t="s">
        <v>551</v>
      </c>
      <c r="D238" s="123" t="s">
        <v>46</v>
      </c>
      <c r="E238" s="123"/>
      <c r="F238" s="121" t="s">
        <v>309</v>
      </c>
      <c r="G238" s="120"/>
      <c r="H238" s="120" t="s">
        <v>30</v>
      </c>
      <c r="I238" s="153">
        <v>69299851</v>
      </c>
      <c r="J238" s="146">
        <v>2014</v>
      </c>
      <c r="K238" s="154">
        <v>44044</v>
      </c>
      <c r="L238" s="133">
        <v>43952</v>
      </c>
      <c r="M238" s="148"/>
      <c r="N238" s="149" t="s">
        <v>596</v>
      </c>
      <c r="O238" s="150">
        <v>1034</v>
      </c>
      <c r="P238" s="57" t="s">
        <v>30</v>
      </c>
      <c r="Q238" s="57" t="s">
        <v>30</v>
      </c>
      <c r="R238" s="57">
        <v>43679</v>
      </c>
      <c r="S238" s="34" t="s">
        <v>30</v>
      </c>
      <c r="T238" s="57" t="s">
        <v>30</v>
      </c>
      <c r="U238" s="57" t="s">
        <v>30</v>
      </c>
      <c r="V238" s="34" t="s">
        <v>30</v>
      </c>
      <c r="W238" s="137" t="str">
        <f t="shared" si="109"/>
        <v>NC</v>
      </c>
      <c r="X238" s="57" t="str">
        <f t="shared" si="122"/>
        <v>NC</v>
      </c>
      <c r="Y238" s="57">
        <f t="shared" si="110"/>
        <v>44044</v>
      </c>
      <c r="Z238" s="57" t="str">
        <f t="shared" si="111"/>
        <v>NC</v>
      </c>
      <c r="AA238" s="57" t="str">
        <f t="shared" si="112"/>
        <v>NC</v>
      </c>
      <c r="AB238" s="57" t="str">
        <f t="shared" si="113"/>
        <v>NC</v>
      </c>
      <c r="AC238" s="57" t="str">
        <f t="shared" si="114"/>
        <v>NC</v>
      </c>
      <c r="AE238" s="123" t="str">
        <f t="shared" si="115"/>
        <v>NC</v>
      </c>
      <c r="AF238" s="123" t="str">
        <f t="shared" si="116"/>
        <v>NC</v>
      </c>
      <c r="AG238" s="123">
        <f t="shared" ca="1" si="117"/>
        <v>-1543</v>
      </c>
      <c r="AH238" s="123" t="str">
        <f t="shared" si="118"/>
        <v>NC</v>
      </c>
      <c r="AI238" s="123" t="str">
        <f t="shared" si="119"/>
        <v>NC</v>
      </c>
      <c r="AJ238" s="123" t="str">
        <f t="shared" si="120"/>
        <v>NC</v>
      </c>
      <c r="AK238" s="123" t="str">
        <f t="shared" si="121"/>
        <v>NC</v>
      </c>
      <c r="AL238" s="138"/>
      <c r="AM238" s="151">
        <f t="shared" si="108"/>
        <v>2.2586636203818147E-2</v>
      </c>
      <c r="AN238" s="152"/>
      <c r="AP238" s="141" t="s">
        <v>643</v>
      </c>
      <c r="AQ238" s="141" t="s">
        <v>643</v>
      </c>
      <c r="AS238" s="143" t="s">
        <v>1164</v>
      </c>
      <c r="AT238" s="143" t="s">
        <v>1311</v>
      </c>
      <c r="AU238" s="143" t="s">
        <v>1313</v>
      </c>
    </row>
    <row r="239" spans="1:47" s="160" customFormat="1" ht="14.4" customHeight="1" x14ac:dyDescent="0.3">
      <c r="A239" s="121" t="s">
        <v>107</v>
      </c>
      <c r="B239" s="117" t="s">
        <v>1125</v>
      </c>
      <c r="C239" s="121" t="s">
        <v>551</v>
      </c>
      <c r="D239" s="123" t="s">
        <v>49</v>
      </c>
      <c r="E239" s="123"/>
      <c r="F239" s="121" t="s">
        <v>302</v>
      </c>
      <c r="G239" s="120"/>
      <c r="H239" s="120" t="s">
        <v>30</v>
      </c>
      <c r="I239" s="145"/>
      <c r="J239" s="146">
        <v>2014</v>
      </c>
      <c r="K239" s="154"/>
      <c r="L239" s="133">
        <v>43922</v>
      </c>
      <c r="M239" s="148"/>
      <c r="N239" s="149" t="s">
        <v>596</v>
      </c>
      <c r="O239" s="150"/>
      <c r="P239" s="57" t="s">
        <v>30</v>
      </c>
      <c r="Q239" s="57" t="s">
        <v>30</v>
      </c>
      <c r="R239" s="116" t="s">
        <v>30</v>
      </c>
      <c r="S239" s="118" t="s">
        <v>30</v>
      </c>
      <c r="T239" s="57" t="s">
        <v>30</v>
      </c>
      <c r="U239" s="57" t="s">
        <v>30</v>
      </c>
      <c r="V239" s="34" t="s">
        <v>30</v>
      </c>
      <c r="W239" s="137" t="str">
        <f t="shared" si="109"/>
        <v>NC</v>
      </c>
      <c r="X239" s="57" t="str">
        <f t="shared" si="122"/>
        <v>NC</v>
      </c>
      <c r="Y239" s="57" t="str">
        <f t="shared" si="110"/>
        <v>NC</v>
      </c>
      <c r="Z239" s="57" t="str">
        <f t="shared" si="111"/>
        <v>NC</v>
      </c>
      <c r="AA239" s="57" t="str">
        <f t="shared" si="112"/>
        <v>NC</v>
      </c>
      <c r="AB239" s="57" t="str">
        <f t="shared" si="113"/>
        <v>NC</v>
      </c>
      <c r="AC239" s="57" t="str">
        <f t="shared" si="114"/>
        <v>NC</v>
      </c>
      <c r="AD239" s="124"/>
      <c r="AE239" s="123" t="str">
        <f t="shared" si="115"/>
        <v>NC</v>
      </c>
      <c r="AF239" s="123" t="str">
        <f t="shared" si="116"/>
        <v>NC</v>
      </c>
      <c r="AG239" s="123" t="str">
        <f t="shared" si="117"/>
        <v>NC</v>
      </c>
      <c r="AH239" s="123" t="str">
        <f t="shared" si="118"/>
        <v>NC</v>
      </c>
      <c r="AI239" s="123" t="str">
        <f t="shared" si="119"/>
        <v>NC</v>
      </c>
      <c r="AJ239" s="123" t="str">
        <f t="shared" si="120"/>
        <v>NC</v>
      </c>
      <c r="AK239" s="123" t="str">
        <f t="shared" si="121"/>
        <v>NC</v>
      </c>
      <c r="AL239" s="138"/>
      <c r="AM239" s="151">
        <f t="shared" si="108"/>
        <v>0</v>
      </c>
      <c r="AN239" s="152"/>
      <c r="AO239" s="124"/>
      <c r="AP239" s="141" t="s">
        <v>643</v>
      </c>
      <c r="AQ239" s="141" t="s">
        <v>643</v>
      </c>
      <c r="AS239" s="143" t="s">
        <v>1302</v>
      </c>
      <c r="AT239" s="143" t="s">
        <v>949</v>
      </c>
      <c r="AU239" s="143" t="s">
        <v>950</v>
      </c>
    </row>
    <row r="240" spans="1:47" s="160" customFormat="1" ht="14.4" customHeight="1" x14ac:dyDescent="0.3">
      <c r="A240" s="121" t="s">
        <v>108</v>
      </c>
      <c r="B240" s="117" t="s">
        <v>1125</v>
      </c>
      <c r="C240" s="121" t="s">
        <v>551</v>
      </c>
      <c r="D240" s="123" t="s">
        <v>49</v>
      </c>
      <c r="E240" s="123"/>
      <c r="F240" s="121" t="s">
        <v>303</v>
      </c>
      <c r="G240" s="120"/>
      <c r="H240" s="120" t="s">
        <v>30</v>
      </c>
      <c r="I240" s="145"/>
      <c r="J240" s="146">
        <v>2014</v>
      </c>
      <c r="K240" s="154"/>
      <c r="L240" s="133">
        <v>43922</v>
      </c>
      <c r="M240" s="148"/>
      <c r="N240" s="149" t="s">
        <v>596</v>
      </c>
      <c r="O240" s="150"/>
      <c r="P240" s="57" t="s">
        <v>30</v>
      </c>
      <c r="Q240" s="57" t="s">
        <v>30</v>
      </c>
      <c r="R240" s="116" t="s">
        <v>30</v>
      </c>
      <c r="S240" s="118" t="s">
        <v>30</v>
      </c>
      <c r="T240" s="57" t="s">
        <v>30</v>
      </c>
      <c r="U240" s="57" t="s">
        <v>30</v>
      </c>
      <c r="V240" s="34" t="s">
        <v>30</v>
      </c>
      <c r="W240" s="137" t="str">
        <f t="shared" si="109"/>
        <v>NC</v>
      </c>
      <c r="X240" s="57" t="str">
        <f t="shared" si="122"/>
        <v>NC</v>
      </c>
      <c r="Y240" s="57" t="str">
        <f t="shared" si="110"/>
        <v>NC</v>
      </c>
      <c r="Z240" s="57" t="str">
        <f t="shared" si="111"/>
        <v>NC</v>
      </c>
      <c r="AA240" s="57" t="str">
        <f t="shared" si="112"/>
        <v>NC</v>
      </c>
      <c r="AB240" s="57" t="str">
        <f t="shared" si="113"/>
        <v>NC</v>
      </c>
      <c r="AC240" s="57" t="str">
        <f t="shared" si="114"/>
        <v>NC</v>
      </c>
      <c r="AD240" s="124"/>
      <c r="AE240" s="123" t="str">
        <f t="shared" si="115"/>
        <v>NC</v>
      </c>
      <c r="AF240" s="123" t="str">
        <f t="shared" si="116"/>
        <v>NC</v>
      </c>
      <c r="AG240" s="123" t="str">
        <f t="shared" si="117"/>
        <v>NC</v>
      </c>
      <c r="AH240" s="123" t="str">
        <f t="shared" si="118"/>
        <v>NC</v>
      </c>
      <c r="AI240" s="123" t="str">
        <f t="shared" si="119"/>
        <v>NC</v>
      </c>
      <c r="AJ240" s="123" t="str">
        <f t="shared" si="120"/>
        <v>NC</v>
      </c>
      <c r="AK240" s="123" t="str">
        <f t="shared" si="121"/>
        <v>NC</v>
      </c>
      <c r="AL240" s="138"/>
      <c r="AM240" s="151">
        <f t="shared" si="108"/>
        <v>0</v>
      </c>
      <c r="AN240" s="152"/>
      <c r="AO240" s="124"/>
      <c r="AP240" s="141" t="s">
        <v>643</v>
      </c>
      <c r="AQ240" s="141" t="s">
        <v>643</v>
      </c>
      <c r="AS240" s="143" t="s">
        <v>1302</v>
      </c>
      <c r="AT240" s="143" t="s">
        <v>949</v>
      </c>
      <c r="AU240" s="143" t="s">
        <v>950</v>
      </c>
    </row>
    <row r="241" spans="1:47" s="124" customFormat="1" ht="14.4" customHeight="1" x14ac:dyDescent="0.3">
      <c r="A241" s="121" t="s">
        <v>109</v>
      </c>
      <c r="B241" s="117" t="s">
        <v>1125</v>
      </c>
      <c r="C241" s="121" t="s">
        <v>551</v>
      </c>
      <c r="D241" s="123" t="s">
        <v>49</v>
      </c>
      <c r="E241" s="123"/>
      <c r="F241" s="121" t="s">
        <v>304</v>
      </c>
      <c r="G241" s="120"/>
      <c r="H241" s="120" t="s">
        <v>30</v>
      </c>
      <c r="I241" s="145"/>
      <c r="J241" s="146">
        <v>2014</v>
      </c>
      <c r="K241" s="154"/>
      <c r="L241" s="133">
        <v>43922</v>
      </c>
      <c r="M241" s="148"/>
      <c r="N241" s="149" t="s">
        <v>596</v>
      </c>
      <c r="O241" s="150"/>
      <c r="P241" s="57" t="s">
        <v>30</v>
      </c>
      <c r="Q241" s="57" t="s">
        <v>30</v>
      </c>
      <c r="R241" s="116" t="s">
        <v>30</v>
      </c>
      <c r="S241" s="118" t="s">
        <v>30</v>
      </c>
      <c r="T241" s="57" t="s">
        <v>30</v>
      </c>
      <c r="U241" s="57" t="s">
        <v>30</v>
      </c>
      <c r="V241" s="34" t="s">
        <v>30</v>
      </c>
      <c r="W241" s="137" t="str">
        <f t="shared" si="109"/>
        <v>NC</v>
      </c>
      <c r="X241" s="57" t="str">
        <f t="shared" si="122"/>
        <v>NC</v>
      </c>
      <c r="Y241" s="57" t="str">
        <f t="shared" si="110"/>
        <v>NC</v>
      </c>
      <c r="Z241" s="57" t="str">
        <f t="shared" si="111"/>
        <v>NC</v>
      </c>
      <c r="AA241" s="57" t="str">
        <f t="shared" si="112"/>
        <v>NC</v>
      </c>
      <c r="AB241" s="57" t="str">
        <f t="shared" si="113"/>
        <v>NC</v>
      </c>
      <c r="AC241" s="57" t="str">
        <f t="shared" si="114"/>
        <v>NC</v>
      </c>
      <c r="AE241" s="123" t="str">
        <f t="shared" si="115"/>
        <v>NC</v>
      </c>
      <c r="AF241" s="123" t="str">
        <f t="shared" si="116"/>
        <v>NC</v>
      </c>
      <c r="AG241" s="123" t="str">
        <f t="shared" si="117"/>
        <v>NC</v>
      </c>
      <c r="AH241" s="123" t="str">
        <f t="shared" si="118"/>
        <v>NC</v>
      </c>
      <c r="AI241" s="123" t="str">
        <f t="shared" si="119"/>
        <v>NC</v>
      </c>
      <c r="AJ241" s="123" t="str">
        <f t="shared" si="120"/>
        <v>NC</v>
      </c>
      <c r="AK241" s="123" t="str">
        <f t="shared" si="121"/>
        <v>NC</v>
      </c>
      <c r="AL241" s="138"/>
      <c r="AM241" s="151">
        <f t="shared" si="108"/>
        <v>0</v>
      </c>
      <c r="AN241" s="152"/>
      <c r="AP241" s="141" t="s">
        <v>643</v>
      </c>
      <c r="AQ241" s="141" t="s">
        <v>643</v>
      </c>
      <c r="AS241" s="143" t="s">
        <v>1302</v>
      </c>
      <c r="AT241" s="143" t="s">
        <v>949</v>
      </c>
      <c r="AU241" s="143" t="s">
        <v>950</v>
      </c>
    </row>
    <row r="242" spans="1:47" s="138" customFormat="1" ht="14.4" customHeight="1" x14ac:dyDescent="0.3">
      <c r="A242" s="121" t="s">
        <v>620</v>
      </c>
      <c r="B242" s="117" t="s">
        <v>1443</v>
      </c>
      <c r="C242" s="121" t="s">
        <v>551</v>
      </c>
      <c r="D242" s="123" t="s">
        <v>145</v>
      </c>
      <c r="E242" s="123"/>
      <c r="F242" s="244" t="s">
        <v>631</v>
      </c>
      <c r="G242" s="120"/>
      <c r="H242" s="120" t="s">
        <v>30</v>
      </c>
      <c r="I242" s="145"/>
      <c r="J242" s="146"/>
      <c r="K242" s="154"/>
      <c r="L242" s="133">
        <v>44166</v>
      </c>
      <c r="M242" s="148"/>
      <c r="N242" s="149" t="s">
        <v>596</v>
      </c>
      <c r="O242" s="150"/>
      <c r="P242" s="57" t="s">
        <v>30</v>
      </c>
      <c r="Q242" s="57" t="s">
        <v>30</v>
      </c>
      <c r="R242" s="116" t="s">
        <v>30</v>
      </c>
      <c r="S242" s="118" t="s">
        <v>30</v>
      </c>
      <c r="T242" s="57" t="s">
        <v>30</v>
      </c>
      <c r="U242" s="57" t="s">
        <v>30</v>
      </c>
      <c r="V242" s="34" t="s">
        <v>30</v>
      </c>
      <c r="W242" s="137" t="str">
        <f t="shared" si="109"/>
        <v>NC</v>
      </c>
      <c r="X242" s="57" t="str">
        <f t="shared" si="122"/>
        <v>NC</v>
      </c>
      <c r="Y242" s="57" t="str">
        <f t="shared" si="110"/>
        <v>NC</v>
      </c>
      <c r="Z242" s="57" t="str">
        <f t="shared" si="111"/>
        <v>NC</v>
      </c>
      <c r="AA242" s="57" t="str">
        <f t="shared" si="112"/>
        <v>NC</v>
      </c>
      <c r="AB242" s="57" t="str">
        <f t="shared" si="113"/>
        <v>NC</v>
      </c>
      <c r="AC242" s="57" t="str">
        <f t="shared" si="114"/>
        <v>NC</v>
      </c>
      <c r="AD242" s="124"/>
      <c r="AE242" s="123" t="str">
        <f t="shared" si="115"/>
        <v>NC</v>
      </c>
      <c r="AF242" s="123" t="str">
        <f t="shared" si="116"/>
        <v>NC</v>
      </c>
      <c r="AG242" s="123" t="str">
        <f t="shared" si="117"/>
        <v>NC</v>
      </c>
      <c r="AH242" s="123" t="str">
        <f t="shared" si="118"/>
        <v>NC</v>
      </c>
      <c r="AI242" s="123" t="str">
        <f t="shared" si="119"/>
        <v>NC</v>
      </c>
      <c r="AJ242" s="123" t="str">
        <f t="shared" si="120"/>
        <v>NC</v>
      </c>
      <c r="AK242" s="123" t="str">
        <f t="shared" si="121"/>
        <v>NC</v>
      </c>
      <c r="AM242" s="151">
        <f t="shared" si="108"/>
        <v>0</v>
      </c>
      <c r="AN242" s="152"/>
      <c r="AO242" s="124"/>
      <c r="AP242" s="141" t="s">
        <v>643</v>
      </c>
      <c r="AQ242" s="141" t="s">
        <v>643</v>
      </c>
      <c r="AR242" s="124"/>
      <c r="AS242" s="143" t="s">
        <v>1302</v>
      </c>
      <c r="AT242" s="143" t="s">
        <v>949</v>
      </c>
      <c r="AU242" s="143" t="s">
        <v>1318</v>
      </c>
    </row>
    <row r="243" spans="1:47" s="138" customFormat="1" ht="14.4" customHeight="1" x14ac:dyDescent="0.3">
      <c r="A243" s="121" t="s">
        <v>621</v>
      </c>
      <c r="B243" s="117" t="s">
        <v>1443</v>
      </c>
      <c r="C243" s="121" t="s">
        <v>551</v>
      </c>
      <c r="D243" s="123" t="s">
        <v>46</v>
      </c>
      <c r="E243" s="123"/>
      <c r="F243" s="244" t="s">
        <v>630</v>
      </c>
      <c r="G243" s="120"/>
      <c r="H243" s="120" t="s">
        <v>30</v>
      </c>
      <c r="I243" s="145"/>
      <c r="J243" s="146"/>
      <c r="K243" s="154"/>
      <c r="L243" s="133"/>
      <c r="M243" s="148"/>
      <c r="N243" s="149" t="s">
        <v>596</v>
      </c>
      <c r="O243" s="150"/>
      <c r="P243" s="57" t="s">
        <v>30</v>
      </c>
      <c r="Q243" s="57" t="s">
        <v>30</v>
      </c>
      <c r="R243" s="116" t="s">
        <v>30</v>
      </c>
      <c r="S243" s="118" t="s">
        <v>30</v>
      </c>
      <c r="T243" s="57" t="s">
        <v>30</v>
      </c>
      <c r="U243" s="57" t="s">
        <v>30</v>
      </c>
      <c r="V243" s="34" t="s">
        <v>30</v>
      </c>
      <c r="W243" s="137" t="str">
        <f t="shared" si="109"/>
        <v>NC</v>
      </c>
      <c r="X243" s="57" t="str">
        <f t="shared" si="122"/>
        <v>NC</v>
      </c>
      <c r="Y243" s="57" t="str">
        <f t="shared" si="110"/>
        <v>NC</v>
      </c>
      <c r="Z243" s="57" t="str">
        <f t="shared" si="111"/>
        <v>NC</v>
      </c>
      <c r="AA243" s="57" t="str">
        <f t="shared" si="112"/>
        <v>NC</v>
      </c>
      <c r="AB243" s="57" t="str">
        <f t="shared" si="113"/>
        <v>NC</v>
      </c>
      <c r="AC243" s="57" t="str">
        <f t="shared" si="114"/>
        <v>NC</v>
      </c>
      <c r="AD243" s="124"/>
      <c r="AE243" s="123" t="str">
        <f t="shared" si="115"/>
        <v>NC</v>
      </c>
      <c r="AF243" s="123" t="str">
        <f t="shared" si="116"/>
        <v>NC</v>
      </c>
      <c r="AG243" s="123" t="str">
        <f t="shared" si="117"/>
        <v>NC</v>
      </c>
      <c r="AH243" s="123" t="str">
        <f t="shared" si="118"/>
        <v>NC</v>
      </c>
      <c r="AI243" s="123" t="str">
        <f t="shared" si="119"/>
        <v>NC</v>
      </c>
      <c r="AJ243" s="123" t="str">
        <f t="shared" si="120"/>
        <v>NC</v>
      </c>
      <c r="AK243" s="123" t="str">
        <f t="shared" si="121"/>
        <v>NC</v>
      </c>
      <c r="AM243" s="151">
        <f t="shared" si="108"/>
        <v>0</v>
      </c>
      <c r="AN243" s="152"/>
      <c r="AO243" s="124"/>
      <c r="AP243" s="141" t="s">
        <v>643</v>
      </c>
      <c r="AQ243" s="141" t="s">
        <v>643</v>
      </c>
      <c r="AR243" s="124"/>
      <c r="AS243" s="143" t="s">
        <v>1302</v>
      </c>
      <c r="AT243" s="143" t="s">
        <v>949</v>
      </c>
      <c r="AU243" s="143" t="s">
        <v>1318</v>
      </c>
    </row>
    <row r="244" spans="1:47" s="138" customFormat="1" ht="14.4" customHeight="1" x14ac:dyDescent="0.3">
      <c r="A244" s="117" t="s">
        <v>147</v>
      </c>
      <c r="B244" s="117" t="s">
        <v>1126</v>
      </c>
      <c r="C244" s="121" t="s">
        <v>552</v>
      </c>
      <c r="D244" s="116" t="s">
        <v>46</v>
      </c>
      <c r="E244" s="116"/>
      <c r="F244" s="244" t="s">
        <v>611</v>
      </c>
      <c r="G244" s="120"/>
      <c r="H244" s="120" t="s">
        <v>30</v>
      </c>
      <c r="I244" s="134">
        <v>67500000</v>
      </c>
      <c r="J244" s="131">
        <v>2018</v>
      </c>
      <c r="K244" s="154"/>
      <c r="L244" s="133" t="s">
        <v>1022</v>
      </c>
      <c r="M244" s="134"/>
      <c r="N244" s="149" t="s">
        <v>596</v>
      </c>
      <c r="O244" s="136"/>
      <c r="P244" s="57" t="s">
        <v>30</v>
      </c>
      <c r="Q244" s="57" t="s">
        <v>30</v>
      </c>
      <c r="R244" s="57">
        <v>43859</v>
      </c>
      <c r="S244" s="118" t="s">
        <v>30</v>
      </c>
      <c r="T244" s="57" t="s">
        <v>30</v>
      </c>
      <c r="U244" s="57" t="s">
        <v>30</v>
      </c>
      <c r="V244" s="34" t="s">
        <v>30</v>
      </c>
      <c r="W244" s="137" t="str">
        <f t="shared" si="109"/>
        <v>NC</v>
      </c>
      <c r="X244" s="57" t="str">
        <f t="shared" si="122"/>
        <v>NC</v>
      </c>
      <c r="Y244" s="57">
        <f t="shared" si="110"/>
        <v>44224</v>
      </c>
      <c r="Z244" s="57" t="str">
        <f t="shared" si="111"/>
        <v>NC</v>
      </c>
      <c r="AA244" s="57" t="str">
        <f t="shared" si="112"/>
        <v>NC</v>
      </c>
      <c r="AB244" s="57" t="str">
        <f t="shared" si="113"/>
        <v>NC</v>
      </c>
      <c r="AC244" s="57" t="str">
        <f t="shared" si="114"/>
        <v>NC</v>
      </c>
      <c r="AD244" s="124"/>
      <c r="AE244" s="123" t="str">
        <f t="shared" si="115"/>
        <v>NC</v>
      </c>
      <c r="AF244" s="123" t="str">
        <f t="shared" si="116"/>
        <v>NC</v>
      </c>
      <c r="AG244" s="123">
        <f t="shared" ca="1" si="117"/>
        <v>-1363</v>
      </c>
      <c r="AH244" s="123" t="str">
        <f t="shared" si="118"/>
        <v>NC</v>
      </c>
      <c r="AI244" s="123" t="str">
        <f t="shared" si="119"/>
        <v>NC</v>
      </c>
      <c r="AJ244" s="123" t="str">
        <f t="shared" si="120"/>
        <v>NC</v>
      </c>
      <c r="AK244" s="123" t="str">
        <f t="shared" si="121"/>
        <v>NC</v>
      </c>
      <c r="AM244" s="151">
        <f t="shared" si="108"/>
        <v>6.4523019904299738E-3</v>
      </c>
      <c r="AN244" s="152"/>
      <c r="AO244" s="124"/>
      <c r="AP244" s="141" t="s">
        <v>643</v>
      </c>
      <c r="AQ244" s="141" t="s">
        <v>643</v>
      </c>
      <c r="AR244" s="124"/>
      <c r="AS244" s="143" t="s">
        <v>1302</v>
      </c>
      <c r="AT244" s="143" t="s">
        <v>1305</v>
      </c>
      <c r="AU244" s="143" t="s">
        <v>1498</v>
      </c>
    </row>
    <row r="245" spans="1:47" s="138" customFormat="1" ht="14.4" customHeight="1" x14ac:dyDescent="0.3">
      <c r="A245" s="117" t="s">
        <v>148</v>
      </c>
      <c r="B245" s="117" t="s">
        <v>1497</v>
      </c>
      <c r="C245" s="121" t="s">
        <v>552</v>
      </c>
      <c r="D245" s="116" t="s">
        <v>46</v>
      </c>
      <c r="E245" s="116"/>
      <c r="F245" s="247" t="s">
        <v>867</v>
      </c>
      <c r="G245" s="120"/>
      <c r="H245" s="120" t="s">
        <v>30</v>
      </c>
      <c r="I245" s="134">
        <v>21475000</v>
      </c>
      <c r="J245" s="131">
        <v>2018</v>
      </c>
      <c r="K245" s="154">
        <v>44866</v>
      </c>
      <c r="L245" s="133">
        <v>43952</v>
      </c>
      <c r="M245" s="134"/>
      <c r="N245" s="149" t="s">
        <v>596</v>
      </c>
      <c r="O245" s="136">
        <v>2</v>
      </c>
      <c r="P245" s="57" t="s">
        <v>30</v>
      </c>
      <c r="Q245" s="57" t="s">
        <v>30</v>
      </c>
      <c r="R245" s="57">
        <v>43663</v>
      </c>
      <c r="S245" s="118" t="s">
        <v>30</v>
      </c>
      <c r="T245" s="57" t="s">
        <v>30</v>
      </c>
      <c r="U245" s="57" t="s">
        <v>30</v>
      </c>
      <c r="V245" s="34" t="s">
        <v>30</v>
      </c>
      <c r="W245" s="137" t="str">
        <f t="shared" si="109"/>
        <v>NC</v>
      </c>
      <c r="X245" s="57" t="str">
        <f t="shared" si="122"/>
        <v>NC</v>
      </c>
      <c r="Y245" s="57">
        <f t="shared" si="110"/>
        <v>44028</v>
      </c>
      <c r="Z245" s="57" t="str">
        <f t="shared" si="111"/>
        <v>NC</v>
      </c>
      <c r="AA245" s="57" t="str">
        <f t="shared" si="112"/>
        <v>NC</v>
      </c>
      <c r="AB245" s="57" t="str">
        <f t="shared" si="113"/>
        <v>NC</v>
      </c>
      <c r="AC245" s="57" t="str">
        <f t="shared" si="114"/>
        <v>NC</v>
      </c>
      <c r="AD245" s="124"/>
      <c r="AE245" s="123" t="str">
        <f t="shared" si="115"/>
        <v>NC</v>
      </c>
      <c r="AF245" s="123" t="str">
        <f t="shared" si="116"/>
        <v>NC</v>
      </c>
      <c r="AG245" s="123">
        <f t="shared" ca="1" si="117"/>
        <v>-1559</v>
      </c>
      <c r="AH245" s="123" t="str">
        <f t="shared" si="118"/>
        <v>NC</v>
      </c>
      <c r="AI245" s="123" t="str">
        <f t="shared" si="119"/>
        <v>NC</v>
      </c>
      <c r="AJ245" s="123" t="str">
        <f t="shared" si="120"/>
        <v>NC</v>
      </c>
      <c r="AK245" s="123" t="str">
        <f t="shared" si="121"/>
        <v>NC</v>
      </c>
      <c r="AM245" s="151">
        <f t="shared" si="108"/>
        <v>2.0527879295479065E-3</v>
      </c>
      <c r="AN245" s="140"/>
      <c r="AO245" s="124"/>
      <c r="AP245" s="141" t="s">
        <v>643</v>
      </c>
      <c r="AQ245" s="141" t="s">
        <v>643</v>
      </c>
      <c r="AR245" s="124"/>
      <c r="AS245" s="143" t="s">
        <v>1302</v>
      </c>
      <c r="AT245" s="143" t="s">
        <v>1305</v>
      </c>
      <c r="AU245" s="143" t="s">
        <v>1499</v>
      </c>
    </row>
    <row r="246" spans="1:47" s="138" customFormat="1" ht="14.4" customHeight="1" x14ac:dyDescent="0.3">
      <c r="A246" s="117" t="s">
        <v>149</v>
      </c>
      <c r="B246" s="117" t="s">
        <v>1497</v>
      </c>
      <c r="C246" s="121" t="s">
        <v>552</v>
      </c>
      <c r="D246" s="116" t="s">
        <v>46</v>
      </c>
      <c r="E246" s="116"/>
      <c r="F246" s="247" t="s">
        <v>868</v>
      </c>
      <c r="G246" s="120"/>
      <c r="H246" s="120" t="s">
        <v>30</v>
      </c>
      <c r="I246" s="134">
        <v>21475000</v>
      </c>
      <c r="J246" s="131">
        <v>2018</v>
      </c>
      <c r="K246" s="154">
        <v>44866</v>
      </c>
      <c r="L246" s="133">
        <v>43862</v>
      </c>
      <c r="M246" s="134"/>
      <c r="N246" s="149" t="s">
        <v>596</v>
      </c>
      <c r="O246" s="136">
        <v>11</v>
      </c>
      <c r="P246" s="57" t="s">
        <v>30</v>
      </c>
      <c r="Q246" s="57" t="s">
        <v>30</v>
      </c>
      <c r="R246" s="57">
        <v>43663</v>
      </c>
      <c r="S246" s="118" t="s">
        <v>30</v>
      </c>
      <c r="T246" s="57" t="s">
        <v>30</v>
      </c>
      <c r="U246" s="57" t="s">
        <v>30</v>
      </c>
      <c r="V246" s="34" t="s">
        <v>30</v>
      </c>
      <c r="W246" s="137" t="str">
        <f t="shared" si="109"/>
        <v>NC</v>
      </c>
      <c r="X246" s="57" t="str">
        <f t="shared" si="122"/>
        <v>NC</v>
      </c>
      <c r="Y246" s="57">
        <f t="shared" si="110"/>
        <v>44028</v>
      </c>
      <c r="Z246" s="57" t="str">
        <f t="shared" si="111"/>
        <v>NC</v>
      </c>
      <c r="AA246" s="57" t="str">
        <f t="shared" si="112"/>
        <v>NC</v>
      </c>
      <c r="AB246" s="57" t="str">
        <f t="shared" si="113"/>
        <v>NC</v>
      </c>
      <c r="AC246" s="57" t="str">
        <f t="shared" si="114"/>
        <v>NC</v>
      </c>
      <c r="AD246" s="124"/>
      <c r="AE246" s="123" t="str">
        <f t="shared" si="115"/>
        <v>NC</v>
      </c>
      <c r="AF246" s="123" t="str">
        <f t="shared" si="116"/>
        <v>NC</v>
      </c>
      <c r="AG246" s="123">
        <f t="shared" ca="1" si="117"/>
        <v>-1559</v>
      </c>
      <c r="AH246" s="123" t="str">
        <f t="shared" si="118"/>
        <v>NC</v>
      </c>
      <c r="AI246" s="123" t="str">
        <f t="shared" si="119"/>
        <v>NC</v>
      </c>
      <c r="AJ246" s="123" t="str">
        <f t="shared" si="120"/>
        <v>NC</v>
      </c>
      <c r="AK246" s="123" t="str">
        <f t="shared" si="121"/>
        <v>NC</v>
      </c>
      <c r="AM246" s="151">
        <f t="shared" ref="AM246:AM277" si="123">I246*($AM$3-J246)/$I$4</f>
        <v>2.0527879295479065E-3</v>
      </c>
      <c r="AN246" s="140"/>
      <c r="AO246" s="124"/>
      <c r="AP246" s="141" t="s">
        <v>643</v>
      </c>
      <c r="AQ246" s="141" t="s">
        <v>643</v>
      </c>
      <c r="AR246" s="124"/>
      <c r="AS246" s="143" t="s">
        <v>1302</v>
      </c>
      <c r="AT246" s="143" t="s">
        <v>1305</v>
      </c>
      <c r="AU246" s="143" t="s">
        <v>1499</v>
      </c>
    </row>
    <row r="247" spans="1:47" s="124" customFormat="1" ht="14.4" customHeight="1" x14ac:dyDescent="0.3">
      <c r="A247" s="116" t="s">
        <v>668</v>
      </c>
      <c r="B247" s="116" t="s">
        <v>1126</v>
      </c>
      <c r="C247" s="117" t="s">
        <v>552</v>
      </c>
      <c r="D247" s="116" t="s">
        <v>46</v>
      </c>
      <c r="E247" s="116"/>
      <c r="F247" s="239" t="s">
        <v>869</v>
      </c>
      <c r="G247" s="120"/>
      <c r="H247" s="120" t="s">
        <v>30</v>
      </c>
      <c r="I247" s="134">
        <v>67500000</v>
      </c>
      <c r="J247" s="120">
        <v>2018</v>
      </c>
      <c r="K247" s="132"/>
      <c r="L247" s="158">
        <v>43952</v>
      </c>
      <c r="M247" s="116"/>
      <c r="N247" s="135" t="s">
        <v>596</v>
      </c>
      <c r="O247" s="116"/>
      <c r="P247" s="57" t="s">
        <v>30</v>
      </c>
      <c r="Q247" s="57" t="s">
        <v>30</v>
      </c>
      <c r="R247" s="57">
        <v>43599</v>
      </c>
      <c r="S247" s="34" t="s">
        <v>30</v>
      </c>
      <c r="T247" s="57" t="s">
        <v>30</v>
      </c>
      <c r="U247" s="57" t="s">
        <v>30</v>
      </c>
      <c r="V247" s="34" t="s">
        <v>30</v>
      </c>
      <c r="W247" s="137" t="str">
        <f t="shared" si="109"/>
        <v>NC</v>
      </c>
      <c r="X247" s="57" t="str">
        <f t="shared" si="122"/>
        <v>NC</v>
      </c>
      <c r="Y247" s="57">
        <f t="shared" si="110"/>
        <v>43964</v>
      </c>
      <c r="Z247" s="57" t="str">
        <f t="shared" si="111"/>
        <v>NC</v>
      </c>
      <c r="AA247" s="57" t="str">
        <f t="shared" si="112"/>
        <v>NC</v>
      </c>
      <c r="AB247" s="57" t="str">
        <f t="shared" si="113"/>
        <v>NC</v>
      </c>
      <c r="AC247" s="57" t="str">
        <f t="shared" si="114"/>
        <v>NC</v>
      </c>
      <c r="AD247" s="138"/>
      <c r="AE247" s="123" t="str">
        <f t="shared" si="115"/>
        <v>NC</v>
      </c>
      <c r="AF247" s="123" t="str">
        <f t="shared" si="116"/>
        <v>NC</v>
      </c>
      <c r="AG247" s="123">
        <f t="shared" ca="1" si="117"/>
        <v>-1623</v>
      </c>
      <c r="AH247" s="123" t="str">
        <f t="shared" si="118"/>
        <v>NC</v>
      </c>
      <c r="AI247" s="123" t="str">
        <f t="shared" si="119"/>
        <v>NC</v>
      </c>
      <c r="AJ247" s="123" t="str">
        <f t="shared" si="120"/>
        <v>NC</v>
      </c>
      <c r="AK247" s="123" t="str">
        <f t="shared" si="121"/>
        <v>NC</v>
      </c>
      <c r="AL247" s="138"/>
      <c r="AM247" s="139">
        <f t="shared" si="123"/>
        <v>6.4523019904299738E-3</v>
      </c>
      <c r="AN247" s="138"/>
      <c r="AO247" s="138"/>
      <c r="AP247" s="141" t="s">
        <v>643</v>
      </c>
      <c r="AQ247" s="141" t="s">
        <v>643</v>
      </c>
      <c r="AR247" s="138"/>
      <c r="AS247" s="142" t="s">
        <v>1302</v>
      </c>
      <c r="AT247" s="143" t="s">
        <v>1305</v>
      </c>
      <c r="AU247" s="143" t="s">
        <v>1319</v>
      </c>
    </row>
    <row r="248" spans="1:47" s="138" customFormat="1" ht="14.4" customHeight="1" x14ac:dyDescent="0.3">
      <c r="A248" s="117" t="s">
        <v>661</v>
      </c>
      <c r="B248" s="117" t="s">
        <v>1128</v>
      </c>
      <c r="C248" s="117" t="s">
        <v>552</v>
      </c>
      <c r="D248" s="116" t="s">
        <v>46</v>
      </c>
      <c r="E248" s="116"/>
      <c r="F248" s="117" t="s">
        <v>779</v>
      </c>
      <c r="G248" s="120"/>
      <c r="H248" s="120" t="s">
        <v>30</v>
      </c>
      <c r="I248" s="130">
        <v>66000000</v>
      </c>
      <c r="J248" s="131">
        <v>2017</v>
      </c>
      <c r="K248" s="132"/>
      <c r="L248" s="248" t="s">
        <v>1022</v>
      </c>
      <c r="M248" s="135"/>
      <c r="N248" s="135" t="s">
        <v>596</v>
      </c>
      <c r="O248" s="135"/>
      <c r="P248" s="57" t="s">
        <v>30</v>
      </c>
      <c r="Q248" s="57" t="s">
        <v>30</v>
      </c>
      <c r="R248" s="57">
        <v>43590</v>
      </c>
      <c r="S248" s="34" t="s">
        <v>30</v>
      </c>
      <c r="T248" s="57" t="s">
        <v>30</v>
      </c>
      <c r="U248" s="57" t="s">
        <v>30</v>
      </c>
      <c r="V248" s="34" t="s">
        <v>30</v>
      </c>
      <c r="W248" s="137" t="str">
        <f t="shared" si="109"/>
        <v>NC</v>
      </c>
      <c r="X248" s="57" t="str">
        <f t="shared" si="122"/>
        <v>NC</v>
      </c>
      <c r="Y248" s="57">
        <f t="shared" si="110"/>
        <v>43955</v>
      </c>
      <c r="Z248" s="57" t="str">
        <f t="shared" si="111"/>
        <v>NC</v>
      </c>
      <c r="AA248" s="57" t="str">
        <f t="shared" si="112"/>
        <v>NC</v>
      </c>
      <c r="AB248" s="57" t="str">
        <f t="shared" si="113"/>
        <v>NC</v>
      </c>
      <c r="AC248" s="57" t="str">
        <f t="shared" si="114"/>
        <v>NC</v>
      </c>
      <c r="AE248" s="123" t="str">
        <f t="shared" si="115"/>
        <v>NC</v>
      </c>
      <c r="AF248" s="123" t="str">
        <f t="shared" si="116"/>
        <v>NC</v>
      </c>
      <c r="AG248" s="123">
        <f t="shared" ca="1" si="117"/>
        <v>-1632</v>
      </c>
      <c r="AH248" s="123" t="str">
        <f t="shared" si="118"/>
        <v>NC</v>
      </c>
      <c r="AI248" s="123" t="str">
        <f t="shared" si="119"/>
        <v>NC</v>
      </c>
      <c r="AJ248" s="123" t="str">
        <f t="shared" si="120"/>
        <v>NC</v>
      </c>
      <c r="AK248" s="123" t="str">
        <f t="shared" si="121"/>
        <v>NC</v>
      </c>
      <c r="AM248" s="139">
        <f t="shared" si="123"/>
        <v>1.0109470213653415E-2</v>
      </c>
      <c r="AN248" s="140"/>
      <c r="AP248" s="141" t="s">
        <v>643</v>
      </c>
      <c r="AQ248" s="141" t="s">
        <v>643</v>
      </c>
      <c r="AS248" s="142" t="s">
        <v>1169</v>
      </c>
      <c r="AT248" s="143" t="s">
        <v>1308</v>
      </c>
      <c r="AU248" s="143" t="s">
        <v>1320</v>
      </c>
    </row>
    <row r="249" spans="1:47" s="124" customFormat="1" ht="14.4" customHeight="1" x14ac:dyDescent="0.3">
      <c r="A249" s="116" t="s">
        <v>785</v>
      </c>
      <c r="B249" s="116" t="s">
        <v>1127</v>
      </c>
      <c r="C249" s="117" t="s">
        <v>552</v>
      </c>
      <c r="D249" s="116" t="s">
        <v>357</v>
      </c>
      <c r="E249" s="116"/>
      <c r="F249" s="239" t="s">
        <v>872</v>
      </c>
      <c r="G249" s="120"/>
      <c r="H249" s="120" t="s">
        <v>30</v>
      </c>
      <c r="I249" s="134">
        <v>16500000</v>
      </c>
      <c r="J249" s="120">
        <v>2019</v>
      </c>
      <c r="K249" s="132"/>
      <c r="L249" s="157"/>
      <c r="M249" s="116"/>
      <c r="N249" s="135" t="s">
        <v>595</v>
      </c>
      <c r="O249" s="116"/>
      <c r="P249" s="57" t="s">
        <v>30</v>
      </c>
      <c r="Q249" s="57" t="s">
        <v>30</v>
      </c>
      <c r="R249" s="57">
        <v>43762</v>
      </c>
      <c r="S249" s="34" t="s">
        <v>30</v>
      </c>
      <c r="T249" s="57" t="s">
        <v>30</v>
      </c>
      <c r="U249" s="57" t="s">
        <v>30</v>
      </c>
      <c r="V249" s="34" t="s">
        <v>30</v>
      </c>
      <c r="W249" s="137" t="str">
        <f t="shared" si="109"/>
        <v>NC</v>
      </c>
      <c r="X249" s="57" t="str">
        <f t="shared" si="122"/>
        <v>NC</v>
      </c>
      <c r="Y249" s="57">
        <f t="shared" si="110"/>
        <v>44127</v>
      </c>
      <c r="Z249" s="57" t="str">
        <f t="shared" si="111"/>
        <v>NC</v>
      </c>
      <c r="AA249" s="57" t="str">
        <f t="shared" si="112"/>
        <v>NC</v>
      </c>
      <c r="AB249" s="57" t="str">
        <f t="shared" si="113"/>
        <v>NC</v>
      </c>
      <c r="AC249" s="57" t="str">
        <f t="shared" si="114"/>
        <v>NC</v>
      </c>
      <c r="AD249" s="138"/>
      <c r="AE249" s="123" t="str">
        <f t="shared" si="115"/>
        <v>NC</v>
      </c>
      <c r="AF249" s="123" t="str">
        <f t="shared" si="116"/>
        <v>NC</v>
      </c>
      <c r="AG249" s="123">
        <f t="shared" ca="1" si="117"/>
        <v>-1460</v>
      </c>
      <c r="AH249" s="123" t="str">
        <f t="shared" si="118"/>
        <v>NC</v>
      </c>
      <c r="AI249" s="123" t="str">
        <f t="shared" si="119"/>
        <v>NC</v>
      </c>
      <c r="AJ249" s="123" t="str">
        <f t="shared" si="120"/>
        <v>NC</v>
      </c>
      <c r="AK249" s="123" t="str">
        <f t="shared" si="121"/>
        <v>NC</v>
      </c>
      <c r="AL249" s="138"/>
      <c r="AM249" s="139">
        <f t="shared" si="123"/>
        <v>6.2709119746352218E-4</v>
      </c>
      <c r="AN249" s="138"/>
      <c r="AO249" s="138"/>
      <c r="AP249" s="141" t="s">
        <v>643</v>
      </c>
      <c r="AQ249" s="141" t="s">
        <v>643</v>
      </c>
      <c r="AR249" s="138"/>
      <c r="AS249" s="142" t="s">
        <v>1302</v>
      </c>
      <c r="AT249" s="143" t="s">
        <v>1305</v>
      </c>
      <c r="AU249" s="143" t="s">
        <v>1306</v>
      </c>
    </row>
    <row r="250" spans="1:47" s="124" customFormat="1" ht="14.4" customHeight="1" x14ac:dyDescent="0.3">
      <c r="A250" s="117" t="s">
        <v>987</v>
      </c>
      <c r="B250" s="117" t="s">
        <v>1442</v>
      </c>
      <c r="C250" s="117" t="s">
        <v>622</v>
      </c>
      <c r="D250" s="116" t="s">
        <v>357</v>
      </c>
      <c r="E250" s="116"/>
      <c r="F250" s="239" t="s">
        <v>988</v>
      </c>
      <c r="G250" s="120"/>
      <c r="H250" s="120" t="s">
        <v>30</v>
      </c>
      <c r="I250" s="134">
        <v>18366000</v>
      </c>
      <c r="J250" s="131">
        <v>2019</v>
      </c>
      <c r="K250" s="132"/>
      <c r="L250" s="133">
        <v>43862</v>
      </c>
      <c r="M250" s="134"/>
      <c r="N250" s="135" t="s">
        <v>596</v>
      </c>
      <c r="O250" s="136"/>
      <c r="P250" s="57" t="s">
        <v>30</v>
      </c>
      <c r="Q250" s="57" t="s">
        <v>30</v>
      </c>
      <c r="R250" s="57" t="s">
        <v>30</v>
      </c>
      <c r="S250" s="34" t="s">
        <v>30</v>
      </c>
      <c r="T250" s="57" t="s">
        <v>30</v>
      </c>
      <c r="U250" s="57" t="s">
        <v>30</v>
      </c>
      <c r="V250" s="34" t="s">
        <v>30</v>
      </c>
      <c r="W250" s="137" t="str">
        <f t="shared" si="109"/>
        <v>NC</v>
      </c>
      <c r="X250" s="57" t="str">
        <f t="shared" si="122"/>
        <v>NC</v>
      </c>
      <c r="Y250" s="57" t="str">
        <f t="shared" si="110"/>
        <v>NC</v>
      </c>
      <c r="Z250" s="57" t="str">
        <f t="shared" si="111"/>
        <v>NC</v>
      </c>
      <c r="AA250" s="57" t="str">
        <f t="shared" si="112"/>
        <v>NC</v>
      </c>
      <c r="AB250" s="57" t="str">
        <f t="shared" si="113"/>
        <v>NC</v>
      </c>
      <c r="AC250" s="57" t="str">
        <f t="shared" si="114"/>
        <v>NC</v>
      </c>
      <c r="AD250" s="138"/>
      <c r="AE250" s="116" t="str">
        <f t="shared" si="115"/>
        <v>NC</v>
      </c>
      <c r="AF250" s="116" t="str">
        <f t="shared" si="116"/>
        <v>NC</v>
      </c>
      <c r="AG250" s="116" t="str">
        <f t="shared" si="117"/>
        <v>NC</v>
      </c>
      <c r="AH250" s="116" t="str">
        <f t="shared" si="118"/>
        <v>NC</v>
      </c>
      <c r="AI250" s="116" t="str">
        <f t="shared" si="119"/>
        <v>NC</v>
      </c>
      <c r="AJ250" s="116" t="str">
        <f t="shared" si="120"/>
        <v>NC</v>
      </c>
      <c r="AK250" s="116" t="str">
        <f t="shared" si="121"/>
        <v>NC</v>
      </c>
      <c r="AL250" s="138"/>
      <c r="AM250" s="139">
        <f t="shared" si="123"/>
        <v>6.9800951106757875E-4</v>
      </c>
      <c r="AN250" s="138"/>
      <c r="AO250" s="138"/>
      <c r="AP250" s="141" t="s">
        <v>643</v>
      </c>
      <c r="AQ250" s="141" t="s">
        <v>643</v>
      </c>
      <c r="AR250" s="138"/>
      <c r="AS250" s="142" t="s">
        <v>1302</v>
      </c>
      <c r="AT250" s="142" t="s">
        <v>1444</v>
      </c>
      <c r="AU250" s="142" t="s">
        <v>1445</v>
      </c>
    </row>
    <row r="251" spans="1:47" s="124" customFormat="1" ht="14.4" customHeight="1" x14ac:dyDescent="0.3">
      <c r="A251" s="117" t="s">
        <v>989</v>
      </c>
      <c r="B251" s="117" t="s">
        <v>1442</v>
      </c>
      <c r="C251" s="117" t="s">
        <v>622</v>
      </c>
      <c r="D251" s="116" t="s">
        <v>357</v>
      </c>
      <c r="E251" s="116"/>
      <c r="F251" s="239" t="s">
        <v>990</v>
      </c>
      <c r="G251" s="120"/>
      <c r="H251" s="120" t="s">
        <v>30</v>
      </c>
      <c r="I251" s="134">
        <v>18366000</v>
      </c>
      <c r="J251" s="131">
        <v>2019</v>
      </c>
      <c r="K251" s="132"/>
      <c r="L251" s="133">
        <v>43862</v>
      </c>
      <c r="M251" s="134"/>
      <c r="N251" s="135" t="s">
        <v>596</v>
      </c>
      <c r="O251" s="136"/>
      <c r="P251" s="57" t="s">
        <v>30</v>
      </c>
      <c r="Q251" s="57" t="s">
        <v>30</v>
      </c>
      <c r="R251" s="57" t="s">
        <v>30</v>
      </c>
      <c r="S251" s="34" t="s">
        <v>30</v>
      </c>
      <c r="T251" s="57" t="s">
        <v>30</v>
      </c>
      <c r="U251" s="57" t="s">
        <v>30</v>
      </c>
      <c r="V251" s="34" t="s">
        <v>30</v>
      </c>
      <c r="W251" s="137" t="str">
        <f t="shared" si="109"/>
        <v>NC</v>
      </c>
      <c r="X251" s="57" t="str">
        <f t="shared" si="122"/>
        <v>NC</v>
      </c>
      <c r="Y251" s="57" t="str">
        <f t="shared" si="110"/>
        <v>NC</v>
      </c>
      <c r="Z251" s="57" t="str">
        <f t="shared" si="111"/>
        <v>NC</v>
      </c>
      <c r="AA251" s="57" t="str">
        <f t="shared" si="112"/>
        <v>NC</v>
      </c>
      <c r="AB251" s="57" t="str">
        <f t="shared" si="113"/>
        <v>NC</v>
      </c>
      <c r="AC251" s="57" t="str">
        <f t="shared" si="114"/>
        <v>NC</v>
      </c>
      <c r="AD251" s="138"/>
      <c r="AE251" s="116" t="str">
        <f t="shared" si="115"/>
        <v>NC</v>
      </c>
      <c r="AF251" s="116" t="str">
        <f t="shared" si="116"/>
        <v>NC</v>
      </c>
      <c r="AG251" s="116" t="str">
        <f t="shared" si="117"/>
        <v>NC</v>
      </c>
      <c r="AH251" s="116" t="str">
        <f t="shared" si="118"/>
        <v>NC</v>
      </c>
      <c r="AI251" s="116" t="str">
        <f t="shared" si="119"/>
        <v>NC</v>
      </c>
      <c r="AJ251" s="116" t="str">
        <f t="shared" si="120"/>
        <v>NC</v>
      </c>
      <c r="AK251" s="116" t="str">
        <f t="shared" si="121"/>
        <v>NC</v>
      </c>
      <c r="AL251" s="138"/>
      <c r="AM251" s="139">
        <f t="shared" si="123"/>
        <v>6.9800951106757875E-4</v>
      </c>
      <c r="AN251" s="138"/>
      <c r="AO251" s="138"/>
      <c r="AP251" s="141" t="s">
        <v>643</v>
      </c>
      <c r="AQ251" s="141" t="s">
        <v>643</v>
      </c>
      <c r="AR251" s="138"/>
      <c r="AS251" s="142" t="s">
        <v>1302</v>
      </c>
      <c r="AT251" s="142" t="s">
        <v>1444</v>
      </c>
      <c r="AU251" s="142" t="s">
        <v>1445</v>
      </c>
    </row>
    <row r="252" spans="1:47" s="124" customFormat="1" ht="14.4" customHeight="1" x14ac:dyDescent="0.3">
      <c r="A252" s="117" t="s">
        <v>110</v>
      </c>
      <c r="B252" s="117" t="s">
        <v>1453</v>
      </c>
      <c r="C252" s="121" t="s">
        <v>553</v>
      </c>
      <c r="D252" s="123" t="s">
        <v>46</v>
      </c>
      <c r="E252" s="123"/>
      <c r="F252" s="121" t="s">
        <v>310</v>
      </c>
      <c r="G252" s="120"/>
      <c r="H252" s="120" t="s">
        <v>30</v>
      </c>
      <c r="I252" s="148"/>
      <c r="J252" s="249">
        <v>2015</v>
      </c>
      <c r="K252" s="154">
        <v>44593</v>
      </c>
      <c r="L252" s="133">
        <v>43831</v>
      </c>
      <c r="M252" s="148"/>
      <c r="N252" s="149" t="s">
        <v>596</v>
      </c>
      <c r="O252" s="150"/>
      <c r="P252" s="57" t="s">
        <v>30</v>
      </c>
      <c r="Q252" s="57" t="s">
        <v>30</v>
      </c>
      <c r="R252" s="116" t="s">
        <v>30</v>
      </c>
      <c r="S252" s="34" t="s">
        <v>30</v>
      </c>
      <c r="T252" s="57" t="s">
        <v>30</v>
      </c>
      <c r="U252" s="57" t="s">
        <v>30</v>
      </c>
      <c r="V252" s="34" t="s">
        <v>30</v>
      </c>
      <c r="W252" s="137" t="str">
        <f t="shared" si="109"/>
        <v>NC</v>
      </c>
      <c r="X252" s="57" t="str">
        <f t="shared" si="122"/>
        <v>NC</v>
      </c>
      <c r="Y252" s="57" t="str">
        <f t="shared" si="110"/>
        <v>NC</v>
      </c>
      <c r="Z252" s="57" t="str">
        <f t="shared" si="111"/>
        <v>NC</v>
      </c>
      <c r="AA252" s="57" t="str">
        <f t="shared" si="112"/>
        <v>NC</v>
      </c>
      <c r="AB252" s="57" t="str">
        <f t="shared" si="113"/>
        <v>NC</v>
      </c>
      <c r="AC252" s="57" t="str">
        <f t="shared" si="114"/>
        <v>NC</v>
      </c>
      <c r="AE252" s="123" t="str">
        <f t="shared" si="115"/>
        <v>NC</v>
      </c>
      <c r="AF252" s="123" t="str">
        <f t="shared" si="116"/>
        <v>NC</v>
      </c>
      <c r="AG252" s="123" t="str">
        <f t="shared" si="117"/>
        <v>NC</v>
      </c>
      <c r="AH252" s="123" t="str">
        <f t="shared" si="118"/>
        <v>NC</v>
      </c>
      <c r="AI252" s="123" t="str">
        <f t="shared" si="119"/>
        <v>NC</v>
      </c>
      <c r="AJ252" s="123" t="str">
        <f t="shared" si="120"/>
        <v>NC</v>
      </c>
      <c r="AK252" s="123" t="str">
        <f t="shared" si="121"/>
        <v>NC</v>
      </c>
      <c r="AL252" s="138"/>
      <c r="AM252" s="151">
        <f t="shared" si="123"/>
        <v>0</v>
      </c>
      <c r="AN252" s="152"/>
      <c r="AP252" s="141" t="s">
        <v>643</v>
      </c>
      <c r="AQ252" s="141" t="s">
        <v>643</v>
      </c>
      <c r="AS252" s="143" t="s">
        <v>1321</v>
      </c>
      <c r="AT252" s="143" t="s">
        <v>1322</v>
      </c>
      <c r="AU252" s="143" t="s">
        <v>1323</v>
      </c>
    </row>
    <row r="253" spans="1:47" s="212" customFormat="1" ht="14.4" customHeight="1" x14ac:dyDescent="0.3">
      <c r="A253" s="116" t="s">
        <v>388</v>
      </c>
      <c r="B253" s="116" t="s">
        <v>1452</v>
      </c>
      <c r="C253" s="121" t="s">
        <v>554</v>
      </c>
      <c r="D253" s="116" t="s">
        <v>46</v>
      </c>
      <c r="E253" s="116"/>
      <c r="F253" s="117" t="s">
        <v>843</v>
      </c>
      <c r="G253" s="120"/>
      <c r="H253" s="120" t="s">
        <v>30</v>
      </c>
      <c r="I253" s="134"/>
      <c r="J253" s="131">
        <v>2009</v>
      </c>
      <c r="K253" s="154"/>
      <c r="L253" s="162">
        <v>43952</v>
      </c>
      <c r="M253" s="116"/>
      <c r="N253" s="149" t="s">
        <v>596</v>
      </c>
      <c r="O253" s="136"/>
      <c r="P253" s="57" t="s">
        <v>30</v>
      </c>
      <c r="Q253" s="57" t="s">
        <v>30</v>
      </c>
      <c r="R253" s="57" t="s">
        <v>30</v>
      </c>
      <c r="S253" s="34" t="s">
        <v>30</v>
      </c>
      <c r="T253" s="57" t="s">
        <v>30</v>
      </c>
      <c r="U253" s="57" t="s">
        <v>30</v>
      </c>
      <c r="V253" s="34" t="s">
        <v>30</v>
      </c>
      <c r="W253" s="137" t="str">
        <f t="shared" si="109"/>
        <v>NC</v>
      </c>
      <c r="X253" s="57" t="str">
        <f t="shared" si="122"/>
        <v>NC</v>
      </c>
      <c r="Y253" s="57" t="str">
        <f t="shared" si="110"/>
        <v>NC</v>
      </c>
      <c r="Z253" s="57" t="str">
        <f t="shared" si="111"/>
        <v>NC</v>
      </c>
      <c r="AA253" s="57" t="str">
        <f t="shared" si="112"/>
        <v>NC</v>
      </c>
      <c r="AB253" s="57" t="str">
        <f t="shared" si="113"/>
        <v>NC</v>
      </c>
      <c r="AC253" s="57" t="str">
        <f t="shared" si="114"/>
        <v>NC</v>
      </c>
      <c r="AD253" s="138"/>
      <c r="AE253" s="123" t="str">
        <f t="shared" si="115"/>
        <v>NC</v>
      </c>
      <c r="AF253" s="123" t="str">
        <f t="shared" si="116"/>
        <v>NC</v>
      </c>
      <c r="AG253" s="123" t="str">
        <f t="shared" si="117"/>
        <v>NC</v>
      </c>
      <c r="AH253" s="123" t="str">
        <f t="shared" si="118"/>
        <v>NC</v>
      </c>
      <c r="AI253" s="123" t="str">
        <f t="shared" si="119"/>
        <v>NC</v>
      </c>
      <c r="AJ253" s="123" t="str">
        <f t="shared" si="120"/>
        <v>NC</v>
      </c>
      <c r="AK253" s="123" t="str">
        <f t="shared" si="121"/>
        <v>NC</v>
      </c>
      <c r="AL253" s="138"/>
      <c r="AM253" s="151">
        <f t="shared" si="123"/>
        <v>0</v>
      </c>
      <c r="AN253" s="138"/>
      <c r="AO253" s="138"/>
      <c r="AP253" s="141" t="s">
        <v>643</v>
      </c>
      <c r="AQ253" s="141" t="s">
        <v>643</v>
      </c>
      <c r="AR253" s="138"/>
      <c r="AS253" s="142" t="s">
        <v>1321</v>
      </c>
      <c r="AT253" s="143" t="s">
        <v>1322</v>
      </c>
      <c r="AU253" s="143" t="s">
        <v>1323</v>
      </c>
    </row>
    <row r="254" spans="1:47" s="138" customFormat="1" ht="14.4" customHeight="1" x14ac:dyDescent="0.3">
      <c r="A254" s="117" t="s">
        <v>111</v>
      </c>
      <c r="B254" s="117" t="s">
        <v>1451</v>
      </c>
      <c r="C254" s="121" t="s">
        <v>554</v>
      </c>
      <c r="D254" s="123" t="s">
        <v>46</v>
      </c>
      <c r="E254" s="123"/>
      <c r="F254" s="121" t="s">
        <v>311</v>
      </c>
      <c r="G254" s="120"/>
      <c r="H254" s="120" t="s">
        <v>30</v>
      </c>
      <c r="I254" s="148"/>
      <c r="J254" s="249">
        <v>2013</v>
      </c>
      <c r="K254" s="154">
        <v>44409</v>
      </c>
      <c r="L254" s="133">
        <v>43952</v>
      </c>
      <c r="M254" s="148"/>
      <c r="N254" s="149" t="s">
        <v>596</v>
      </c>
      <c r="O254" s="150"/>
      <c r="P254" s="57" t="s">
        <v>30</v>
      </c>
      <c r="Q254" s="57" t="s">
        <v>30</v>
      </c>
      <c r="R254" s="116" t="s">
        <v>30</v>
      </c>
      <c r="S254" s="34" t="s">
        <v>30</v>
      </c>
      <c r="T254" s="57" t="s">
        <v>30</v>
      </c>
      <c r="U254" s="57" t="s">
        <v>30</v>
      </c>
      <c r="V254" s="34" t="s">
        <v>30</v>
      </c>
      <c r="W254" s="137" t="str">
        <f t="shared" ref="W254:W285" si="124">IF(P254="NC","NC",IF(P254="","erreur",P254+365))</f>
        <v>NC</v>
      </c>
      <c r="X254" s="57" t="str">
        <f t="shared" si="122"/>
        <v>NC</v>
      </c>
      <c r="Y254" s="57" t="str">
        <f t="shared" ref="Y254:Y285" si="125">IF(R254="NC","NC",IF(R254="","erreur",R254+365))</f>
        <v>NC</v>
      </c>
      <c r="Z254" s="57" t="str">
        <f t="shared" ref="Z254:Z285" si="126">IF(S254="NC","NC",IF(S254="","erreur",S254+3650))</f>
        <v>NC</v>
      </c>
      <c r="AA254" s="57" t="str">
        <f t="shared" ref="AA254:AA285" si="127">IF(T254="NC","NC",IF(T254="","erreur",T254+365))</f>
        <v>NC</v>
      </c>
      <c r="AB254" s="57" t="str">
        <f t="shared" ref="AB254:AB285" si="128">IF(U254="NC","NC",IF(U254="","erreur",U254+365))</f>
        <v>NC</v>
      </c>
      <c r="AC254" s="57" t="str">
        <f t="shared" ref="AC254:AC285" si="129">IF(V254="NC","NC",IF(V254="","erreur",V254+730))</f>
        <v>NC</v>
      </c>
      <c r="AD254" s="124"/>
      <c r="AE254" s="123" t="str">
        <f t="shared" ref="AE254:AE285" si="130">IF(W254="NC","NC",IF(W254="erreur","erreur",W254-$F$3))</f>
        <v>NC</v>
      </c>
      <c r="AF254" s="123" t="str">
        <f t="shared" ref="AF254:AF285" si="131">IF(X254="NC","NC",IF(X254="erreur","erreur",X254-$F$3))</f>
        <v>NC</v>
      </c>
      <c r="AG254" s="123" t="str">
        <f t="shared" ref="AG254:AG285" si="132">IF(Y254="NC","NC",IF(Y254="erreur","erreur",Y254-$F$3))</f>
        <v>NC</v>
      </c>
      <c r="AH254" s="123" t="str">
        <f t="shared" ref="AH254:AH285" si="133">IF(Z254="NC","NC",IF(Z254="erreur","erreur",Z254-$F$3))</f>
        <v>NC</v>
      </c>
      <c r="AI254" s="123" t="str">
        <f t="shared" ref="AI254:AI285" si="134">IF(AA254="NC","NC",IF(AA254="erreur","erreur",AA254-$F$3))</f>
        <v>NC</v>
      </c>
      <c r="AJ254" s="123" t="str">
        <f t="shared" ref="AJ254:AJ285" si="135">IF(AB254="NC","NC",IF(AB254="erreur","erreur",AB254-$F$3))</f>
        <v>NC</v>
      </c>
      <c r="AK254" s="123" t="str">
        <f t="shared" ref="AK254:AK285" si="136">IF(AC254="NC","NC",IF(AC254="erreur","erreur",AC254-$F$3))</f>
        <v>NC</v>
      </c>
      <c r="AM254" s="151">
        <f t="shared" si="123"/>
        <v>0</v>
      </c>
      <c r="AN254" s="152"/>
      <c r="AO254" s="124"/>
      <c r="AP254" s="141" t="s">
        <v>643</v>
      </c>
      <c r="AQ254" s="141" t="s">
        <v>643</v>
      </c>
      <c r="AR254" s="124"/>
      <c r="AS254" s="143" t="s">
        <v>1321</v>
      </c>
      <c r="AT254" s="143" t="s">
        <v>1322</v>
      </c>
      <c r="AU254" s="143" t="s">
        <v>1323</v>
      </c>
    </row>
    <row r="255" spans="1:47" s="138" customFormat="1" ht="14.4" customHeight="1" x14ac:dyDescent="0.3">
      <c r="A255" s="26" t="s">
        <v>194</v>
      </c>
      <c r="B255" s="26" t="s">
        <v>1495</v>
      </c>
      <c r="C255" s="121" t="s">
        <v>554</v>
      </c>
      <c r="D255" s="116" t="s">
        <v>46</v>
      </c>
      <c r="E255" s="116"/>
      <c r="F255" s="121" t="s">
        <v>345</v>
      </c>
      <c r="G255" s="120"/>
      <c r="H255" s="120" t="s">
        <v>30</v>
      </c>
      <c r="I255" s="134">
        <v>36600000</v>
      </c>
      <c r="J255" s="131">
        <v>2014</v>
      </c>
      <c r="K255" s="154">
        <v>44866</v>
      </c>
      <c r="L255" s="133" t="s">
        <v>1022</v>
      </c>
      <c r="M255" s="134"/>
      <c r="N255" s="149" t="s">
        <v>596</v>
      </c>
      <c r="O255" s="136"/>
      <c r="P255" s="57" t="s">
        <v>30</v>
      </c>
      <c r="Q255" s="57" t="s">
        <v>30</v>
      </c>
      <c r="R255" s="116" t="s">
        <v>30</v>
      </c>
      <c r="S255" s="57" t="s">
        <v>30</v>
      </c>
      <c r="T255" s="57" t="s">
        <v>30</v>
      </c>
      <c r="U255" s="57" t="s">
        <v>30</v>
      </c>
      <c r="V255" s="34" t="s">
        <v>30</v>
      </c>
      <c r="W255" s="137" t="str">
        <f t="shared" si="124"/>
        <v>NC</v>
      </c>
      <c r="X255" s="57" t="str">
        <f t="shared" si="122"/>
        <v>NC</v>
      </c>
      <c r="Y255" s="57" t="str">
        <f t="shared" si="125"/>
        <v>NC</v>
      </c>
      <c r="Z255" s="57" t="str">
        <f t="shared" si="126"/>
        <v>NC</v>
      </c>
      <c r="AA255" s="57" t="str">
        <f t="shared" si="127"/>
        <v>NC</v>
      </c>
      <c r="AB255" s="57" t="str">
        <f t="shared" si="128"/>
        <v>NC</v>
      </c>
      <c r="AC255" s="57" t="str">
        <f t="shared" si="129"/>
        <v>NC</v>
      </c>
      <c r="AD255" s="124"/>
      <c r="AE255" s="123" t="str">
        <f t="shared" si="130"/>
        <v>NC</v>
      </c>
      <c r="AF255" s="123" t="str">
        <f t="shared" si="131"/>
        <v>NC</v>
      </c>
      <c r="AG255" s="123" t="str">
        <f t="shared" si="132"/>
        <v>NC</v>
      </c>
      <c r="AH255" s="123" t="str">
        <f t="shared" si="133"/>
        <v>NC</v>
      </c>
      <c r="AI255" s="123" t="str">
        <f t="shared" si="134"/>
        <v>NC</v>
      </c>
      <c r="AJ255" s="123" t="str">
        <f t="shared" si="135"/>
        <v>NC</v>
      </c>
      <c r="AK255" s="123" t="str">
        <f t="shared" si="136"/>
        <v>NC</v>
      </c>
      <c r="AM255" s="151">
        <f t="shared" si="123"/>
        <v>1.1928898448277244E-2</v>
      </c>
      <c r="AN255" s="152"/>
      <c r="AO255" s="124"/>
      <c r="AP255" s="141" t="s">
        <v>643</v>
      </c>
      <c r="AQ255" s="141" t="s">
        <v>643</v>
      </c>
      <c r="AR255" s="124"/>
      <c r="AS255" s="143" t="s">
        <v>1324</v>
      </c>
      <c r="AT255" s="143" t="s">
        <v>1496</v>
      </c>
      <c r="AU255" s="143" t="s">
        <v>1325</v>
      </c>
    </row>
    <row r="256" spans="1:47" s="138" customFormat="1" ht="14.4" customHeight="1" x14ac:dyDescent="0.3">
      <c r="A256" s="26" t="s">
        <v>1042</v>
      </c>
      <c r="B256" s="26" t="s">
        <v>1129</v>
      </c>
      <c r="C256" s="117" t="s">
        <v>1051</v>
      </c>
      <c r="D256" s="116" t="s">
        <v>46</v>
      </c>
      <c r="E256" s="116" t="s">
        <v>1049</v>
      </c>
      <c r="F256" s="117" t="s">
        <v>1050</v>
      </c>
      <c r="G256" s="120"/>
      <c r="H256" s="120" t="s">
        <v>30</v>
      </c>
      <c r="I256" s="134">
        <v>185000000</v>
      </c>
      <c r="J256" s="131">
        <v>2013</v>
      </c>
      <c r="K256" s="132"/>
      <c r="L256" s="132"/>
      <c r="M256" s="134"/>
      <c r="N256" s="135" t="s">
        <v>596</v>
      </c>
      <c r="O256" s="136"/>
      <c r="P256" s="57" t="s">
        <v>30</v>
      </c>
      <c r="Q256" s="57" t="s">
        <v>30</v>
      </c>
      <c r="R256" s="116"/>
      <c r="S256" s="57" t="s">
        <v>30</v>
      </c>
      <c r="T256" s="57" t="s">
        <v>30</v>
      </c>
      <c r="U256" s="57" t="s">
        <v>30</v>
      </c>
      <c r="V256" s="34" t="s">
        <v>30</v>
      </c>
      <c r="W256" s="137" t="str">
        <f t="shared" si="124"/>
        <v>NC</v>
      </c>
      <c r="X256" s="57" t="str">
        <f t="shared" si="122"/>
        <v>NC</v>
      </c>
      <c r="Y256" s="57" t="str">
        <f t="shared" si="125"/>
        <v>erreur</v>
      </c>
      <c r="Z256" s="57" t="str">
        <f t="shared" si="126"/>
        <v>NC</v>
      </c>
      <c r="AA256" s="57" t="str">
        <f t="shared" si="127"/>
        <v>NC</v>
      </c>
      <c r="AB256" s="57" t="str">
        <f t="shared" si="128"/>
        <v>NC</v>
      </c>
      <c r="AC256" s="57" t="str">
        <f t="shared" si="129"/>
        <v>NC</v>
      </c>
      <c r="AD256" s="124"/>
      <c r="AE256" s="123" t="str">
        <f t="shared" si="130"/>
        <v>NC</v>
      </c>
      <c r="AF256" s="123" t="str">
        <f t="shared" si="131"/>
        <v>NC</v>
      </c>
      <c r="AG256" s="123" t="str">
        <f t="shared" si="132"/>
        <v>erreur</v>
      </c>
      <c r="AH256" s="123" t="str">
        <f t="shared" si="133"/>
        <v>NC</v>
      </c>
      <c r="AI256" s="123" t="str">
        <f t="shared" si="134"/>
        <v>NC</v>
      </c>
      <c r="AJ256" s="123" t="str">
        <f t="shared" si="135"/>
        <v>NC</v>
      </c>
      <c r="AK256" s="123" t="str">
        <f t="shared" si="136"/>
        <v>NC</v>
      </c>
      <c r="AM256" s="151">
        <f t="shared" si="123"/>
        <v>7.0949409035327773E-2</v>
      </c>
      <c r="AN256" s="140"/>
      <c r="AP256" s="141" t="s">
        <v>643</v>
      </c>
      <c r="AQ256" s="141" t="s">
        <v>643</v>
      </c>
      <c r="AS256" s="142" t="s">
        <v>1326</v>
      </c>
      <c r="AT256" s="142" t="s">
        <v>1327</v>
      </c>
      <c r="AU256" s="142" t="s">
        <v>1328</v>
      </c>
    </row>
    <row r="257" spans="1:47" s="138" customFormat="1" ht="14.4" customHeight="1" x14ac:dyDescent="0.3">
      <c r="A257" s="121" t="s">
        <v>112</v>
      </c>
      <c r="B257" s="117" t="s">
        <v>1130</v>
      </c>
      <c r="C257" s="121" t="s">
        <v>555</v>
      </c>
      <c r="D257" s="123" t="s">
        <v>49</v>
      </c>
      <c r="E257" s="123"/>
      <c r="F257" s="121" t="s">
        <v>312</v>
      </c>
      <c r="G257" s="120"/>
      <c r="H257" s="120" t="s">
        <v>30</v>
      </c>
      <c r="I257" s="145"/>
      <c r="J257" s="146"/>
      <c r="K257" s="154"/>
      <c r="L257" s="133"/>
      <c r="M257" s="148"/>
      <c r="N257" s="149" t="s">
        <v>596</v>
      </c>
      <c r="O257" s="150"/>
      <c r="P257" s="57" t="s">
        <v>30</v>
      </c>
      <c r="Q257" s="57" t="s">
        <v>30</v>
      </c>
      <c r="R257" s="116" t="s">
        <v>30</v>
      </c>
      <c r="S257" s="118" t="s">
        <v>30</v>
      </c>
      <c r="T257" s="57" t="s">
        <v>30</v>
      </c>
      <c r="U257" s="57" t="s">
        <v>30</v>
      </c>
      <c r="V257" s="34" t="s">
        <v>30</v>
      </c>
      <c r="W257" s="137" t="str">
        <f t="shared" si="124"/>
        <v>NC</v>
      </c>
      <c r="X257" s="57" t="str">
        <f t="shared" si="122"/>
        <v>NC</v>
      </c>
      <c r="Y257" s="57" t="str">
        <f t="shared" si="125"/>
        <v>NC</v>
      </c>
      <c r="Z257" s="57" t="str">
        <f t="shared" si="126"/>
        <v>NC</v>
      </c>
      <c r="AA257" s="57" t="str">
        <f t="shared" si="127"/>
        <v>NC</v>
      </c>
      <c r="AB257" s="57" t="str">
        <f t="shared" si="128"/>
        <v>NC</v>
      </c>
      <c r="AC257" s="57" t="str">
        <f t="shared" si="129"/>
        <v>NC</v>
      </c>
      <c r="AD257" s="124"/>
      <c r="AE257" s="123" t="str">
        <f t="shared" si="130"/>
        <v>NC</v>
      </c>
      <c r="AF257" s="123" t="str">
        <f t="shared" si="131"/>
        <v>NC</v>
      </c>
      <c r="AG257" s="123" t="str">
        <f t="shared" si="132"/>
        <v>NC</v>
      </c>
      <c r="AH257" s="123" t="str">
        <f t="shared" si="133"/>
        <v>NC</v>
      </c>
      <c r="AI257" s="123" t="str">
        <f t="shared" si="134"/>
        <v>NC</v>
      </c>
      <c r="AJ257" s="123" t="str">
        <f t="shared" si="135"/>
        <v>NC</v>
      </c>
      <c r="AK257" s="123" t="str">
        <f t="shared" si="136"/>
        <v>NC</v>
      </c>
      <c r="AM257" s="151">
        <f t="shared" si="123"/>
        <v>0</v>
      </c>
      <c r="AN257" s="152"/>
      <c r="AO257" s="124"/>
      <c r="AP257" s="141" t="s">
        <v>643</v>
      </c>
      <c r="AQ257" s="141" t="s">
        <v>643</v>
      </c>
      <c r="AR257" s="124"/>
      <c r="AS257" s="143" t="s">
        <v>1329</v>
      </c>
      <c r="AT257" s="143" t="s">
        <v>951</v>
      </c>
      <c r="AU257" s="143" t="s">
        <v>952</v>
      </c>
    </row>
    <row r="258" spans="1:47" s="138" customFormat="1" ht="14.4" customHeight="1" x14ac:dyDescent="0.3">
      <c r="A258" s="121" t="s">
        <v>113</v>
      </c>
      <c r="B258" s="117" t="s">
        <v>1130</v>
      </c>
      <c r="C258" s="121" t="s">
        <v>555</v>
      </c>
      <c r="D258" s="123" t="s">
        <v>46</v>
      </c>
      <c r="E258" s="123"/>
      <c r="F258" s="121" t="s">
        <v>313</v>
      </c>
      <c r="G258" s="120"/>
      <c r="H258" s="120" t="s">
        <v>30</v>
      </c>
      <c r="I258" s="145"/>
      <c r="J258" s="146"/>
      <c r="K258" s="154"/>
      <c r="L258" s="133"/>
      <c r="M258" s="148"/>
      <c r="N258" s="149" t="s">
        <v>596</v>
      </c>
      <c r="O258" s="150"/>
      <c r="P258" s="57" t="s">
        <v>30</v>
      </c>
      <c r="Q258" s="57" t="s">
        <v>30</v>
      </c>
      <c r="R258" s="116" t="s">
        <v>30</v>
      </c>
      <c r="S258" s="118" t="s">
        <v>30</v>
      </c>
      <c r="T258" s="57" t="s">
        <v>30</v>
      </c>
      <c r="U258" s="57" t="s">
        <v>30</v>
      </c>
      <c r="V258" s="34" t="s">
        <v>30</v>
      </c>
      <c r="W258" s="137" t="str">
        <f t="shared" si="124"/>
        <v>NC</v>
      </c>
      <c r="X258" s="57" t="str">
        <f t="shared" si="122"/>
        <v>NC</v>
      </c>
      <c r="Y258" s="57" t="str">
        <f t="shared" si="125"/>
        <v>NC</v>
      </c>
      <c r="Z258" s="57" t="str">
        <f t="shared" si="126"/>
        <v>NC</v>
      </c>
      <c r="AA258" s="57" t="str">
        <f t="shared" si="127"/>
        <v>NC</v>
      </c>
      <c r="AB258" s="57" t="str">
        <f t="shared" si="128"/>
        <v>NC</v>
      </c>
      <c r="AC258" s="57" t="str">
        <f t="shared" si="129"/>
        <v>NC</v>
      </c>
      <c r="AD258" s="124"/>
      <c r="AE258" s="123" t="str">
        <f t="shared" si="130"/>
        <v>NC</v>
      </c>
      <c r="AF258" s="123" t="str">
        <f t="shared" si="131"/>
        <v>NC</v>
      </c>
      <c r="AG258" s="123" t="str">
        <f t="shared" si="132"/>
        <v>NC</v>
      </c>
      <c r="AH258" s="123" t="str">
        <f t="shared" si="133"/>
        <v>NC</v>
      </c>
      <c r="AI258" s="123" t="str">
        <f t="shared" si="134"/>
        <v>NC</v>
      </c>
      <c r="AJ258" s="123" t="str">
        <f t="shared" si="135"/>
        <v>NC</v>
      </c>
      <c r="AK258" s="123" t="str">
        <f t="shared" si="136"/>
        <v>NC</v>
      </c>
      <c r="AM258" s="151">
        <f t="shared" si="123"/>
        <v>0</v>
      </c>
      <c r="AN258" s="152"/>
      <c r="AO258" s="124"/>
      <c r="AP258" s="141" t="s">
        <v>643</v>
      </c>
      <c r="AQ258" s="141" t="s">
        <v>643</v>
      </c>
      <c r="AR258" s="124"/>
      <c r="AS258" s="143" t="s">
        <v>1329</v>
      </c>
      <c r="AT258" s="143" t="s">
        <v>951</v>
      </c>
      <c r="AU258" s="143" t="s">
        <v>952</v>
      </c>
    </row>
    <row r="259" spans="1:47" s="138" customFormat="1" ht="14.4" customHeight="1" x14ac:dyDescent="0.3">
      <c r="A259" s="116" t="s">
        <v>410</v>
      </c>
      <c r="B259" s="116" t="s">
        <v>369</v>
      </c>
      <c r="C259" s="117" t="s">
        <v>556</v>
      </c>
      <c r="D259" s="116" t="s">
        <v>46</v>
      </c>
      <c r="E259" s="116"/>
      <c r="F259" s="117">
        <v>6108</v>
      </c>
      <c r="G259" s="120"/>
      <c r="H259" s="120" t="s">
        <v>30</v>
      </c>
      <c r="I259" s="134">
        <v>4500000</v>
      </c>
      <c r="J259" s="120">
        <v>2018</v>
      </c>
      <c r="K259" s="154"/>
      <c r="L259" s="162">
        <v>43952</v>
      </c>
      <c r="M259" s="116"/>
      <c r="N259" s="149" t="s">
        <v>596</v>
      </c>
      <c r="O259" s="136"/>
      <c r="P259" s="57" t="s">
        <v>30</v>
      </c>
      <c r="Q259" s="57" t="s">
        <v>30</v>
      </c>
      <c r="R259" s="57" t="s">
        <v>30</v>
      </c>
      <c r="S259" s="34" t="s">
        <v>30</v>
      </c>
      <c r="T259" s="57" t="s">
        <v>30</v>
      </c>
      <c r="U259" s="57" t="s">
        <v>30</v>
      </c>
      <c r="V259" s="34" t="s">
        <v>30</v>
      </c>
      <c r="W259" s="137" t="str">
        <f t="shared" si="124"/>
        <v>NC</v>
      </c>
      <c r="X259" s="57" t="str">
        <f t="shared" si="122"/>
        <v>NC</v>
      </c>
      <c r="Y259" s="57" t="str">
        <f t="shared" si="125"/>
        <v>NC</v>
      </c>
      <c r="Z259" s="57" t="str">
        <f t="shared" si="126"/>
        <v>NC</v>
      </c>
      <c r="AA259" s="57" t="str">
        <f t="shared" si="127"/>
        <v>NC</v>
      </c>
      <c r="AB259" s="57" t="str">
        <f t="shared" si="128"/>
        <v>NC</v>
      </c>
      <c r="AC259" s="57" t="str">
        <f t="shared" si="129"/>
        <v>NC</v>
      </c>
      <c r="AE259" s="123" t="str">
        <f t="shared" si="130"/>
        <v>NC</v>
      </c>
      <c r="AF259" s="123" t="str">
        <f t="shared" si="131"/>
        <v>NC</v>
      </c>
      <c r="AG259" s="123" t="str">
        <f t="shared" si="132"/>
        <v>NC</v>
      </c>
      <c r="AH259" s="123" t="str">
        <f t="shared" si="133"/>
        <v>NC</v>
      </c>
      <c r="AI259" s="123" t="str">
        <f t="shared" si="134"/>
        <v>NC</v>
      </c>
      <c r="AJ259" s="123" t="str">
        <f t="shared" si="135"/>
        <v>NC</v>
      </c>
      <c r="AK259" s="123" t="str">
        <f t="shared" si="136"/>
        <v>NC</v>
      </c>
      <c r="AM259" s="151">
        <f t="shared" si="123"/>
        <v>4.3015346602866494E-4</v>
      </c>
      <c r="AP259" s="141" t="s">
        <v>643</v>
      </c>
      <c r="AQ259" s="141" t="s">
        <v>643</v>
      </c>
      <c r="AS259" s="142" t="s">
        <v>1330</v>
      </c>
      <c r="AT259" s="143" t="s">
        <v>1331</v>
      </c>
      <c r="AU259" s="143" t="s">
        <v>1332</v>
      </c>
    </row>
    <row r="260" spans="1:47" s="124" customFormat="1" ht="14.4" customHeight="1" x14ac:dyDescent="0.3">
      <c r="A260" s="116" t="s">
        <v>370</v>
      </c>
      <c r="B260" s="116" t="s">
        <v>714</v>
      </c>
      <c r="C260" s="117" t="s">
        <v>556</v>
      </c>
      <c r="D260" s="116" t="s">
        <v>46</v>
      </c>
      <c r="E260" s="116"/>
      <c r="F260" s="117" t="s">
        <v>715</v>
      </c>
      <c r="G260" s="120"/>
      <c r="H260" s="120" t="s">
        <v>30</v>
      </c>
      <c r="I260" s="134">
        <v>20500000</v>
      </c>
      <c r="J260" s="120">
        <v>2019</v>
      </c>
      <c r="K260" s="132"/>
      <c r="L260" s="158">
        <v>43952</v>
      </c>
      <c r="M260" s="116"/>
      <c r="N260" s="135" t="s">
        <v>596</v>
      </c>
      <c r="O260" s="116"/>
      <c r="P260" s="57" t="s">
        <v>30</v>
      </c>
      <c r="Q260" s="57" t="s">
        <v>30</v>
      </c>
      <c r="R260" s="57">
        <v>43853</v>
      </c>
      <c r="S260" s="34" t="s">
        <v>30</v>
      </c>
      <c r="T260" s="57" t="s">
        <v>30</v>
      </c>
      <c r="U260" s="57" t="s">
        <v>30</v>
      </c>
      <c r="V260" s="34" t="s">
        <v>30</v>
      </c>
      <c r="W260" s="137" t="str">
        <f t="shared" si="124"/>
        <v>NC</v>
      </c>
      <c r="X260" s="57" t="str">
        <f t="shared" si="122"/>
        <v>NC</v>
      </c>
      <c r="Y260" s="57">
        <f t="shared" si="125"/>
        <v>44218</v>
      </c>
      <c r="Z260" s="57" t="str">
        <f t="shared" si="126"/>
        <v>NC</v>
      </c>
      <c r="AA260" s="57" t="str">
        <f t="shared" si="127"/>
        <v>NC</v>
      </c>
      <c r="AB260" s="57" t="str">
        <f t="shared" si="128"/>
        <v>NC</v>
      </c>
      <c r="AC260" s="57" t="str">
        <f t="shared" si="129"/>
        <v>NC</v>
      </c>
      <c r="AD260" s="138"/>
      <c r="AE260" s="123" t="str">
        <f t="shared" si="130"/>
        <v>NC</v>
      </c>
      <c r="AF260" s="123" t="str">
        <f t="shared" si="131"/>
        <v>NC</v>
      </c>
      <c r="AG260" s="123">
        <f t="shared" ca="1" si="132"/>
        <v>-1369</v>
      </c>
      <c r="AH260" s="123" t="str">
        <f t="shared" si="133"/>
        <v>NC</v>
      </c>
      <c r="AI260" s="123" t="str">
        <f t="shared" si="134"/>
        <v>NC</v>
      </c>
      <c r="AJ260" s="123" t="str">
        <f t="shared" si="135"/>
        <v>NC</v>
      </c>
      <c r="AK260" s="123" t="str">
        <f t="shared" si="136"/>
        <v>NC</v>
      </c>
      <c r="AL260" s="138"/>
      <c r="AM260" s="151">
        <f t="shared" si="123"/>
        <v>7.7911330593952762E-4</v>
      </c>
      <c r="AN260" s="138"/>
      <c r="AO260" s="138"/>
      <c r="AP260" s="141" t="s">
        <v>643</v>
      </c>
      <c r="AQ260" s="141" t="s">
        <v>643</v>
      </c>
      <c r="AR260" s="138"/>
      <c r="AS260" s="142" t="s">
        <v>1333</v>
      </c>
      <c r="AT260" s="143" t="s">
        <v>1334</v>
      </c>
      <c r="AU260" s="143" t="s">
        <v>1335</v>
      </c>
    </row>
    <row r="261" spans="1:47" s="124" customFormat="1" ht="14.4" customHeight="1" x14ac:dyDescent="0.3">
      <c r="A261" s="116" t="s">
        <v>492</v>
      </c>
      <c r="B261" s="241" t="s">
        <v>1131</v>
      </c>
      <c r="C261" s="117" t="s">
        <v>556</v>
      </c>
      <c r="D261" s="116" t="s">
        <v>46</v>
      </c>
      <c r="E261" s="116" t="s">
        <v>931</v>
      </c>
      <c r="F261" s="239" t="s">
        <v>930</v>
      </c>
      <c r="G261" s="120"/>
      <c r="H261" s="120" t="s">
        <v>30</v>
      </c>
      <c r="I261" s="134">
        <v>30000000</v>
      </c>
      <c r="J261" s="120">
        <v>2018</v>
      </c>
      <c r="K261" s="132"/>
      <c r="L261" s="158">
        <v>43891</v>
      </c>
      <c r="M261" s="116"/>
      <c r="N261" s="135" t="s">
        <v>596</v>
      </c>
      <c r="O261" s="116"/>
      <c r="P261" s="57" t="s">
        <v>30</v>
      </c>
      <c r="Q261" s="57" t="s">
        <v>30</v>
      </c>
      <c r="R261" s="57">
        <v>43670</v>
      </c>
      <c r="S261" s="34" t="s">
        <v>30</v>
      </c>
      <c r="T261" s="57" t="s">
        <v>30</v>
      </c>
      <c r="U261" s="57" t="s">
        <v>30</v>
      </c>
      <c r="V261" s="34" t="s">
        <v>30</v>
      </c>
      <c r="W261" s="137" t="str">
        <f t="shared" si="124"/>
        <v>NC</v>
      </c>
      <c r="X261" s="57" t="str">
        <f t="shared" si="122"/>
        <v>NC</v>
      </c>
      <c r="Y261" s="57">
        <f t="shared" si="125"/>
        <v>44035</v>
      </c>
      <c r="Z261" s="57" t="str">
        <f t="shared" si="126"/>
        <v>NC</v>
      </c>
      <c r="AA261" s="57" t="str">
        <f t="shared" si="127"/>
        <v>NC</v>
      </c>
      <c r="AB261" s="57" t="str">
        <f t="shared" si="128"/>
        <v>NC</v>
      </c>
      <c r="AC261" s="57" t="str">
        <f t="shared" si="129"/>
        <v>NC</v>
      </c>
      <c r="AD261" s="138"/>
      <c r="AE261" s="123" t="str">
        <f t="shared" si="130"/>
        <v>NC</v>
      </c>
      <c r="AF261" s="123" t="str">
        <f t="shared" si="131"/>
        <v>NC</v>
      </c>
      <c r="AG261" s="123">
        <f t="shared" ca="1" si="132"/>
        <v>-1552</v>
      </c>
      <c r="AH261" s="123" t="str">
        <f t="shared" si="133"/>
        <v>NC</v>
      </c>
      <c r="AI261" s="123" t="str">
        <f t="shared" si="134"/>
        <v>NC</v>
      </c>
      <c r="AJ261" s="123" t="str">
        <f t="shared" si="135"/>
        <v>NC</v>
      </c>
      <c r="AK261" s="123" t="str">
        <f t="shared" si="136"/>
        <v>NC</v>
      </c>
      <c r="AL261" s="138"/>
      <c r="AM261" s="139">
        <f t="shared" si="123"/>
        <v>2.867689773524433E-3</v>
      </c>
      <c r="AN261" s="138"/>
      <c r="AO261" s="138"/>
      <c r="AP261" s="141" t="s">
        <v>643</v>
      </c>
      <c r="AQ261" s="141" t="s">
        <v>643</v>
      </c>
      <c r="AR261" s="138"/>
      <c r="AS261" s="142" t="s">
        <v>1336</v>
      </c>
      <c r="AT261" s="143" t="s">
        <v>1334</v>
      </c>
      <c r="AU261" s="143" t="s">
        <v>1337</v>
      </c>
    </row>
    <row r="262" spans="1:47" s="124" customFormat="1" ht="14.4" customHeight="1" x14ac:dyDescent="0.3">
      <c r="A262" s="116" t="s">
        <v>1023</v>
      </c>
      <c r="B262" s="116" t="s">
        <v>588</v>
      </c>
      <c r="C262" s="117" t="s">
        <v>589</v>
      </c>
      <c r="D262" s="116" t="s">
        <v>46</v>
      </c>
      <c r="E262" s="116"/>
      <c r="F262" s="239" t="s">
        <v>870</v>
      </c>
      <c r="G262" s="120"/>
      <c r="H262" s="120" t="s">
        <v>30</v>
      </c>
      <c r="I262" s="134">
        <v>1240000000</v>
      </c>
      <c r="J262" s="120">
        <v>2002</v>
      </c>
      <c r="K262" s="132"/>
      <c r="L262" s="157" t="s">
        <v>1022</v>
      </c>
      <c r="M262" s="116"/>
      <c r="N262" s="135" t="s">
        <v>596</v>
      </c>
      <c r="O262" s="116"/>
      <c r="P262" s="57" t="s">
        <v>30</v>
      </c>
      <c r="Q262" s="57" t="s">
        <v>30</v>
      </c>
      <c r="R262" s="57" t="s">
        <v>30</v>
      </c>
      <c r="S262" s="57" t="s">
        <v>30</v>
      </c>
      <c r="T262" s="57" t="s">
        <v>30</v>
      </c>
      <c r="U262" s="57" t="s">
        <v>30</v>
      </c>
      <c r="V262" s="34" t="s">
        <v>30</v>
      </c>
      <c r="W262" s="137" t="str">
        <f t="shared" si="124"/>
        <v>NC</v>
      </c>
      <c r="X262" s="57" t="str">
        <f t="shared" si="122"/>
        <v>NC</v>
      </c>
      <c r="Y262" s="57" t="str">
        <f t="shared" si="125"/>
        <v>NC</v>
      </c>
      <c r="Z262" s="57" t="str">
        <f t="shared" si="126"/>
        <v>NC</v>
      </c>
      <c r="AA262" s="57" t="str">
        <f t="shared" si="127"/>
        <v>NC</v>
      </c>
      <c r="AB262" s="57" t="str">
        <f t="shared" si="128"/>
        <v>NC</v>
      </c>
      <c r="AC262" s="57" t="str">
        <f t="shared" si="129"/>
        <v>NC</v>
      </c>
      <c r="AD262" s="138"/>
      <c r="AE262" s="123" t="str">
        <f t="shared" si="130"/>
        <v>NC</v>
      </c>
      <c r="AF262" s="123" t="str">
        <f t="shared" si="131"/>
        <v>NC</v>
      </c>
      <c r="AG262" s="123" t="str">
        <f t="shared" si="132"/>
        <v>NC</v>
      </c>
      <c r="AH262" s="123" t="str">
        <f t="shared" si="133"/>
        <v>NC</v>
      </c>
      <c r="AI262" s="123" t="str">
        <f t="shared" si="134"/>
        <v>NC</v>
      </c>
      <c r="AJ262" s="123" t="str">
        <f t="shared" si="135"/>
        <v>NC</v>
      </c>
      <c r="AK262" s="123" t="str">
        <f t="shared" si="136"/>
        <v>NC</v>
      </c>
      <c r="AL262" s="138"/>
      <c r="AM262" s="230">
        <f t="shared" si="123"/>
        <v>1.2610003561555148</v>
      </c>
      <c r="AN262" s="138"/>
      <c r="AO262" s="138"/>
      <c r="AP262" s="141" t="s">
        <v>643</v>
      </c>
      <c r="AQ262" s="141" t="s">
        <v>643</v>
      </c>
      <c r="AR262" s="138"/>
      <c r="AS262" s="142" t="s">
        <v>1446</v>
      </c>
      <c r="AT262" s="143" t="s">
        <v>588</v>
      </c>
      <c r="AU262" s="143"/>
    </row>
    <row r="263" spans="1:47" s="124" customFormat="1" ht="14.4" customHeight="1" x14ac:dyDescent="0.3">
      <c r="A263" s="116" t="s">
        <v>625</v>
      </c>
      <c r="B263" s="116" t="s">
        <v>1447</v>
      </c>
      <c r="C263" s="117" t="s">
        <v>624</v>
      </c>
      <c r="D263" s="116" t="s">
        <v>46</v>
      </c>
      <c r="E263" s="116"/>
      <c r="F263" s="117" t="s">
        <v>633</v>
      </c>
      <c r="G263" s="120"/>
      <c r="H263" s="120" t="s">
        <v>30</v>
      </c>
      <c r="I263" s="134"/>
      <c r="J263" s="120">
        <v>2018</v>
      </c>
      <c r="K263" s="132"/>
      <c r="L263" s="158">
        <v>43952</v>
      </c>
      <c r="M263" s="116"/>
      <c r="N263" s="135" t="s">
        <v>596</v>
      </c>
      <c r="O263" s="116"/>
      <c r="P263" s="57" t="s">
        <v>30</v>
      </c>
      <c r="Q263" s="57" t="s">
        <v>30</v>
      </c>
      <c r="R263" s="57" t="s">
        <v>30</v>
      </c>
      <c r="S263" s="34" t="s">
        <v>30</v>
      </c>
      <c r="T263" s="57" t="s">
        <v>30</v>
      </c>
      <c r="U263" s="57" t="s">
        <v>30</v>
      </c>
      <c r="V263" s="34" t="s">
        <v>30</v>
      </c>
      <c r="W263" s="137" t="str">
        <f t="shared" si="124"/>
        <v>NC</v>
      </c>
      <c r="X263" s="57" t="str">
        <f t="shared" ref="X263:X294" si="137">IF(Q263="NC","NC",IF(Q263="","erreur",Q263+181))</f>
        <v>NC</v>
      </c>
      <c r="Y263" s="57" t="str">
        <f t="shared" si="125"/>
        <v>NC</v>
      </c>
      <c r="Z263" s="57" t="str">
        <f t="shared" si="126"/>
        <v>NC</v>
      </c>
      <c r="AA263" s="57" t="str">
        <f t="shared" si="127"/>
        <v>NC</v>
      </c>
      <c r="AB263" s="57" t="str">
        <f t="shared" si="128"/>
        <v>NC</v>
      </c>
      <c r="AC263" s="57" t="str">
        <f t="shared" si="129"/>
        <v>NC</v>
      </c>
      <c r="AD263" s="138"/>
      <c r="AE263" s="123" t="str">
        <f t="shared" si="130"/>
        <v>NC</v>
      </c>
      <c r="AF263" s="123" t="str">
        <f t="shared" si="131"/>
        <v>NC</v>
      </c>
      <c r="AG263" s="123" t="str">
        <f t="shared" si="132"/>
        <v>NC</v>
      </c>
      <c r="AH263" s="123" t="str">
        <f t="shared" si="133"/>
        <v>NC</v>
      </c>
      <c r="AI263" s="123" t="str">
        <f t="shared" si="134"/>
        <v>NC</v>
      </c>
      <c r="AJ263" s="123" t="str">
        <f t="shared" si="135"/>
        <v>NC</v>
      </c>
      <c r="AK263" s="123" t="str">
        <f t="shared" si="136"/>
        <v>NC</v>
      </c>
      <c r="AL263" s="138"/>
      <c r="AM263" s="151">
        <f t="shared" si="123"/>
        <v>0</v>
      </c>
      <c r="AN263" s="138"/>
      <c r="AO263" s="138"/>
      <c r="AP263" s="141" t="s">
        <v>643</v>
      </c>
      <c r="AQ263" s="141" t="s">
        <v>643</v>
      </c>
      <c r="AR263" s="138"/>
      <c r="AS263" s="142" t="s">
        <v>1448</v>
      </c>
      <c r="AT263" s="143" t="s">
        <v>1449</v>
      </c>
      <c r="AU263" s="143" t="s">
        <v>1450</v>
      </c>
    </row>
    <row r="264" spans="1:47" s="124" customFormat="1" ht="14.4" customHeight="1" x14ac:dyDescent="0.3">
      <c r="A264" s="116" t="s">
        <v>626</v>
      </c>
      <c r="B264" s="116" t="s">
        <v>623</v>
      </c>
      <c r="C264" s="117" t="s">
        <v>624</v>
      </c>
      <c r="D264" s="116" t="s">
        <v>145</v>
      </c>
      <c r="E264" s="116"/>
      <c r="F264" s="117"/>
      <c r="G264" s="120"/>
      <c r="H264" s="120" t="s">
        <v>30</v>
      </c>
      <c r="I264" s="134"/>
      <c r="J264" s="120"/>
      <c r="K264" s="132"/>
      <c r="L264" s="158">
        <v>44166</v>
      </c>
      <c r="M264" s="116"/>
      <c r="N264" s="135" t="s">
        <v>596</v>
      </c>
      <c r="O264" s="116"/>
      <c r="P264" s="57" t="s">
        <v>30</v>
      </c>
      <c r="Q264" s="57" t="s">
        <v>30</v>
      </c>
      <c r="R264" s="57" t="s">
        <v>30</v>
      </c>
      <c r="S264" s="34" t="s">
        <v>30</v>
      </c>
      <c r="T264" s="57" t="s">
        <v>30</v>
      </c>
      <c r="U264" s="57" t="s">
        <v>30</v>
      </c>
      <c r="V264" s="34" t="s">
        <v>30</v>
      </c>
      <c r="W264" s="137" t="str">
        <f t="shared" si="124"/>
        <v>NC</v>
      </c>
      <c r="X264" s="57" t="str">
        <f t="shared" si="137"/>
        <v>NC</v>
      </c>
      <c r="Y264" s="57" t="str">
        <f t="shared" si="125"/>
        <v>NC</v>
      </c>
      <c r="Z264" s="57" t="str">
        <f t="shared" si="126"/>
        <v>NC</v>
      </c>
      <c r="AA264" s="57" t="str">
        <f t="shared" si="127"/>
        <v>NC</v>
      </c>
      <c r="AB264" s="57" t="str">
        <f t="shared" si="128"/>
        <v>NC</v>
      </c>
      <c r="AC264" s="57" t="str">
        <f t="shared" si="129"/>
        <v>NC</v>
      </c>
      <c r="AD264" s="138"/>
      <c r="AE264" s="123" t="str">
        <f t="shared" si="130"/>
        <v>NC</v>
      </c>
      <c r="AF264" s="123" t="str">
        <f t="shared" si="131"/>
        <v>NC</v>
      </c>
      <c r="AG264" s="123" t="str">
        <f t="shared" si="132"/>
        <v>NC</v>
      </c>
      <c r="AH264" s="123" t="str">
        <f t="shared" si="133"/>
        <v>NC</v>
      </c>
      <c r="AI264" s="123" t="str">
        <f t="shared" si="134"/>
        <v>NC</v>
      </c>
      <c r="AJ264" s="123" t="str">
        <f t="shared" si="135"/>
        <v>NC</v>
      </c>
      <c r="AK264" s="123" t="str">
        <f t="shared" si="136"/>
        <v>NC</v>
      </c>
      <c r="AL264" s="138"/>
      <c r="AM264" s="151">
        <f t="shared" si="123"/>
        <v>0</v>
      </c>
      <c r="AN264" s="138"/>
      <c r="AO264" s="138"/>
      <c r="AP264" s="141" t="s">
        <v>643</v>
      </c>
      <c r="AQ264" s="141" t="s">
        <v>643</v>
      </c>
      <c r="AR264" s="138"/>
      <c r="AS264" s="142"/>
      <c r="AT264" s="143"/>
      <c r="AU264" s="143"/>
    </row>
    <row r="265" spans="1:47" s="124" customFormat="1" ht="14.4" customHeight="1" x14ac:dyDescent="0.3">
      <c r="A265" s="116" t="s">
        <v>371</v>
      </c>
      <c r="B265" s="116" t="s">
        <v>1494</v>
      </c>
      <c r="C265" s="121" t="s">
        <v>557</v>
      </c>
      <c r="D265" s="116" t="s">
        <v>145</v>
      </c>
      <c r="E265" s="116"/>
      <c r="F265" s="117" t="s">
        <v>475</v>
      </c>
      <c r="G265" s="120"/>
      <c r="H265" s="120" t="s">
        <v>30</v>
      </c>
      <c r="I265" s="134">
        <v>247500000</v>
      </c>
      <c r="J265" s="120">
        <v>2018</v>
      </c>
      <c r="K265" s="154">
        <v>45261</v>
      </c>
      <c r="L265" s="162">
        <v>43952</v>
      </c>
      <c r="M265" s="116"/>
      <c r="N265" s="149" t="s">
        <v>596</v>
      </c>
      <c r="O265" s="136"/>
      <c r="P265" s="57" t="s">
        <v>30</v>
      </c>
      <c r="Q265" s="57" t="s">
        <v>30</v>
      </c>
      <c r="R265" s="57" t="s">
        <v>30</v>
      </c>
      <c r="S265" s="34">
        <v>43101</v>
      </c>
      <c r="T265" s="57" t="s">
        <v>30</v>
      </c>
      <c r="U265" s="57" t="s">
        <v>30</v>
      </c>
      <c r="V265" s="34" t="s">
        <v>30</v>
      </c>
      <c r="W265" s="137" t="str">
        <f t="shared" si="124"/>
        <v>NC</v>
      </c>
      <c r="X265" s="57" t="str">
        <f t="shared" si="137"/>
        <v>NC</v>
      </c>
      <c r="Y265" s="57" t="str">
        <f t="shared" si="125"/>
        <v>NC</v>
      </c>
      <c r="Z265" s="57">
        <f t="shared" si="126"/>
        <v>46751</v>
      </c>
      <c r="AA265" s="57" t="str">
        <f t="shared" si="127"/>
        <v>NC</v>
      </c>
      <c r="AB265" s="57" t="str">
        <f t="shared" si="128"/>
        <v>NC</v>
      </c>
      <c r="AC265" s="57" t="str">
        <f t="shared" si="129"/>
        <v>NC</v>
      </c>
      <c r="AD265" s="138"/>
      <c r="AE265" s="123" t="str">
        <f t="shared" si="130"/>
        <v>NC</v>
      </c>
      <c r="AF265" s="123" t="str">
        <f t="shared" si="131"/>
        <v>NC</v>
      </c>
      <c r="AG265" s="123" t="str">
        <f t="shared" si="132"/>
        <v>NC</v>
      </c>
      <c r="AH265" s="123">
        <f t="shared" ca="1" si="133"/>
        <v>1164</v>
      </c>
      <c r="AI265" s="123" t="str">
        <f t="shared" si="134"/>
        <v>NC</v>
      </c>
      <c r="AJ265" s="123" t="str">
        <f t="shared" si="135"/>
        <v>NC</v>
      </c>
      <c r="AK265" s="123" t="str">
        <f t="shared" si="136"/>
        <v>NC</v>
      </c>
      <c r="AL265" s="138"/>
      <c r="AM265" s="151">
        <f t="shared" si="123"/>
        <v>2.3658440631576572E-2</v>
      </c>
      <c r="AN265" s="138"/>
      <c r="AO265" s="138"/>
      <c r="AP265" s="141" t="s">
        <v>643</v>
      </c>
      <c r="AQ265" s="141" t="s">
        <v>643</v>
      </c>
      <c r="AR265" s="138"/>
      <c r="AS265" s="142" t="s">
        <v>1338</v>
      </c>
      <c r="AT265" s="143" t="s">
        <v>1339</v>
      </c>
      <c r="AU265" s="143" t="s">
        <v>1340</v>
      </c>
    </row>
    <row r="266" spans="1:47" s="124" customFormat="1" ht="14.4" customHeight="1" x14ac:dyDescent="0.3">
      <c r="A266" s="116" t="s">
        <v>816</v>
      </c>
      <c r="B266" s="26" t="s">
        <v>1456</v>
      </c>
      <c r="C266" s="121" t="s">
        <v>558</v>
      </c>
      <c r="D266" s="116" t="s">
        <v>145</v>
      </c>
      <c r="E266" s="116"/>
      <c r="F266" s="117" t="s">
        <v>817</v>
      </c>
      <c r="G266" s="120"/>
      <c r="H266" s="120" t="s">
        <v>30</v>
      </c>
      <c r="I266" s="145">
        <v>39357420</v>
      </c>
      <c r="J266" s="120">
        <v>2016</v>
      </c>
      <c r="K266" s="154"/>
      <c r="L266" s="162">
        <v>43952</v>
      </c>
      <c r="M266" s="116"/>
      <c r="N266" s="149" t="s">
        <v>596</v>
      </c>
      <c r="O266" s="136"/>
      <c r="P266" s="57" t="s">
        <v>30</v>
      </c>
      <c r="Q266" s="57" t="s">
        <v>30</v>
      </c>
      <c r="R266" s="57" t="s">
        <v>30</v>
      </c>
      <c r="S266" s="118" t="s">
        <v>30</v>
      </c>
      <c r="T266" s="57" t="s">
        <v>30</v>
      </c>
      <c r="U266" s="57" t="s">
        <v>30</v>
      </c>
      <c r="V266" s="34" t="s">
        <v>30</v>
      </c>
      <c r="W266" s="137" t="str">
        <f t="shared" si="124"/>
        <v>NC</v>
      </c>
      <c r="X266" s="57" t="str">
        <f t="shared" si="137"/>
        <v>NC</v>
      </c>
      <c r="Y266" s="57" t="str">
        <f t="shared" si="125"/>
        <v>NC</v>
      </c>
      <c r="Z266" s="57" t="str">
        <f t="shared" si="126"/>
        <v>NC</v>
      </c>
      <c r="AA266" s="57" t="str">
        <f t="shared" si="127"/>
        <v>NC</v>
      </c>
      <c r="AB266" s="57" t="str">
        <f t="shared" si="128"/>
        <v>NC</v>
      </c>
      <c r="AC266" s="57" t="str">
        <f t="shared" si="129"/>
        <v>NC</v>
      </c>
      <c r="AD266" s="138"/>
      <c r="AE266" s="123" t="str">
        <f t="shared" si="130"/>
        <v>NC</v>
      </c>
      <c r="AF266" s="123" t="str">
        <f t="shared" si="131"/>
        <v>NC</v>
      </c>
      <c r="AG266" s="123" t="str">
        <f t="shared" si="132"/>
        <v>NC</v>
      </c>
      <c r="AH266" s="123" t="str">
        <f t="shared" si="133"/>
        <v>NC</v>
      </c>
      <c r="AI266" s="123" t="str">
        <f t="shared" si="134"/>
        <v>NC</v>
      </c>
      <c r="AJ266" s="123" t="str">
        <f t="shared" si="135"/>
        <v>NC</v>
      </c>
      <c r="AK266" s="123" t="str">
        <f t="shared" si="136"/>
        <v>NC</v>
      </c>
      <c r="AL266" s="138"/>
      <c r="AM266" s="151">
        <f t="shared" si="123"/>
        <v>8.2948880983427457E-3</v>
      </c>
      <c r="AN266" s="138"/>
      <c r="AO266" s="138"/>
      <c r="AP266" s="141" t="s">
        <v>643</v>
      </c>
      <c r="AQ266" s="141" t="s">
        <v>643</v>
      </c>
      <c r="AR266" s="138"/>
      <c r="AS266" s="142" t="s">
        <v>1341</v>
      </c>
      <c r="AT266" s="143" t="s">
        <v>1342</v>
      </c>
      <c r="AU266" s="143">
        <v>867</v>
      </c>
    </row>
    <row r="267" spans="1:47" s="124" customFormat="1" ht="14.4" customHeight="1" x14ac:dyDescent="0.3">
      <c r="A267" s="26" t="s">
        <v>195</v>
      </c>
      <c r="B267" s="26" t="s">
        <v>1457</v>
      </c>
      <c r="C267" s="121" t="s">
        <v>558</v>
      </c>
      <c r="D267" s="123" t="s">
        <v>145</v>
      </c>
      <c r="E267" s="123" t="s">
        <v>635</v>
      </c>
      <c r="F267" s="121" t="s">
        <v>314</v>
      </c>
      <c r="G267" s="120"/>
      <c r="H267" s="120" t="s">
        <v>30</v>
      </c>
      <c r="I267" s="145">
        <v>39357420</v>
      </c>
      <c r="J267" s="146">
        <v>2015</v>
      </c>
      <c r="K267" s="154">
        <v>44835</v>
      </c>
      <c r="L267" s="133">
        <v>44136</v>
      </c>
      <c r="M267" s="148"/>
      <c r="N267" s="149" t="s">
        <v>596</v>
      </c>
      <c r="O267" s="150">
        <v>2365</v>
      </c>
      <c r="P267" s="57" t="s">
        <v>30</v>
      </c>
      <c r="Q267" s="57" t="s">
        <v>30</v>
      </c>
      <c r="R267" s="116" t="s">
        <v>30</v>
      </c>
      <c r="S267" s="116" t="s">
        <v>30</v>
      </c>
      <c r="T267" s="57" t="s">
        <v>30</v>
      </c>
      <c r="U267" s="57" t="s">
        <v>30</v>
      </c>
      <c r="V267" s="57" t="s">
        <v>30</v>
      </c>
      <c r="W267" s="137" t="str">
        <f t="shared" si="124"/>
        <v>NC</v>
      </c>
      <c r="X267" s="57" t="str">
        <f t="shared" si="137"/>
        <v>NC</v>
      </c>
      <c r="Y267" s="57" t="str">
        <f t="shared" si="125"/>
        <v>NC</v>
      </c>
      <c r="Z267" s="57" t="str">
        <f t="shared" si="126"/>
        <v>NC</v>
      </c>
      <c r="AA267" s="57" t="str">
        <f t="shared" si="127"/>
        <v>NC</v>
      </c>
      <c r="AB267" s="57" t="str">
        <f t="shared" si="128"/>
        <v>NC</v>
      </c>
      <c r="AC267" s="57" t="str">
        <f t="shared" si="129"/>
        <v>NC</v>
      </c>
      <c r="AE267" s="123" t="str">
        <f t="shared" si="130"/>
        <v>NC</v>
      </c>
      <c r="AF267" s="123" t="str">
        <f t="shared" si="131"/>
        <v>NC</v>
      </c>
      <c r="AG267" s="123" t="str">
        <f t="shared" si="132"/>
        <v>NC</v>
      </c>
      <c r="AH267" s="123" t="str">
        <f t="shared" si="133"/>
        <v>NC</v>
      </c>
      <c r="AI267" s="123" t="str">
        <f t="shared" si="134"/>
        <v>NC</v>
      </c>
      <c r="AJ267" s="123" t="str">
        <f t="shared" si="135"/>
        <v>NC</v>
      </c>
      <c r="AK267" s="123" t="str">
        <f t="shared" si="136"/>
        <v>NC</v>
      </c>
      <c r="AL267" s="138"/>
      <c r="AM267" s="151">
        <f t="shared" si="123"/>
        <v>1.0561250966742352E-2</v>
      </c>
      <c r="AN267" s="152"/>
      <c r="AP267" s="141" t="s">
        <v>643</v>
      </c>
      <c r="AQ267" s="141" t="s">
        <v>643</v>
      </c>
      <c r="AS267" s="143" t="s">
        <v>1341</v>
      </c>
      <c r="AT267" s="143" t="s">
        <v>1342</v>
      </c>
      <c r="AU267" s="143">
        <v>867</v>
      </c>
    </row>
    <row r="268" spans="1:47" s="124" customFormat="1" ht="14.4" customHeight="1" x14ac:dyDescent="0.3">
      <c r="A268" s="26" t="s">
        <v>196</v>
      </c>
      <c r="B268" s="26" t="s">
        <v>1458</v>
      </c>
      <c r="C268" s="121" t="s">
        <v>558</v>
      </c>
      <c r="D268" s="123" t="s">
        <v>145</v>
      </c>
      <c r="E268" s="123" t="s">
        <v>635</v>
      </c>
      <c r="F268" s="121" t="s">
        <v>315</v>
      </c>
      <c r="G268" s="120"/>
      <c r="H268" s="120" t="s">
        <v>30</v>
      </c>
      <c r="I268" s="145">
        <v>39357420</v>
      </c>
      <c r="J268" s="146">
        <v>2015</v>
      </c>
      <c r="K268" s="154">
        <v>44470</v>
      </c>
      <c r="L268" s="133">
        <v>43952</v>
      </c>
      <c r="M268" s="148"/>
      <c r="N268" s="149" t="s">
        <v>596</v>
      </c>
      <c r="O268" s="150">
        <v>3000</v>
      </c>
      <c r="P268" s="57" t="s">
        <v>30</v>
      </c>
      <c r="Q268" s="57" t="s">
        <v>30</v>
      </c>
      <c r="R268" s="116" t="s">
        <v>30</v>
      </c>
      <c r="S268" s="118" t="s">
        <v>30</v>
      </c>
      <c r="T268" s="57" t="s">
        <v>30</v>
      </c>
      <c r="U268" s="57" t="s">
        <v>30</v>
      </c>
      <c r="V268" s="34" t="s">
        <v>30</v>
      </c>
      <c r="W268" s="137" t="str">
        <f t="shared" si="124"/>
        <v>NC</v>
      </c>
      <c r="X268" s="57" t="str">
        <f t="shared" si="137"/>
        <v>NC</v>
      </c>
      <c r="Y268" s="57" t="str">
        <f t="shared" si="125"/>
        <v>NC</v>
      </c>
      <c r="Z268" s="57" t="str">
        <f t="shared" si="126"/>
        <v>NC</v>
      </c>
      <c r="AA268" s="57" t="str">
        <f t="shared" si="127"/>
        <v>NC</v>
      </c>
      <c r="AB268" s="57" t="str">
        <f t="shared" si="128"/>
        <v>NC</v>
      </c>
      <c r="AC268" s="57" t="str">
        <f t="shared" si="129"/>
        <v>NC</v>
      </c>
      <c r="AE268" s="123" t="str">
        <f t="shared" si="130"/>
        <v>NC</v>
      </c>
      <c r="AF268" s="123" t="str">
        <f t="shared" si="131"/>
        <v>NC</v>
      </c>
      <c r="AG268" s="123" t="str">
        <f t="shared" si="132"/>
        <v>NC</v>
      </c>
      <c r="AH268" s="123" t="str">
        <f t="shared" si="133"/>
        <v>NC</v>
      </c>
      <c r="AI268" s="123" t="str">
        <f t="shared" si="134"/>
        <v>NC</v>
      </c>
      <c r="AJ268" s="123" t="str">
        <f t="shared" si="135"/>
        <v>NC</v>
      </c>
      <c r="AK268" s="123" t="str">
        <f t="shared" si="136"/>
        <v>NC</v>
      </c>
      <c r="AL268" s="138"/>
      <c r="AM268" s="151">
        <f t="shared" si="123"/>
        <v>1.0561250966742352E-2</v>
      </c>
      <c r="AN268" s="152"/>
      <c r="AP268" s="141" t="s">
        <v>643</v>
      </c>
      <c r="AQ268" s="141" t="s">
        <v>643</v>
      </c>
      <c r="AS268" s="143" t="s">
        <v>1341</v>
      </c>
      <c r="AT268" s="143" t="s">
        <v>1342</v>
      </c>
      <c r="AU268" s="143">
        <v>867</v>
      </c>
    </row>
    <row r="269" spans="1:47" s="212" customFormat="1" ht="14.4" customHeight="1" x14ac:dyDescent="0.3">
      <c r="A269" s="117" t="s">
        <v>152</v>
      </c>
      <c r="B269" s="117" t="s">
        <v>1132</v>
      </c>
      <c r="C269" s="121" t="s">
        <v>559</v>
      </c>
      <c r="D269" s="116" t="s">
        <v>145</v>
      </c>
      <c r="E269" s="116"/>
      <c r="F269" s="121" t="s">
        <v>316</v>
      </c>
      <c r="G269" s="120"/>
      <c r="H269" s="120" t="s">
        <v>30</v>
      </c>
      <c r="I269" s="134">
        <v>36077635</v>
      </c>
      <c r="J269" s="131">
        <v>2012</v>
      </c>
      <c r="K269" s="154">
        <v>43770</v>
      </c>
      <c r="L269" s="133">
        <v>44166</v>
      </c>
      <c r="M269" s="134"/>
      <c r="N269" s="149" t="s">
        <v>596</v>
      </c>
      <c r="O269" s="136">
        <v>5726</v>
      </c>
      <c r="P269" s="57" t="s">
        <v>30</v>
      </c>
      <c r="Q269" s="57" t="s">
        <v>30</v>
      </c>
      <c r="R269" s="57">
        <v>43735</v>
      </c>
      <c r="S269" s="118" t="s">
        <v>30</v>
      </c>
      <c r="T269" s="57" t="s">
        <v>30</v>
      </c>
      <c r="U269" s="57" t="s">
        <v>30</v>
      </c>
      <c r="V269" s="34" t="s">
        <v>30</v>
      </c>
      <c r="W269" s="137" t="str">
        <f t="shared" si="124"/>
        <v>NC</v>
      </c>
      <c r="X269" s="57" t="str">
        <f t="shared" si="137"/>
        <v>NC</v>
      </c>
      <c r="Y269" s="57">
        <f t="shared" si="125"/>
        <v>44100</v>
      </c>
      <c r="Z269" s="57" t="str">
        <f t="shared" si="126"/>
        <v>NC</v>
      </c>
      <c r="AA269" s="57" t="str">
        <f t="shared" si="127"/>
        <v>NC</v>
      </c>
      <c r="AB269" s="57" t="str">
        <f t="shared" si="128"/>
        <v>NC</v>
      </c>
      <c r="AC269" s="57" t="str">
        <f t="shared" si="129"/>
        <v>NC</v>
      </c>
      <c r="AD269" s="124"/>
      <c r="AE269" s="123" t="str">
        <f t="shared" si="130"/>
        <v>NC</v>
      </c>
      <c r="AF269" s="123" t="str">
        <f t="shared" si="131"/>
        <v>NC</v>
      </c>
      <c r="AG269" s="123">
        <f t="shared" ca="1" si="132"/>
        <v>-1487</v>
      </c>
      <c r="AH269" s="123" t="str">
        <f t="shared" si="133"/>
        <v>NC</v>
      </c>
      <c r="AI269" s="123" t="str">
        <f t="shared" si="134"/>
        <v>NC</v>
      </c>
      <c r="AJ269" s="123" t="str">
        <f t="shared" si="135"/>
        <v>NC</v>
      </c>
      <c r="AK269" s="123" t="str">
        <f t="shared" si="136"/>
        <v>NC</v>
      </c>
      <c r="AL269" s="138"/>
      <c r="AM269" s="151">
        <f t="shared" si="123"/>
        <v>1.5913644607612742E-2</v>
      </c>
      <c r="AN269" s="140"/>
      <c r="AO269" s="124"/>
      <c r="AP269" s="141" t="s">
        <v>643</v>
      </c>
      <c r="AQ269" s="141" t="s">
        <v>643</v>
      </c>
      <c r="AR269" s="124"/>
      <c r="AS269" s="143" t="s">
        <v>1343</v>
      </c>
      <c r="AT269" s="143" t="s">
        <v>1344</v>
      </c>
      <c r="AU269" s="143" t="s">
        <v>1345</v>
      </c>
    </row>
    <row r="270" spans="1:47" s="138" customFormat="1" ht="14.4" customHeight="1" x14ac:dyDescent="0.3">
      <c r="A270" s="121" t="s">
        <v>114</v>
      </c>
      <c r="B270" s="117" t="s">
        <v>1133</v>
      </c>
      <c r="C270" s="121" t="s">
        <v>560</v>
      </c>
      <c r="D270" s="123" t="s">
        <v>49</v>
      </c>
      <c r="E270" s="123"/>
      <c r="F270" s="121" t="s">
        <v>317</v>
      </c>
      <c r="G270" s="120"/>
      <c r="H270" s="120" t="s">
        <v>30</v>
      </c>
      <c r="I270" s="145"/>
      <c r="J270" s="146">
        <v>2013</v>
      </c>
      <c r="K270" s="154"/>
      <c r="L270" s="133"/>
      <c r="M270" s="148"/>
      <c r="N270" s="149" t="s">
        <v>596</v>
      </c>
      <c r="O270" s="150"/>
      <c r="P270" s="57" t="s">
        <v>30</v>
      </c>
      <c r="Q270" s="57" t="s">
        <v>30</v>
      </c>
      <c r="R270" s="116" t="s">
        <v>30</v>
      </c>
      <c r="S270" s="118" t="s">
        <v>30</v>
      </c>
      <c r="T270" s="57" t="s">
        <v>30</v>
      </c>
      <c r="U270" s="57" t="s">
        <v>30</v>
      </c>
      <c r="V270" s="34" t="s">
        <v>30</v>
      </c>
      <c r="W270" s="137" t="str">
        <f t="shared" si="124"/>
        <v>NC</v>
      </c>
      <c r="X270" s="57" t="str">
        <f t="shared" si="137"/>
        <v>NC</v>
      </c>
      <c r="Y270" s="57" t="str">
        <f t="shared" si="125"/>
        <v>NC</v>
      </c>
      <c r="Z270" s="57" t="str">
        <f t="shared" si="126"/>
        <v>NC</v>
      </c>
      <c r="AA270" s="57" t="str">
        <f t="shared" si="127"/>
        <v>NC</v>
      </c>
      <c r="AB270" s="57" t="str">
        <f t="shared" si="128"/>
        <v>NC</v>
      </c>
      <c r="AC270" s="57" t="str">
        <f t="shared" si="129"/>
        <v>NC</v>
      </c>
      <c r="AD270" s="124"/>
      <c r="AE270" s="123" t="str">
        <f t="shared" si="130"/>
        <v>NC</v>
      </c>
      <c r="AF270" s="123" t="str">
        <f t="shared" si="131"/>
        <v>NC</v>
      </c>
      <c r="AG270" s="123" t="str">
        <f t="shared" si="132"/>
        <v>NC</v>
      </c>
      <c r="AH270" s="123" t="str">
        <f t="shared" si="133"/>
        <v>NC</v>
      </c>
      <c r="AI270" s="123" t="str">
        <f t="shared" si="134"/>
        <v>NC</v>
      </c>
      <c r="AJ270" s="123" t="str">
        <f t="shared" si="135"/>
        <v>NC</v>
      </c>
      <c r="AK270" s="123" t="str">
        <f t="shared" si="136"/>
        <v>NC</v>
      </c>
      <c r="AM270" s="151">
        <f t="shared" si="123"/>
        <v>0</v>
      </c>
      <c r="AN270" s="152"/>
      <c r="AO270" s="124"/>
      <c r="AP270" s="141" t="s">
        <v>643</v>
      </c>
      <c r="AQ270" s="141" t="s">
        <v>643</v>
      </c>
      <c r="AR270" s="124"/>
      <c r="AS270" s="143" t="s">
        <v>1277</v>
      </c>
      <c r="AT270" s="143" t="s">
        <v>953</v>
      </c>
      <c r="AU270" s="143" t="s">
        <v>954</v>
      </c>
    </row>
    <row r="271" spans="1:47" s="160" customFormat="1" ht="14.4" customHeight="1" x14ac:dyDescent="0.3">
      <c r="A271" s="121" t="s">
        <v>115</v>
      </c>
      <c r="B271" s="117" t="s">
        <v>1133</v>
      </c>
      <c r="C271" s="121" t="s">
        <v>560</v>
      </c>
      <c r="D271" s="123" t="s">
        <v>49</v>
      </c>
      <c r="E271" s="123"/>
      <c r="F271" s="121" t="s">
        <v>318</v>
      </c>
      <c r="G271" s="120"/>
      <c r="H271" s="120" t="s">
        <v>30</v>
      </c>
      <c r="I271" s="145"/>
      <c r="J271" s="146">
        <v>2013</v>
      </c>
      <c r="K271" s="154"/>
      <c r="L271" s="133"/>
      <c r="M271" s="148"/>
      <c r="N271" s="149" t="s">
        <v>596</v>
      </c>
      <c r="O271" s="150"/>
      <c r="P271" s="57" t="s">
        <v>30</v>
      </c>
      <c r="Q271" s="57" t="s">
        <v>30</v>
      </c>
      <c r="R271" s="116" t="s">
        <v>30</v>
      </c>
      <c r="S271" s="118" t="s">
        <v>30</v>
      </c>
      <c r="T271" s="57" t="s">
        <v>30</v>
      </c>
      <c r="U271" s="57" t="s">
        <v>30</v>
      </c>
      <c r="V271" s="34" t="s">
        <v>30</v>
      </c>
      <c r="W271" s="137" t="str">
        <f t="shared" si="124"/>
        <v>NC</v>
      </c>
      <c r="X271" s="57" t="str">
        <f t="shared" si="137"/>
        <v>NC</v>
      </c>
      <c r="Y271" s="57" t="str">
        <f t="shared" si="125"/>
        <v>NC</v>
      </c>
      <c r="Z271" s="57" t="str">
        <f t="shared" si="126"/>
        <v>NC</v>
      </c>
      <c r="AA271" s="57" t="str">
        <f t="shared" si="127"/>
        <v>NC</v>
      </c>
      <c r="AB271" s="57" t="str">
        <f t="shared" si="128"/>
        <v>NC</v>
      </c>
      <c r="AC271" s="57" t="str">
        <f t="shared" si="129"/>
        <v>NC</v>
      </c>
      <c r="AD271" s="124"/>
      <c r="AE271" s="123" t="str">
        <f t="shared" si="130"/>
        <v>NC</v>
      </c>
      <c r="AF271" s="123" t="str">
        <f t="shared" si="131"/>
        <v>NC</v>
      </c>
      <c r="AG271" s="123" t="str">
        <f t="shared" si="132"/>
        <v>NC</v>
      </c>
      <c r="AH271" s="123" t="str">
        <f t="shared" si="133"/>
        <v>NC</v>
      </c>
      <c r="AI271" s="123" t="str">
        <f t="shared" si="134"/>
        <v>NC</v>
      </c>
      <c r="AJ271" s="123" t="str">
        <f t="shared" si="135"/>
        <v>NC</v>
      </c>
      <c r="AK271" s="123" t="str">
        <f t="shared" si="136"/>
        <v>NC</v>
      </c>
      <c r="AL271" s="138"/>
      <c r="AM271" s="151">
        <f t="shared" si="123"/>
        <v>0</v>
      </c>
      <c r="AN271" s="152"/>
      <c r="AO271" s="124"/>
      <c r="AP271" s="141" t="s">
        <v>643</v>
      </c>
      <c r="AQ271" s="141" t="s">
        <v>643</v>
      </c>
      <c r="AR271" s="124"/>
      <c r="AS271" s="143" t="s">
        <v>1277</v>
      </c>
      <c r="AT271" s="143" t="s">
        <v>953</v>
      </c>
      <c r="AU271" s="143" t="s">
        <v>954</v>
      </c>
    </row>
    <row r="272" spans="1:47" s="160" customFormat="1" ht="14.4" customHeight="1" x14ac:dyDescent="0.3">
      <c r="A272" s="121" t="s">
        <v>116</v>
      </c>
      <c r="B272" s="117" t="s">
        <v>117</v>
      </c>
      <c r="C272" s="121" t="s">
        <v>561</v>
      </c>
      <c r="D272" s="123" t="s">
        <v>49</v>
      </c>
      <c r="E272" s="123"/>
      <c r="F272" s="121" t="s">
        <v>319</v>
      </c>
      <c r="G272" s="120"/>
      <c r="H272" s="120" t="s">
        <v>30</v>
      </c>
      <c r="I272" s="145"/>
      <c r="J272" s="146">
        <v>2016</v>
      </c>
      <c r="K272" s="154"/>
      <c r="L272" s="133"/>
      <c r="M272" s="148"/>
      <c r="N272" s="149" t="s">
        <v>596</v>
      </c>
      <c r="O272" s="150"/>
      <c r="P272" s="57" t="s">
        <v>30</v>
      </c>
      <c r="Q272" s="57" t="s">
        <v>30</v>
      </c>
      <c r="R272" s="116" t="s">
        <v>30</v>
      </c>
      <c r="S272" s="118" t="s">
        <v>30</v>
      </c>
      <c r="T272" s="57" t="s">
        <v>30</v>
      </c>
      <c r="U272" s="57" t="s">
        <v>30</v>
      </c>
      <c r="V272" s="34" t="s">
        <v>30</v>
      </c>
      <c r="W272" s="137" t="str">
        <f t="shared" si="124"/>
        <v>NC</v>
      </c>
      <c r="X272" s="57" t="str">
        <f t="shared" si="137"/>
        <v>NC</v>
      </c>
      <c r="Y272" s="57" t="str">
        <f t="shared" si="125"/>
        <v>NC</v>
      </c>
      <c r="Z272" s="57" t="str">
        <f t="shared" si="126"/>
        <v>NC</v>
      </c>
      <c r="AA272" s="57" t="str">
        <f t="shared" si="127"/>
        <v>NC</v>
      </c>
      <c r="AB272" s="57" t="str">
        <f t="shared" si="128"/>
        <v>NC</v>
      </c>
      <c r="AC272" s="57" t="str">
        <f t="shared" si="129"/>
        <v>NC</v>
      </c>
      <c r="AD272" s="124"/>
      <c r="AE272" s="123" t="str">
        <f t="shared" si="130"/>
        <v>NC</v>
      </c>
      <c r="AF272" s="123" t="str">
        <f t="shared" si="131"/>
        <v>NC</v>
      </c>
      <c r="AG272" s="123" t="str">
        <f t="shared" si="132"/>
        <v>NC</v>
      </c>
      <c r="AH272" s="123" t="str">
        <f t="shared" si="133"/>
        <v>NC</v>
      </c>
      <c r="AI272" s="123" t="str">
        <f t="shared" si="134"/>
        <v>NC</v>
      </c>
      <c r="AJ272" s="123" t="str">
        <f t="shared" si="135"/>
        <v>NC</v>
      </c>
      <c r="AK272" s="123" t="str">
        <f t="shared" si="136"/>
        <v>NC</v>
      </c>
      <c r="AL272" s="138"/>
      <c r="AM272" s="151">
        <f t="shared" si="123"/>
        <v>0</v>
      </c>
      <c r="AN272" s="152"/>
      <c r="AO272" s="124"/>
      <c r="AP272" s="141" t="s">
        <v>643</v>
      </c>
      <c r="AQ272" s="141" t="s">
        <v>643</v>
      </c>
      <c r="AR272" s="124"/>
      <c r="AS272" s="143"/>
      <c r="AT272" s="143" t="s">
        <v>117</v>
      </c>
      <c r="AU272" s="143"/>
    </row>
    <row r="273" spans="1:47" s="138" customFormat="1" ht="14.4" customHeight="1" x14ac:dyDescent="0.3">
      <c r="A273" s="121" t="s">
        <v>118</v>
      </c>
      <c r="B273" s="117" t="s">
        <v>119</v>
      </c>
      <c r="C273" s="121" t="s">
        <v>562</v>
      </c>
      <c r="D273" s="123" t="s">
        <v>49</v>
      </c>
      <c r="E273" s="123"/>
      <c r="F273" s="121" t="s">
        <v>30</v>
      </c>
      <c r="G273" s="120"/>
      <c r="H273" s="120" t="s">
        <v>30</v>
      </c>
      <c r="I273" s="145"/>
      <c r="J273" s="146"/>
      <c r="K273" s="154"/>
      <c r="L273" s="133"/>
      <c r="M273" s="148"/>
      <c r="N273" s="149" t="s">
        <v>596</v>
      </c>
      <c r="O273" s="150"/>
      <c r="P273" s="57" t="s">
        <v>30</v>
      </c>
      <c r="Q273" s="57" t="s">
        <v>30</v>
      </c>
      <c r="R273" s="116" t="s">
        <v>30</v>
      </c>
      <c r="S273" s="116" t="s">
        <v>30</v>
      </c>
      <c r="T273" s="57" t="s">
        <v>30</v>
      </c>
      <c r="U273" s="57" t="s">
        <v>30</v>
      </c>
      <c r="V273" s="34" t="s">
        <v>30</v>
      </c>
      <c r="W273" s="137" t="str">
        <f t="shared" si="124"/>
        <v>NC</v>
      </c>
      <c r="X273" s="57" t="str">
        <f t="shared" si="137"/>
        <v>NC</v>
      </c>
      <c r="Y273" s="57" t="str">
        <f t="shared" si="125"/>
        <v>NC</v>
      </c>
      <c r="Z273" s="57" t="str">
        <f t="shared" si="126"/>
        <v>NC</v>
      </c>
      <c r="AA273" s="57" t="str">
        <f t="shared" si="127"/>
        <v>NC</v>
      </c>
      <c r="AB273" s="57" t="str">
        <f t="shared" si="128"/>
        <v>NC</v>
      </c>
      <c r="AC273" s="57" t="str">
        <f t="shared" si="129"/>
        <v>NC</v>
      </c>
      <c r="AD273" s="124"/>
      <c r="AE273" s="123" t="str">
        <f t="shared" si="130"/>
        <v>NC</v>
      </c>
      <c r="AF273" s="123" t="str">
        <f t="shared" si="131"/>
        <v>NC</v>
      </c>
      <c r="AG273" s="123" t="str">
        <f t="shared" si="132"/>
        <v>NC</v>
      </c>
      <c r="AH273" s="123" t="str">
        <f t="shared" si="133"/>
        <v>NC</v>
      </c>
      <c r="AI273" s="123" t="str">
        <f t="shared" si="134"/>
        <v>NC</v>
      </c>
      <c r="AJ273" s="123" t="str">
        <f t="shared" si="135"/>
        <v>NC</v>
      </c>
      <c r="AK273" s="123" t="str">
        <f t="shared" si="136"/>
        <v>NC</v>
      </c>
      <c r="AM273" s="151">
        <f t="shared" si="123"/>
        <v>0</v>
      </c>
      <c r="AN273" s="152"/>
      <c r="AO273" s="124"/>
      <c r="AP273" s="141" t="s">
        <v>643</v>
      </c>
      <c r="AQ273" s="141" t="s">
        <v>643</v>
      </c>
      <c r="AR273" s="124"/>
      <c r="AS273" s="143"/>
      <c r="AT273" s="143"/>
      <c r="AU273" s="143"/>
    </row>
    <row r="274" spans="1:47" s="160" customFormat="1" ht="14.4" customHeight="1" x14ac:dyDescent="0.3">
      <c r="A274" s="121" t="s">
        <v>120</v>
      </c>
      <c r="B274" s="117" t="s">
        <v>1134</v>
      </c>
      <c r="C274" s="121" t="s">
        <v>563</v>
      </c>
      <c r="D274" s="123" t="s">
        <v>49</v>
      </c>
      <c r="E274" s="123"/>
      <c r="F274" s="121" t="s">
        <v>30</v>
      </c>
      <c r="G274" s="120"/>
      <c r="H274" s="120" t="s">
        <v>30</v>
      </c>
      <c r="I274" s="145"/>
      <c r="J274" s="146"/>
      <c r="K274" s="154"/>
      <c r="L274" s="133"/>
      <c r="M274" s="148"/>
      <c r="N274" s="149" t="s">
        <v>596</v>
      </c>
      <c r="O274" s="150"/>
      <c r="P274" s="57" t="s">
        <v>30</v>
      </c>
      <c r="Q274" s="57" t="s">
        <v>30</v>
      </c>
      <c r="R274" s="116" t="s">
        <v>30</v>
      </c>
      <c r="S274" s="118" t="s">
        <v>30</v>
      </c>
      <c r="T274" s="57" t="s">
        <v>30</v>
      </c>
      <c r="U274" s="57" t="s">
        <v>30</v>
      </c>
      <c r="V274" s="34" t="s">
        <v>30</v>
      </c>
      <c r="W274" s="137" t="str">
        <f t="shared" si="124"/>
        <v>NC</v>
      </c>
      <c r="X274" s="57" t="str">
        <f t="shared" si="137"/>
        <v>NC</v>
      </c>
      <c r="Y274" s="57" t="str">
        <f t="shared" si="125"/>
        <v>NC</v>
      </c>
      <c r="Z274" s="57" t="str">
        <f t="shared" si="126"/>
        <v>NC</v>
      </c>
      <c r="AA274" s="57" t="str">
        <f t="shared" si="127"/>
        <v>NC</v>
      </c>
      <c r="AB274" s="57" t="str">
        <f t="shared" si="128"/>
        <v>NC</v>
      </c>
      <c r="AC274" s="57" t="str">
        <f t="shared" si="129"/>
        <v>NC</v>
      </c>
      <c r="AD274" s="124"/>
      <c r="AE274" s="123" t="str">
        <f t="shared" si="130"/>
        <v>NC</v>
      </c>
      <c r="AF274" s="123" t="str">
        <f t="shared" si="131"/>
        <v>NC</v>
      </c>
      <c r="AG274" s="123" t="str">
        <f t="shared" si="132"/>
        <v>NC</v>
      </c>
      <c r="AH274" s="123" t="str">
        <f t="shared" si="133"/>
        <v>NC</v>
      </c>
      <c r="AI274" s="123" t="str">
        <f t="shared" si="134"/>
        <v>NC</v>
      </c>
      <c r="AJ274" s="123" t="str">
        <f t="shared" si="135"/>
        <v>NC</v>
      </c>
      <c r="AK274" s="123" t="str">
        <f t="shared" si="136"/>
        <v>NC</v>
      </c>
      <c r="AL274" s="138"/>
      <c r="AM274" s="151">
        <f t="shared" si="123"/>
        <v>0</v>
      </c>
      <c r="AN274" s="152"/>
      <c r="AO274" s="124"/>
      <c r="AP274" s="141" t="s">
        <v>643</v>
      </c>
      <c r="AQ274" s="141" t="s">
        <v>643</v>
      </c>
      <c r="AR274" s="124"/>
      <c r="AS274" s="143" t="s">
        <v>1346</v>
      </c>
      <c r="AT274" s="143" t="s">
        <v>955</v>
      </c>
      <c r="AU274" s="143" t="s">
        <v>956</v>
      </c>
    </row>
    <row r="275" spans="1:47" s="160" customFormat="1" ht="14.4" customHeight="1" x14ac:dyDescent="0.3">
      <c r="A275" s="121" t="s">
        <v>121</v>
      </c>
      <c r="B275" s="117" t="s">
        <v>1135</v>
      </c>
      <c r="C275" s="121" t="s">
        <v>563</v>
      </c>
      <c r="D275" s="123" t="s">
        <v>49</v>
      </c>
      <c r="E275" s="123"/>
      <c r="F275" s="121" t="s">
        <v>30</v>
      </c>
      <c r="G275" s="120"/>
      <c r="H275" s="120" t="s">
        <v>30</v>
      </c>
      <c r="I275" s="145"/>
      <c r="J275" s="146"/>
      <c r="K275" s="154"/>
      <c r="L275" s="133"/>
      <c r="M275" s="148"/>
      <c r="N275" s="149" t="s">
        <v>596</v>
      </c>
      <c r="O275" s="150"/>
      <c r="P275" s="57" t="s">
        <v>30</v>
      </c>
      <c r="Q275" s="57" t="s">
        <v>30</v>
      </c>
      <c r="R275" s="116" t="s">
        <v>30</v>
      </c>
      <c r="S275" s="118" t="s">
        <v>30</v>
      </c>
      <c r="T275" s="57" t="s">
        <v>30</v>
      </c>
      <c r="U275" s="57" t="s">
        <v>30</v>
      </c>
      <c r="V275" s="34" t="s">
        <v>30</v>
      </c>
      <c r="W275" s="137" t="str">
        <f t="shared" si="124"/>
        <v>NC</v>
      </c>
      <c r="X275" s="57" t="str">
        <f t="shared" si="137"/>
        <v>NC</v>
      </c>
      <c r="Y275" s="57" t="str">
        <f t="shared" si="125"/>
        <v>NC</v>
      </c>
      <c r="Z275" s="57" t="str">
        <f t="shared" si="126"/>
        <v>NC</v>
      </c>
      <c r="AA275" s="57" t="str">
        <f t="shared" si="127"/>
        <v>NC</v>
      </c>
      <c r="AB275" s="57" t="str">
        <f t="shared" si="128"/>
        <v>NC</v>
      </c>
      <c r="AC275" s="57" t="str">
        <f t="shared" si="129"/>
        <v>NC</v>
      </c>
      <c r="AD275" s="124"/>
      <c r="AE275" s="123" t="str">
        <f t="shared" si="130"/>
        <v>NC</v>
      </c>
      <c r="AF275" s="123" t="str">
        <f t="shared" si="131"/>
        <v>NC</v>
      </c>
      <c r="AG275" s="123" t="str">
        <f t="shared" si="132"/>
        <v>NC</v>
      </c>
      <c r="AH275" s="123" t="str">
        <f t="shared" si="133"/>
        <v>NC</v>
      </c>
      <c r="AI275" s="123" t="str">
        <f t="shared" si="134"/>
        <v>NC</v>
      </c>
      <c r="AJ275" s="123" t="str">
        <f t="shared" si="135"/>
        <v>NC</v>
      </c>
      <c r="AK275" s="123" t="str">
        <f t="shared" si="136"/>
        <v>NC</v>
      </c>
      <c r="AL275" s="138"/>
      <c r="AM275" s="151">
        <f t="shared" si="123"/>
        <v>0</v>
      </c>
      <c r="AN275" s="152"/>
      <c r="AO275" s="124"/>
      <c r="AP275" s="141" t="s">
        <v>643</v>
      </c>
      <c r="AQ275" s="141" t="s">
        <v>643</v>
      </c>
      <c r="AR275" s="124"/>
      <c r="AS275" s="143" t="s">
        <v>1346</v>
      </c>
      <c r="AT275" s="143" t="s">
        <v>955</v>
      </c>
      <c r="AU275" s="143" t="s">
        <v>957</v>
      </c>
    </row>
    <row r="276" spans="1:47" s="124" customFormat="1" ht="14.4" customHeight="1" x14ac:dyDescent="0.3">
      <c r="A276" s="117" t="s">
        <v>171</v>
      </c>
      <c r="B276" s="117" t="s">
        <v>170</v>
      </c>
      <c r="C276" s="121" t="s">
        <v>564</v>
      </c>
      <c r="D276" s="116" t="s">
        <v>145</v>
      </c>
      <c r="E276" s="116"/>
      <c r="F276" s="121" t="s">
        <v>321</v>
      </c>
      <c r="G276" s="120"/>
      <c r="H276" s="120" t="s">
        <v>30</v>
      </c>
      <c r="I276" s="134">
        <v>2080039.6469999999</v>
      </c>
      <c r="J276" s="131">
        <v>2016</v>
      </c>
      <c r="K276" s="154">
        <v>44136</v>
      </c>
      <c r="L276" s="133">
        <v>44013</v>
      </c>
      <c r="M276" s="134"/>
      <c r="N276" s="149" t="s">
        <v>596</v>
      </c>
      <c r="O276" s="136"/>
      <c r="P276" s="57" t="s">
        <v>30</v>
      </c>
      <c r="Q276" s="57" t="s">
        <v>30</v>
      </c>
      <c r="R276" s="116" t="s">
        <v>30</v>
      </c>
      <c r="S276" s="118" t="s">
        <v>30</v>
      </c>
      <c r="T276" s="57" t="s">
        <v>30</v>
      </c>
      <c r="U276" s="57" t="s">
        <v>30</v>
      </c>
      <c r="V276" s="34" t="s">
        <v>30</v>
      </c>
      <c r="W276" s="137" t="str">
        <f t="shared" si="124"/>
        <v>NC</v>
      </c>
      <c r="X276" s="57" t="str">
        <f t="shared" si="137"/>
        <v>NC</v>
      </c>
      <c r="Y276" s="57" t="str">
        <f t="shared" si="125"/>
        <v>NC</v>
      </c>
      <c r="Z276" s="57" t="str">
        <f t="shared" si="126"/>
        <v>NC</v>
      </c>
      <c r="AA276" s="57" t="str">
        <f t="shared" si="127"/>
        <v>NC</v>
      </c>
      <c r="AB276" s="57" t="str">
        <f t="shared" si="128"/>
        <v>NC</v>
      </c>
      <c r="AC276" s="57" t="str">
        <f t="shared" si="129"/>
        <v>NC</v>
      </c>
      <c r="AE276" s="123" t="str">
        <f t="shared" si="130"/>
        <v>NC</v>
      </c>
      <c r="AF276" s="123" t="str">
        <f t="shared" si="131"/>
        <v>NC</v>
      </c>
      <c r="AG276" s="123" t="str">
        <f t="shared" si="132"/>
        <v>NC</v>
      </c>
      <c r="AH276" s="123" t="str">
        <f t="shared" si="133"/>
        <v>NC</v>
      </c>
      <c r="AI276" s="123" t="str">
        <f t="shared" si="134"/>
        <v>NC</v>
      </c>
      <c r="AJ276" s="123" t="str">
        <f t="shared" si="135"/>
        <v>NC</v>
      </c>
      <c r="AK276" s="123" t="str">
        <f t="shared" si="136"/>
        <v>NC</v>
      </c>
      <c r="AL276" s="138"/>
      <c r="AM276" s="151">
        <f t="shared" si="123"/>
        <v>4.3838483599741409E-4</v>
      </c>
      <c r="AN276" s="140"/>
      <c r="AP276" s="141" t="s">
        <v>643</v>
      </c>
      <c r="AQ276" s="141" t="s">
        <v>643</v>
      </c>
      <c r="AS276" s="143" t="s">
        <v>1347</v>
      </c>
      <c r="AT276" s="143" t="s">
        <v>958</v>
      </c>
      <c r="AU276" s="143" t="s">
        <v>1348</v>
      </c>
    </row>
    <row r="277" spans="1:47" s="124" customFormat="1" ht="14.4" customHeight="1" x14ac:dyDescent="0.3">
      <c r="A277" s="117" t="s">
        <v>201</v>
      </c>
      <c r="B277" s="117" t="s">
        <v>169</v>
      </c>
      <c r="C277" s="121" t="s">
        <v>564</v>
      </c>
      <c r="D277" s="116" t="s">
        <v>145</v>
      </c>
      <c r="E277" s="116"/>
      <c r="F277" s="121" t="s">
        <v>320</v>
      </c>
      <c r="G277" s="120"/>
      <c r="H277" s="120" t="s">
        <v>30</v>
      </c>
      <c r="I277" s="134">
        <v>3098084.9109999998</v>
      </c>
      <c r="J277" s="131">
        <v>2016</v>
      </c>
      <c r="K277" s="154">
        <v>44136</v>
      </c>
      <c r="L277" s="133">
        <v>44013</v>
      </c>
      <c r="M277" s="134"/>
      <c r="N277" s="149" t="s">
        <v>596</v>
      </c>
      <c r="O277" s="136"/>
      <c r="P277" s="57" t="s">
        <v>30</v>
      </c>
      <c r="Q277" s="57" t="s">
        <v>30</v>
      </c>
      <c r="R277" s="116" t="s">
        <v>30</v>
      </c>
      <c r="S277" s="116" t="s">
        <v>30</v>
      </c>
      <c r="T277" s="57" t="s">
        <v>30</v>
      </c>
      <c r="U277" s="57" t="s">
        <v>30</v>
      </c>
      <c r="V277" s="34" t="s">
        <v>30</v>
      </c>
      <c r="W277" s="137" t="str">
        <f t="shared" si="124"/>
        <v>NC</v>
      </c>
      <c r="X277" s="57" t="str">
        <f t="shared" si="137"/>
        <v>NC</v>
      </c>
      <c r="Y277" s="57" t="str">
        <f t="shared" si="125"/>
        <v>NC</v>
      </c>
      <c r="Z277" s="57" t="str">
        <f t="shared" si="126"/>
        <v>NC</v>
      </c>
      <c r="AA277" s="57" t="str">
        <f t="shared" si="127"/>
        <v>NC</v>
      </c>
      <c r="AB277" s="57" t="str">
        <f t="shared" si="128"/>
        <v>NC</v>
      </c>
      <c r="AC277" s="57" t="str">
        <f t="shared" si="129"/>
        <v>NC</v>
      </c>
      <c r="AE277" s="123" t="str">
        <f t="shared" si="130"/>
        <v>NC</v>
      </c>
      <c r="AF277" s="123" t="str">
        <f t="shared" si="131"/>
        <v>NC</v>
      </c>
      <c r="AG277" s="123" t="str">
        <f t="shared" si="132"/>
        <v>NC</v>
      </c>
      <c r="AH277" s="123" t="str">
        <f t="shared" si="133"/>
        <v>NC</v>
      </c>
      <c r="AI277" s="123" t="str">
        <f t="shared" si="134"/>
        <v>NC</v>
      </c>
      <c r="AJ277" s="123" t="str">
        <f t="shared" si="135"/>
        <v>NC</v>
      </c>
      <c r="AK277" s="123" t="str">
        <f t="shared" si="136"/>
        <v>NC</v>
      </c>
      <c r="AL277" s="138"/>
      <c r="AM277" s="151">
        <f t="shared" si="123"/>
        <v>6.5294594147454648E-4</v>
      </c>
      <c r="AN277" s="140"/>
      <c r="AP277" s="141" t="s">
        <v>643</v>
      </c>
      <c r="AQ277" s="141" t="s">
        <v>643</v>
      </c>
      <c r="AS277" s="143" t="s">
        <v>1347</v>
      </c>
      <c r="AT277" s="143" t="s">
        <v>1349</v>
      </c>
      <c r="AU277" s="143" t="s">
        <v>1350</v>
      </c>
    </row>
    <row r="278" spans="1:47" s="124" customFormat="1" ht="14.4" customHeight="1" x14ac:dyDescent="0.3">
      <c r="A278" s="117" t="s">
        <v>894</v>
      </c>
      <c r="B278" s="117" t="s">
        <v>1493</v>
      </c>
      <c r="C278" s="121" t="s">
        <v>895</v>
      </c>
      <c r="D278" s="116" t="s">
        <v>145</v>
      </c>
      <c r="E278" s="116" t="s">
        <v>932</v>
      </c>
      <c r="F278" s="121" t="s">
        <v>1490</v>
      </c>
      <c r="G278" s="120"/>
      <c r="H278" s="120" t="s">
        <v>30</v>
      </c>
      <c r="I278" s="134">
        <v>56740000</v>
      </c>
      <c r="J278" s="131">
        <v>2019</v>
      </c>
      <c r="K278" s="154"/>
      <c r="L278" s="133">
        <v>43952</v>
      </c>
      <c r="M278" s="134"/>
      <c r="N278" s="149" t="s">
        <v>596</v>
      </c>
      <c r="O278" s="136"/>
      <c r="P278" s="57" t="s">
        <v>30</v>
      </c>
      <c r="Q278" s="57" t="s">
        <v>30</v>
      </c>
      <c r="R278" s="57" t="s">
        <v>30</v>
      </c>
      <c r="S278" s="34" t="s">
        <v>30</v>
      </c>
      <c r="T278" s="57" t="s">
        <v>30</v>
      </c>
      <c r="U278" s="57" t="s">
        <v>30</v>
      </c>
      <c r="V278" s="34" t="s">
        <v>30</v>
      </c>
      <c r="W278" s="137" t="str">
        <f t="shared" si="124"/>
        <v>NC</v>
      </c>
      <c r="X278" s="57" t="str">
        <f t="shared" si="137"/>
        <v>NC</v>
      </c>
      <c r="Y278" s="57" t="str">
        <f t="shared" si="125"/>
        <v>NC</v>
      </c>
      <c r="Z278" s="57" t="str">
        <f t="shared" si="126"/>
        <v>NC</v>
      </c>
      <c r="AA278" s="57" t="str">
        <f t="shared" si="127"/>
        <v>NC</v>
      </c>
      <c r="AB278" s="57" t="str">
        <f t="shared" si="128"/>
        <v>NC</v>
      </c>
      <c r="AC278" s="57" t="str">
        <f t="shared" si="129"/>
        <v>NC</v>
      </c>
      <c r="AE278" s="123" t="str">
        <f t="shared" si="130"/>
        <v>NC</v>
      </c>
      <c r="AF278" s="123" t="str">
        <f t="shared" si="131"/>
        <v>NC</v>
      </c>
      <c r="AG278" s="123" t="str">
        <f t="shared" si="132"/>
        <v>NC</v>
      </c>
      <c r="AH278" s="123" t="str">
        <f t="shared" si="133"/>
        <v>NC</v>
      </c>
      <c r="AI278" s="123" t="str">
        <f t="shared" si="134"/>
        <v>NC</v>
      </c>
      <c r="AJ278" s="123" t="str">
        <f t="shared" si="135"/>
        <v>NC</v>
      </c>
      <c r="AK278" s="123" t="str">
        <f t="shared" si="136"/>
        <v>NC</v>
      </c>
      <c r="AL278" s="138"/>
      <c r="AM278" s="151">
        <f t="shared" ref="AM278:AM309" si="138">I278*($AM$3-J278)/$I$4</f>
        <v>2.156433608732136E-3</v>
      </c>
      <c r="AN278" s="140"/>
      <c r="AP278" s="141" t="s">
        <v>643</v>
      </c>
      <c r="AQ278" s="141" t="s">
        <v>643</v>
      </c>
      <c r="AS278" s="143" t="s">
        <v>1491</v>
      </c>
      <c r="AT278" s="143" t="s">
        <v>1492</v>
      </c>
      <c r="AU278" s="143"/>
    </row>
    <row r="279" spans="1:47" s="124" customFormat="1" ht="14.4" customHeight="1" x14ac:dyDescent="0.3">
      <c r="A279" s="121" t="s">
        <v>197</v>
      </c>
      <c r="B279" s="117" t="s">
        <v>1459</v>
      </c>
      <c r="C279" s="121" t="s">
        <v>565</v>
      </c>
      <c r="D279" s="123" t="s">
        <v>145</v>
      </c>
      <c r="E279" s="123"/>
      <c r="F279" s="121" t="s">
        <v>324</v>
      </c>
      <c r="G279" s="120"/>
      <c r="H279" s="120" t="s">
        <v>30</v>
      </c>
      <c r="I279" s="145">
        <v>15742968</v>
      </c>
      <c r="J279" s="146">
        <v>2016</v>
      </c>
      <c r="K279" s="154">
        <v>44835</v>
      </c>
      <c r="L279" s="133">
        <v>44044</v>
      </c>
      <c r="M279" s="148"/>
      <c r="N279" s="149" t="s">
        <v>596</v>
      </c>
      <c r="O279" s="150">
        <v>6536</v>
      </c>
      <c r="P279" s="57" t="s">
        <v>30</v>
      </c>
      <c r="Q279" s="57" t="s">
        <v>30</v>
      </c>
      <c r="R279" s="116" t="s">
        <v>30</v>
      </c>
      <c r="S279" s="118" t="s">
        <v>30</v>
      </c>
      <c r="T279" s="57" t="s">
        <v>30</v>
      </c>
      <c r="U279" s="57" t="s">
        <v>30</v>
      </c>
      <c r="V279" s="34" t="s">
        <v>30</v>
      </c>
      <c r="W279" s="137" t="str">
        <f t="shared" si="124"/>
        <v>NC</v>
      </c>
      <c r="X279" s="57" t="str">
        <f t="shared" si="137"/>
        <v>NC</v>
      </c>
      <c r="Y279" s="57" t="str">
        <f t="shared" si="125"/>
        <v>NC</v>
      </c>
      <c r="Z279" s="57" t="str">
        <f t="shared" si="126"/>
        <v>NC</v>
      </c>
      <c r="AA279" s="57" t="str">
        <f t="shared" si="127"/>
        <v>NC</v>
      </c>
      <c r="AB279" s="57" t="str">
        <f t="shared" si="128"/>
        <v>NC</v>
      </c>
      <c r="AC279" s="57" t="str">
        <f t="shared" si="129"/>
        <v>NC</v>
      </c>
      <c r="AE279" s="123" t="str">
        <f t="shared" si="130"/>
        <v>NC</v>
      </c>
      <c r="AF279" s="123" t="str">
        <f t="shared" si="131"/>
        <v>NC</v>
      </c>
      <c r="AG279" s="123" t="str">
        <f t="shared" si="132"/>
        <v>NC</v>
      </c>
      <c r="AH279" s="123" t="str">
        <f t="shared" si="133"/>
        <v>NC</v>
      </c>
      <c r="AI279" s="123" t="str">
        <f t="shared" si="134"/>
        <v>NC</v>
      </c>
      <c r="AJ279" s="123" t="str">
        <f t="shared" si="135"/>
        <v>NC</v>
      </c>
      <c r="AK279" s="123" t="str">
        <f t="shared" si="136"/>
        <v>NC</v>
      </c>
      <c r="AL279" s="138"/>
      <c r="AM279" s="151">
        <f t="shared" si="138"/>
        <v>3.3179552393370988E-3</v>
      </c>
      <c r="AN279" s="152"/>
      <c r="AP279" s="141" t="s">
        <v>643</v>
      </c>
      <c r="AQ279" s="141" t="s">
        <v>643</v>
      </c>
      <c r="AS279" s="143" t="s">
        <v>1169</v>
      </c>
      <c r="AT279" s="143" t="s">
        <v>1351</v>
      </c>
      <c r="AU279" s="143" t="s">
        <v>1469</v>
      </c>
    </row>
    <row r="280" spans="1:47" s="124" customFormat="1" ht="14.4" customHeight="1" x14ac:dyDescent="0.3">
      <c r="A280" s="121" t="s">
        <v>153</v>
      </c>
      <c r="B280" s="117" t="s">
        <v>1460</v>
      </c>
      <c r="C280" s="121" t="s">
        <v>565</v>
      </c>
      <c r="D280" s="123" t="s">
        <v>145</v>
      </c>
      <c r="E280" s="123"/>
      <c r="F280" s="121" t="s">
        <v>325</v>
      </c>
      <c r="G280" s="120"/>
      <c r="H280" s="120" t="s">
        <v>30</v>
      </c>
      <c r="I280" s="145">
        <v>17645243.300000001</v>
      </c>
      <c r="J280" s="146">
        <v>2016</v>
      </c>
      <c r="K280" s="154">
        <v>45200</v>
      </c>
      <c r="L280" s="133">
        <v>43952</v>
      </c>
      <c r="M280" s="148"/>
      <c r="N280" s="149" t="s">
        <v>596</v>
      </c>
      <c r="O280" s="150">
        <v>4935</v>
      </c>
      <c r="P280" s="57" t="s">
        <v>30</v>
      </c>
      <c r="Q280" s="57" t="s">
        <v>30</v>
      </c>
      <c r="R280" s="116" t="s">
        <v>30</v>
      </c>
      <c r="S280" s="118" t="s">
        <v>30</v>
      </c>
      <c r="T280" s="57" t="s">
        <v>30</v>
      </c>
      <c r="U280" s="57" t="s">
        <v>30</v>
      </c>
      <c r="V280" s="34" t="s">
        <v>30</v>
      </c>
      <c r="W280" s="137" t="str">
        <f t="shared" si="124"/>
        <v>NC</v>
      </c>
      <c r="X280" s="57" t="str">
        <f t="shared" si="137"/>
        <v>NC</v>
      </c>
      <c r="Y280" s="57" t="str">
        <f t="shared" si="125"/>
        <v>NC</v>
      </c>
      <c r="Z280" s="57" t="str">
        <f t="shared" si="126"/>
        <v>NC</v>
      </c>
      <c r="AA280" s="57" t="str">
        <f t="shared" si="127"/>
        <v>NC</v>
      </c>
      <c r="AB280" s="57" t="str">
        <f t="shared" si="128"/>
        <v>NC</v>
      </c>
      <c r="AC280" s="57" t="str">
        <f t="shared" si="129"/>
        <v>NC</v>
      </c>
      <c r="AE280" s="123" t="str">
        <f t="shared" si="130"/>
        <v>NC</v>
      </c>
      <c r="AF280" s="123" t="str">
        <f t="shared" si="131"/>
        <v>NC</v>
      </c>
      <c r="AG280" s="123" t="str">
        <f t="shared" si="132"/>
        <v>NC</v>
      </c>
      <c r="AH280" s="123" t="str">
        <f t="shared" si="133"/>
        <v>NC</v>
      </c>
      <c r="AI280" s="123" t="str">
        <f t="shared" si="134"/>
        <v>NC</v>
      </c>
      <c r="AJ280" s="123" t="str">
        <f t="shared" si="135"/>
        <v>NC</v>
      </c>
      <c r="AK280" s="123" t="str">
        <f t="shared" si="136"/>
        <v>NC</v>
      </c>
      <c r="AL280" s="138"/>
      <c r="AM280" s="151">
        <f t="shared" si="138"/>
        <v>3.718874830756998E-3</v>
      </c>
      <c r="AN280" s="152"/>
      <c r="AP280" s="141" t="s">
        <v>643</v>
      </c>
      <c r="AQ280" s="141" t="s">
        <v>643</v>
      </c>
      <c r="AR280" s="212"/>
      <c r="AS280" s="143" t="s">
        <v>1169</v>
      </c>
      <c r="AT280" s="143" t="s">
        <v>1352</v>
      </c>
      <c r="AU280" s="143" t="s">
        <v>1470</v>
      </c>
    </row>
    <row r="281" spans="1:47" s="124" customFormat="1" ht="14.4" customHeight="1" x14ac:dyDescent="0.3">
      <c r="A281" s="116" t="s">
        <v>389</v>
      </c>
      <c r="B281" s="117" t="s">
        <v>1459</v>
      </c>
      <c r="C281" s="121" t="s">
        <v>565</v>
      </c>
      <c r="D281" s="116" t="s">
        <v>145</v>
      </c>
      <c r="E281" s="116"/>
      <c r="F281" s="117" t="s">
        <v>424</v>
      </c>
      <c r="G281" s="120"/>
      <c r="H281" s="120" t="s">
        <v>30</v>
      </c>
      <c r="I281" s="145">
        <v>17645243.300000001</v>
      </c>
      <c r="J281" s="120">
        <v>2016</v>
      </c>
      <c r="K281" s="154"/>
      <c r="L281" s="162">
        <v>44075</v>
      </c>
      <c r="M281" s="116"/>
      <c r="N281" s="149" t="s">
        <v>596</v>
      </c>
      <c r="O281" s="136">
        <v>5925</v>
      </c>
      <c r="P281" s="57" t="s">
        <v>30</v>
      </c>
      <c r="Q281" s="57" t="s">
        <v>30</v>
      </c>
      <c r="R281" s="57" t="s">
        <v>30</v>
      </c>
      <c r="S281" s="34" t="s">
        <v>30</v>
      </c>
      <c r="T281" s="57" t="s">
        <v>30</v>
      </c>
      <c r="U281" s="57" t="s">
        <v>30</v>
      </c>
      <c r="V281" s="34" t="s">
        <v>30</v>
      </c>
      <c r="W281" s="137" t="str">
        <f t="shared" si="124"/>
        <v>NC</v>
      </c>
      <c r="X281" s="57" t="str">
        <f t="shared" si="137"/>
        <v>NC</v>
      </c>
      <c r="Y281" s="57" t="str">
        <f t="shared" si="125"/>
        <v>NC</v>
      </c>
      <c r="Z281" s="57" t="str">
        <f t="shared" si="126"/>
        <v>NC</v>
      </c>
      <c r="AA281" s="57" t="str">
        <f t="shared" si="127"/>
        <v>NC</v>
      </c>
      <c r="AB281" s="57" t="str">
        <f t="shared" si="128"/>
        <v>NC</v>
      </c>
      <c r="AC281" s="57" t="str">
        <f t="shared" si="129"/>
        <v>NC</v>
      </c>
      <c r="AD281" s="138"/>
      <c r="AE281" s="123" t="str">
        <f t="shared" si="130"/>
        <v>NC</v>
      </c>
      <c r="AF281" s="123" t="str">
        <f t="shared" si="131"/>
        <v>NC</v>
      </c>
      <c r="AG281" s="123" t="str">
        <f t="shared" si="132"/>
        <v>NC</v>
      </c>
      <c r="AH281" s="123" t="str">
        <f t="shared" si="133"/>
        <v>NC</v>
      </c>
      <c r="AI281" s="123" t="str">
        <f t="shared" si="134"/>
        <v>NC</v>
      </c>
      <c r="AJ281" s="123" t="str">
        <f t="shared" si="135"/>
        <v>NC</v>
      </c>
      <c r="AK281" s="123" t="str">
        <f t="shared" si="136"/>
        <v>NC</v>
      </c>
      <c r="AL281" s="138"/>
      <c r="AM281" s="151">
        <f t="shared" si="138"/>
        <v>3.718874830756998E-3</v>
      </c>
      <c r="AN281" s="138"/>
      <c r="AO281" s="138"/>
      <c r="AP281" s="141" t="s">
        <v>643</v>
      </c>
      <c r="AQ281" s="141" t="s">
        <v>643</v>
      </c>
      <c r="AR281" s="138"/>
      <c r="AS281" s="143" t="s">
        <v>1169</v>
      </c>
      <c r="AT281" s="143" t="s">
        <v>1351</v>
      </c>
      <c r="AU281" s="143" t="s">
        <v>1469</v>
      </c>
    </row>
    <row r="282" spans="1:47" s="124" customFormat="1" ht="14.4" customHeight="1" x14ac:dyDescent="0.3">
      <c r="A282" s="121" t="s">
        <v>122</v>
      </c>
      <c r="B282" s="117" t="s">
        <v>1461</v>
      </c>
      <c r="C282" s="121" t="s">
        <v>565</v>
      </c>
      <c r="D282" s="123" t="s">
        <v>145</v>
      </c>
      <c r="E282" s="123"/>
      <c r="F282" s="121" t="s">
        <v>326</v>
      </c>
      <c r="G282" s="120"/>
      <c r="H282" s="120" t="s">
        <v>30</v>
      </c>
      <c r="I282" s="145">
        <v>13479916.35</v>
      </c>
      <c r="J282" s="146">
        <v>2016</v>
      </c>
      <c r="K282" s="154">
        <v>45200</v>
      </c>
      <c r="L282" s="133">
        <v>43983</v>
      </c>
      <c r="M282" s="148"/>
      <c r="N282" s="149" t="s">
        <v>596</v>
      </c>
      <c r="O282" s="150">
        <v>5610</v>
      </c>
      <c r="P282" s="57" t="s">
        <v>30</v>
      </c>
      <c r="Q282" s="57" t="s">
        <v>30</v>
      </c>
      <c r="R282" s="116" t="s">
        <v>30</v>
      </c>
      <c r="S282" s="118" t="s">
        <v>30</v>
      </c>
      <c r="T282" s="57" t="s">
        <v>30</v>
      </c>
      <c r="U282" s="57" t="s">
        <v>30</v>
      </c>
      <c r="V282" s="34" t="s">
        <v>30</v>
      </c>
      <c r="W282" s="137" t="str">
        <f t="shared" si="124"/>
        <v>NC</v>
      </c>
      <c r="X282" s="57" t="str">
        <f t="shared" si="137"/>
        <v>NC</v>
      </c>
      <c r="Y282" s="57" t="str">
        <f t="shared" si="125"/>
        <v>NC</v>
      </c>
      <c r="Z282" s="57" t="str">
        <f t="shared" si="126"/>
        <v>NC</v>
      </c>
      <c r="AA282" s="57" t="str">
        <f t="shared" si="127"/>
        <v>NC</v>
      </c>
      <c r="AB282" s="57" t="str">
        <f t="shared" si="128"/>
        <v>NC</v>
      </c>
      <c r="AC282" s="57" t="str">
        <f t="shared" si="129"/>
        <v>NC</v>
      </c>
      <c r="AE282" s="123" t="str">
        <f t="shared" si="130"/>
        <v>NC</v>
      </c>
      <c r="AF282" s="123" t="str">
        <f t="shared" si="131"/>
        <v>NC</v>
      </c>
      <c r="AG282" s="123" t="str">
        <f t="shared" si="132"/>
        <v>NC</v>
      </c>
      <c r="AH282" s="123" t="str">
        <f t="shared" si="133"/>
        <v>NC</v>
      </c>
      <c r="AI282" s="123" t="str">
        <f t="shared" si="134"/>
        <v>NC</v>
      </c>
      <c r="AJ282" s="123" t="str">
        <f t="shared" si="135"/>
        <v>NC</v>
      </c>
      <c r="AK282" s="123" t="str">
        <f t="shared" si="136"/>
        <v>NC</v>
      </c>
      <c r="AL282" s="138"/>
      <c r="AM282" s="151">
        <f t="shared" si="138"/>
        <v>2.8409991736823904E-3</v>
      </c>
      <c r="AN282" s="152"/>
      <c r="AP282" s="141" t="s">
        <v>643</v>
      </c>
      <c r="AQ282" s="141" t="s">
        <v>643</v>
      </c>
      <c r="AR282" s="160"/>
      <c r="AS282" s="143" t="s">
        <v>1169</v>
      </c>
      <c r="AT282" s="143" t="s">
        <v>1353</v>
      </c>
      <c r="AU282" s="143" t="s">
        <v>1471</v>
      </c>
    </row>
    <row r="283" spans="1:47" s="124" customFormat="1" ht="14.4" customHeight="1" x14ac:dyDescent="0.3">
      <c r="A283" s="117" t="s">
        <v>123</v>
      </c>
      <c r="B283" s="117" t="s">
        <v>1461</v>
      </c>
      <c r="C283" s="121" t="s">
        <v>565</v>
      </c>
      <c r="D283" s="116" t="s">
        <v>145</v>
      </c>
      <c r="E283" s="116"/>
      <c r="F283" s="121" t="s">
        <v>327</v>
      </c>
      <c r="G283" s="120"/>
      <c r="H283" s="120" t="s">
        <v>30</v>
      </c>
      <c r="I283" s="134">
        <v>13479916</v>
      </c>
      <c r="J283" s="131">
        <v>2016</v>
      </c>
      <c r="K283" s="154"/>
      <c r="L283" s="133">
        <v>43952</v>
      </c>
      <c r="M283" s="134"/>
      <c r="N283" s="149" t="s">
        <v>596</v>
      </c>
      <c r="O283" s="136">
        <v>6231</v>
      </c>
      <c r="P283" s="57" t="s">
        <v>30</v>
      </c>
      <c r="Q283" s="57" t="s">
        <v>30</v>
      </c>
      <c r="R283" s="116" t="s">
        <v>30</v>
      </c>
      <c r="S283" s="118" t="s">
        <v>30</v>
      </c>
      <c r="T283" s="57" t="s">
        <v>30</v>
      </c>
      <c r="U283" s="57" t="s">
        <v>30</v>
      </c>
      <c r="V283" s="34" t="s">
        <v>30</v>
      </c>
      <c r="W283" s="137" t="str">
        <f t="shared" si="124"/>
        <v>NC</v>
      </c>
      <c r="X283" s="57" t="str">
        <f t="shared" si="137"/>
        <v>NC</v>
      </c>
      <c r="Y283" s="57" t="str">
        <f t="shared" si="125"/>
        <v>NC</v>
      </c>
      <c r="Z283" s="57" t="str">
        <f t="shared" si="126"/>
        <v>NC</v>
      </c>
      <c r="AA283" s="57" t="str">
        <f t="shared" si="127"/>
        <v>NC</v>
      </c>
      <c r="AB283" s="57" t="str">
        <f t="shared" si="128"/>
        <v>NC</v>
      </c>
      <c r="AC283" s="57" t="str">
        <f t="shared" si="129"/>
        <v>NC</v>
      </c>
      <c r="AE283" s="123" t="str">
        <f t="shared" si="130"/>
        <v>NC</v>
      </c>
      <c r="AF283" s="123" t="str">
        <f t="shared" si="131"/>
        <v>NC</v>
      </c>
      <c r="AG283" s="123" t="str">
        <f t="shared" si="132"/>
        <v>NC</v>
      </c>
      <c r="AH283" s="123" t="str">
        <f t="shared" si="133"/>
        <v>NC</v>
      </c>
      <c r="AI283" s="123" t="str">
        <f t="shared" si="134"/>
        <v>NC</v>
      </c>
      <c r="AJ283" s="123" t="str">
        <f t="shared" si="135"/>
        <v>NC</v>
      </c>
      <c r="AK283" s="123" t="str">
        <f t="shared" si="136"/>
        <v>NC</v>
      </c>
      <c r="AL283" s="138"/>
      <c r="AM283" s="151">
        <f t="shared" si="138"/>
        <v>2.8409990999171174E-3</v>
      </c>
      <c r="AN283" s="152"/>
      <c r="AP283" s="141" t="s">
        <v>643</v>
      </c>
      <c r="AQ283" s="141" t="s">
        <v>643</v>
      </c>
      <c r="AR283" s="160"/>
      <c r="AS283" s="143" t="s">
        <v>1169</v>
      </c>
      <c r="AT283" s="143" t="s">
        <v>1353</v>
      </c>
      <c r="AU283" s="143" t="s">
        <v>1471</v>
      </c>
    </row>
    <row r="284" spans="1:47" s="138" customFormat="1" ht="14.4" customHeight="1" x14ac:dyDescent="0.3">
      <c r="A284" s="116" t="s">
        <v>390</v>
      </c>
      <c r="B284" s="117" t="s">
        <v>1462</v>
      </c>
      <c r="C284" s="121" t="s">
        <v>565</v>
      </c>
      <c r="D284" s="116" t="s">
        <v>145</v>
      </c>
      <c r="E284" s="116"/>
      <c r="F284" s="250" t="s">
        <v>391</v>
      </c>
      <c r="G284" s="120"/>
      <c r="H284" s="120" t="s">
        <v>30</v>
      </c>
      <c r="I284" s="134">
        <v>13479916</v>
      </c>
      <c r="J284" s="120">
        <v>2016</v>
      </c>
      <c r="K284" s="154"/>
      <c r="L284" s="133">
        <v>44105</v>
      </c>
      <c r="M284" s="116"/>
      <c r="N284" s="149" t="s">
        <v>596</v>
      </c>
      <c r="O284" s="136">
        <v>4272</v>
      </c>
      <c r="P284" s="57" t="s">
        <v>30</v>
      </c>
      <c r="Q284" s="57" t="s">
        <v>30</v>
      </c>
      <c r="R284" s="57" t="s">
        <v>30</v>
      </c>
      <c r="S284" s="34" t="s">
        <v>30</v>
      </c>
      <c r="T284" s="57" t="s">
        <v>30</v>
      </c>
      <c r="U284" s="57" t="s">
        <v>30</v>
      </c>
      <c r="V284" s="34" t="s">
        <v>30</v>
      </c>
      <c r="W284" s="137" t="str">
        <f t="shared" si="124"/>
        <v>NC</v>
      </c>
      <c r="X284" s="57" t="str">
        <f t="shared" si="137"/>
        <v>NC</v>
      </c>
      <c r="Y284" s="57" t="str">
        <f t="shared" si="125"/>
        <v>NC</v>
      </c>
      <c r="Z284" s="57" t="str">
        <f t="shared" si="126"/>
        <v>NC</v>
      </c>
      <c r="AA284" s="57" t="str">
        <f t="shared" si="127"/>
        <v>NC</v>
      </c>
      <c r="AB284" s="57" t="str">
        <f t="shared" si="128"/>
        <v>NC</v>
      </c>
      <c r="AC284" s="57" t="str">
        <f t="shared" si="129"/>
        <v>NC</v>
      </c>
      <c r="AE284" s="123" t="str">
        <f t="shared" si="130"/>
        <v>NC</v>
      </c>
      <c r="AF284" s="123" t="str">
        <f t="shared" si="131"/>
        <v>NC</v>
      </c>
      <c r="AG284" s="123" t="str">
        <f t="shared" si="132"/>
        <v>NC</v>
      </c>
      <c r="AH284" s="123" t="str">
        <f t="shared" si="133"/>
        <v>NC</v>
      </c>
      <c r="AI284" s="123" t="str">
        <f t="shared" si="134"/>
        <v>NC</v>
      </c>
      <c r="AJ284" s="123" t="str">
        <f t="shared" si="135"/>
        <v>NC</v>
      </c>
      <c r="AK284" s="123" t="str">
        <f t="shared" si="136"/>
        <v>NC</v>
      </c>
      <c r="AM284" s="151">
        <f t="shared" si="138"/>
        <v>2.8409990999171174E-3</v>
      </c>
      <c r="AP284" s="141" t="s">
        <v>643</v>
      </c>
      <c r="AQ284" s="141" t="s">
        <v>643</v>
      </c>
      <c r="AS284" s="143" t="s">
        <v>1169</v>
      </c>
      <c r="AT284" s="143" t="s">
        <v>1353</v>
      </c>
      <c r="AU284" s="143" t="s">
        <v>1471</v>
      </c>
    </row>
    <row r="285" spans="1:47" s="138" customFormat="1" ht="14.4" customHeight="1" x14ac:dyDescent="0.3">
      <c r="A285" s="121" t="s">
        <v>124</v>
      </c>
      <c r="B285" s="117" t="s">
        <v>1463</v>
      </c>
      <c r="C285" s="121" t="s">
        <v>565</v>
      </c>
      <c r="D285" s="123" t="s">
        <v>46</v>
      </c>
      <c r="E285" s="123"/>
      <c r="F285" s="121" t="s">
        <v>328</v>
      </c>
      <c r="G285" s="120"/>
      <c r="H285" s="120" t="s">
        <v>30</v>
      </c>
      <c r="I285" s="145">
        <v>11807226</v>
      </c>
      <c r="J285" s="146">
        <v>2016</v>
      </c>
      <c r="K285" s="154">
        <v>45200</v>
      </c>
      <c r="L285" s="133">
        <v>43952</v>
      </c>
      <c r="M285" s="148"/>
      <c r="N285" s="149" t="s">
        <v>596</v>
      </c>
      <c r="O285" s="150">
        <v>4840</v>
      </c>
      <c r="P285" s="57" t="s">
        <v>30</v>
      </c>
      <c r="Q285" s="57" t="s">
        <v>30</v>
      </c>
      <c r="R285" s="116" t="s">
        <v>30</v>
      </c>
      <c r="S285" s="118" t="s">
        <v>30</v>
      </c>
      <c r="T285" s="57" t="s">
        <v>30</v>
      </c>
      <c r="U285" s="57" t="s">
        <v>30</v>
      </c>
      <c r="V285" s="34" t="s">
        <v>30</v>
      </c>
      <c r="W285" s="137" t="str">
        <f t="shared" si="124"/>
        <v>NC</v>
      </c>
      <c r="X285" s="57" t="str">
        <f t="shared" si="137"/>
        <v>NC</v>
      </c>
      <c r="Y285" s="57" t="str">
        <f t="shared" si="125"/>
        <v>NC</v>
      </c>
      <c r="Z285" s="57" t="str">
        <f t="shared" si="126"/>
        <v>NC</v>
      </c>
      <c r="AA285" s="57" t="str">
        <f t="shared" si="127"/>
        <v>NC</v>
      </c>
      <c r="AB285" s="57" t="str">
        <f t="shared" si="128"/>
        <v>NC</v>
      </c>
      <c r="AC285" s="57" t="str">
        <f t="shared" si="129"/>
        <v>NC</v>
      </c>
      <c r="AD285" s="124"/>
      <c r="AE285" s="123" t="str">
        <f t="shared" si="130"/>
        <v>NC</v>
      </c>
      <c r="AF285" s="123" t="str">
        <f t="shared" si="131"/>
        <v>NC</v>
      </c>
      <c r="AG285" s="123" t="str">
        <f t="shared" si="132"/>
        <v>NC</v>
      </c>
      <c r="AH285" s="123" t="str">
        <f t="shared" si="133"/>
        <v>NC</v>
      </c>
      <c r="AI285" s="123" t="str">
        <f t="shared" si="134"/>
        <v>NC</v>
      </c>
      <c r="AJ285" s="123" t="str">
        <f t="shared" si="135"/>
        <v>NC</v>
      </c>
      <c r="AK285" s="123" t="str">
        <f t="shared" si="136"/>
        <v>NC</v>
      </c>
      <c r="AM285" s="151">
        <f t="shared" si="138"/>
        <v>2.4884664295028239E-3</v>
      </c>
      <c r="AN285" s="152"/>
      <c r="AO285" s="124"/>
      <c r="AP285" s="141" t="s">
        <v>643</v>
      </c>
      <c r="AQ285" s="141" t="s">
        <v>643</v>
      </c>
      <c r="AR285" s="160"/>
      <c r="AS285" s="143" t="s">
        <v>1169</v>
      </c>
      <c r="AT285" s="143" t="s">
        <v>1354</v>
      </c>
      <c r="AU285" s="143" t="s">
        <v>1472</v>
      </c>
    </row>
    <row r="286" spans="1:47" s="124" customFormat="1" ht="14.4" customHeight="1" x14ac:dyDescent="0.3">
      <c r="A286" s="117" t="s">
        <v>168</v>
      </c>
      <c r="B286" s="117" t="s">
        <v>1464</v>
      </c>
      <c r="C286" s="121" t="s">
        <v>565</v>
      </c>
      <c r="D286" s="116" t="s">
        <v>145</v>
      </c>
      <c r="E286" s="116"/>
      <c r="F286" s="121" t="s">
        <v>329</v>
      </c>
      <c r="G286" s="120"/>
      <c r="H286" s="120" t="s">
        <v>30</v>
      </c>
      <c r="I286" s="134">
        <v>8500000</v>
      </c>
      <c r="J286" s="131">
        <v>2017</v>
      </c>
      <c r="K286" s="154">
        <v>44866</v>
      </c>
      <c r="L286" s="133">
        <v>44105</v>
      </c>
      <c r="M286" s="134"/>
      <c r="N286" s="149" t="s">
        <v>596</v>
      </c>
      <c r="O286" s="136">
        <v>2061</v>
      </c>
      <c r="P286" s="57" t="s">
        <v>30</v>
      </c>
      <c r="Q286" s="57" t="s">
        <v>30</v>
      </c>
      <c r="R286" s="116" t="s">
        <v>30</v>
      </c>
      <c r="S286" s="118" t="s">
        <v>30</v>
      </c>
      <c r="T286" s="57" t="s">
        <v>30</v>
      </c>
      <c r="U286" s="57" t="s">
        <v>30</v>
      </c>
      <c r="V286" s="34" t="s">
        <v>30</v>
      </c>
      <c r="W286" s="137" t="str">
        <f t="shared" ref="W286:W317" si="139">IF(P286="NC","NC",IF(P286="","erreur",P286+365))</f>
        <v>NC</v>
      </c>
      <c r="X286" s="57" t="str">
        <f t="shared" si="137"/>
        <v>NC</v>
      </c>
      <c r="Y286" s="57" t="str">
        <f t="shared" ref="Y286:Y317" si="140">IF(R286="NC","NC",IF(R286="","erreur",R286+365))</f>
        <v>NC</v>
      </c>
      <c r="Z286" s="57" t="str">
        <f t="shared" ref="Z286:Z317" si="141">IF(S286="NC","NC",IF(S286="","erreur",S286+3650))</f>
        <v>NC</v>
      </c>
      <c r="AA286" s="57" t="str">
        <f t="shared" ref="AA286:AA317" si="142">IF(T286="NC","NC",IF(T286="","erreur",T286+365))</f>
        <v>NC</v>
      </c>
      <c r="AB286" s="57" t="str">
        <f t="shared" ref="AB286:AB317" si="143">IF(U286="NC","NC",IF(U286="","erreur",U286+365))</f>
        <v>NC</v>
      </c>
      <c r="AC286" s="57" t="str">
        <f t="shared" ref="AC286:AC317" si="144">IF(V286="NC","NC",IF(V286="","erreur",V286+730))</f>
        <v>NC</v>
      </c>
      <c r="AE286" s="123" t="str">
        <f t="shared" ref="AE286:AE317" si="145">IF(W286="NC","NC",IF(W286="erreur","erreur",W286-$F$3))</f>
        <v>NC</v>
      </c>
      <c r="AF286" s="123" t="str">
        <f t="shared" ref="AF286:AF317" si="146">IF(X286="NC","NC",IF(X286="erreur","erreur",X286-$F$3))</f>
        <v>NC</v>
      </c>
      <c r="AG286" s="123" t="str">
        <f t="shared" ref="AG286:AG317" si="147">IF(Y286="NC","NC",IF(Y286="erreur","erreur",Y286-$F$3))</f>
        <v>NC</v>
      </c>
      <c r="AH286" s="123" t="str">
        <f t="shared" ref="AH286:AH317" si="148">IF(Z286="NC","NC",IF(Z286="erreur","erreur",Z286-$F$3))</f>
        <v>NC</v>
      </c>
      <c r="AI286" s="123" t="str">
        <f t="shared" ref="AI286:AI317" si="149">IF(AA286="NC","NC",IF(AA286="erreur","erreur",AA286-$F$3))</f>
        <v>NC</v>
      </c>
      <c r="AJ286" s="123" t="str">
        <f t="shared" ref="AJ286:AJ317" si="150">IF(AB286="NC","NC",IF(AB286="erreur","erreur",AB286-$F$3))</f>
        <v>NC</v>
      </c>
      <c r="AK286" s="123" t="str">
        <f t="shared" ref="AK286:AK317" si="151">IF(AC286="NC","NC",IF(AC286="erreur","erreur",AC286-$F$3))</f>
        <v>NC</v>
      </c>
      <c r="AL286" s="138"/>
      <c r="AM286" s="151">
        <f t="shared" si="138"/>
        <v>1.3019772244856672E-3</v>
      </c>
      <c r="AN286" s="152"/>
      <c r="AP286" s="141" t="s">
        <v>643</v>
      </c>
      <c r="AQ286" s="141" t="s">
        <v>643</v>
      </c>
      <c r="AR286" s="160"/>
      <c r="AS286" s="143" t="s">
        <v>1169</v>
      </c>
      <c r="AT286" s="143" t="s">
        <v>1355</v>
      </c>
      <c r="AU286" s="143" t="s">
        <v>1473</v>
      </c>
    </row>
    <row r="287" spans="1:47" s="124" customFormat="1" ht="14.4" customHeight="1" x14ac:dyDescent="0.3">
      <c r="A287" s="121" t="s">
        <v>125</v>
      </c>
      <c r="B287" s="117" t="s">
        <v>1136</v>
      </c>
      <c r="C287" s="121" t="s">
        <v>565</v>
      </c>
      <c r="D287" s="123" t="s">
        <v>49</v>
      </c>
      <c r="E287" s="123"/>
      <c r="F287" s="121" t="s">
        <v>322</v>
      </c>
      <c r="G287" s="120"/>
      <c r="H287" s="120" t="s">
        <v>30</v>
      </c>
      <c r="I287" s="145"/>
      <c r="J287" s="146">
        <v>2014</v>
      </c>
      <c r="K287" s="154"/>
      <c r="L287" s="133"/>
      <c r="M287" s="148"/>
      <c r="N287" s="149" t="s">
        <v>596</v>
      </c>
      <c r="O287" s="150"/>
      <c r="P287" s="57" t="s">
        <v>30</v>
      </c>
      <c r="Q287" s="57" t="s">
        <v>30</v>
      </c>
      <c r="R287" s="116" t="s">
        <v>30</v>
      </c>
      <c r="S287" s="118" t="s">
        <v>30</v>
      </c>
      <c r="T287" s="57" t="s">
        <v>30</v>
      </c>
      <c r="U287" s="57" t="s">
        <v>30</v>
      </c>
      <c r="V287" s="34" t="s">
        <v>30</v>
      </c>
      <c r="W287" s="137" t="str">
        <f t="shared" si="139"/>
        <v>NC</v>
      </c>
      <c r="X287" s="57" t="str">
        <f t="shared" si="137"/>
        <v>NC</v>
      </c>
      <c r="Y287" s="57" t="str">
        <f t="shared" si="140"/>
        <v>NC</v>
      </c>
      <c r="Z287" s="57" t="str">
        <f t="shared" si="141"/>
        <v>NC</v>
      </c>
      <c r="AA287" s="57" t="str">
        <f t="shared" si="142"/>
        <v>NC</v>
      </c>
      <c r="AB287" s="57" t="str">
        <f t="shared" si="143"/>
        <v>NC</v>
      </c>
      <c r="AC287" s="57" t="str">
        <f t="shared" si="144"/>
        <v>NC</v>
      </c>
      <c r="AE287" s="123" t="str">
        <f t="shared" si="145"/>
        <v>NC</v>
      </c>
      <c r="AF287" s="123" t="str">
        <f t="shared" si="146"/>
        <v>NC</v>
      </c>
      <c r="AG287" s="123" t="str">
        <f t="shared" si="147"/>
        <v>NC</v>
      </c>
      <c r="AH287" s="123" t="str">
        <f t="shared" si="148"/>
        <v>NC</v>
      </c>
      <c r="AI287" s="123" t="str">
        <f t="shared" si="149"/>
        <v>NC</v>
      </c>
      <c r="AJ287" s="123" t="str">
        <f t="shared" si="150"/>
        <v>NC</v>
      </c>
      <c r="AK287" s="123" t="str">
        <f t="shared" si="151"/>
        <v>NC</v>
      </c>
      <c r="AL287" s="138"/>
      <c r="AM287" s="151">
        <f t="shared" si="138"/>
        <v>0</v>
      </c>
      <c r="AN287" s="152"/>
      <c r="AP287" s="141" t="s">
        <v>643</v>
      </c>
      <c r="AQ287" s="141" t="s">
        <v>643</v>
      </c>
      <c r="AS287" s="143" t="s">
        <v>1356</v>
      </c>
      <c r="AT287" s="143" t="s">
        <v>959</v>
      </c>
      <c r="AU287" s="143" t="s">
        <v>960</v>
      </c>
    </row>
    <row r="288" spans="1:47" s="124" customFormat="1" ht="14.4" customHeight="1" x14ac:dyDescent="0.3">
      <c r="A288" s="121" t="s">
        <v>126</v>
      </c>
      <c r="B288" s="117" t="s">
        <v>1136</v>
      </c>
      <c r="C288" s="121" t="s">
        <v>565</v>
      </c>
      <c r="D288" s="123" t="s">
        <v>49</v>
      </c>
      <c r="E288" s="123"/>
      <c r="F288" s="121" t="s">
        <v>323</v>
      </c>
      <c r="G288" s="120"/>
      <c r="H288" s="120" t="s">
        <v>30</v>
      </c>
      <c r="I288" s="145"/>
      <c r="J288" s="146">
        <v>2015</v>
      </c>
      <c r="K288" s="154"/>
      <c r="L288" s="133"/>
      <c r="M288" s="148"/>
      <c r="N288" s="149" t="s">
        <v>596</v>
      </c>
      <c r="O288" s="150"/>
      <c r="P288" s="57" t="s">
        <v>30</v>
      </c>
      <c r="Q288" s="57" t="s">
        <v>30</v>
      </c>
      <c r="R288" s="116" t="s">
        <v>30</v>
      </c>
      <c r="S288" s="118" t="s">
        <v>30</v>
      </c>
      <c r="T288" s="57" t="s">
        <v>30</v>
      </c>
      <c r="U288" s="57" t="s">
        <v>30</v>
      </c>
      <c r="V288" s="34" t="s">
        <v>30</v>
      </c>
      <c r="W288" s="137" t="str">
        <f t="shared" si="139"/>
        <v>NC</v>
      </c>
      <c r="X288" s="57" t="str">
        <f t="shared" si="137"/>
        <v>NC</v>
      </c>
      <c r="Y288" s="57" t="str">
        <f t="shared" si="140"/>
        <v>NC</v>
      </c>
      <c r="Z288" s="57" t="str">
        <f t="shared" si="141"/>
        <v>NC</v>
      </c>
      <c r="AA288" s="57" t="str">
        <f t="shared" si="142"/>
        <v>NC</v>
      </c>
      <c r="AB288" s="57" t="str">
        <f t="shared" si="143"/>
        <v>NC</v>
      </c>
      <c r="AC288" s="57" t="str">
        <f t="shared" si="144"/>
        <v>NC</v>
      </c>
      <c r="AE288" s="123" t="str">
        <f t="shared" si="145"/>
        <v>NC</v>
      </c>
      <c r="AF288" s="123" t="str">
        <f t="shared" si="146"/>
        <v>NC</v>
      </c>
      <c r="AG288" s="123" t="str">
        <f t="shared" si="147"/>
        <v>NC</v>
      </c>
      <c r="AH288" s="123" t="str">
        <f t="shared" si="148"/>
        <v>NC</v>
      </c>
      <c r="AI288" s="123" t="str">
        <f t="shared" si="149"/>
        <v>NC</v>
      </c>
      <c r="AJ288" s="123" t="str">
        <f t="shared" si="150"/>
        <v>NC</v>
      </c>
      <c r="AK288" s="123" t="str">
        <f t="shared" si="151"/>
        <v>NC</v>
      </c>
      <c r="AL288" s="138"/>
      <c r="AM288" s="151">
        <f t="shared" si="138"/>
        <v>0</v>
      </c>
      <c r="AN288" s="152"/>
      <c r="AP288" s="141" t="s">
        <v>643</v>
      </c>
      <c r="AQ288" s="141" t="s">
        <v>643</v>
      </c>
      <c r="AS288" s="143" t="s">
        <v>1356</v>
      </c>
      <c r="AT288" s="143" t="s">
        <v>959</v>
      </c>
      <c r="AU288" s="143" t="s">
        <v>960</v>
      </c>
    </row>
    <row r="289" spans="1:47" s="124" customFormat="1" ht="14.4" customHeight="1" x14ac:dyDescent="0.3">
      <c r="A289" s="121" t="s">
        <v>127</v>
      </c>
      <c r="B289" s="117" t="s">
        <v>1137</v>
      </c>
      <c r="C289" s="121" t="s">
        <v>566</v>
      </c>
      <c r="D289" s="123" t="s">
        <v>46</v>
      </c>
      <c r="E289" s="123"/>
      <c r="F289" s="121" t="s">
        <v>330</v>
      </c>
      <c r="G289" s="120"/>
      <c r="H289" s="120" t="s">
        <v>30</v>
      </c>
      <c r="I289" s="145">
        <v>42600000</v>
      </c>
      <c r="J289" s="146">
        <v>2012</v>
      </c>
      <c r="K289" s="147" t="s">
        <v>609</v>
      </c>
      <c r="L289" s="133">
        <v>43952</v>
      </c>
      <c r="M289" s="148"/>
      <c r="N289" s="149" t="s">
        <v>596</v>
      </c>
      <c r="O289" s="150">
        <v>11315</v>
      </c>
      <c r="P289" s="57" t="s">
        <v>30</v>
      </c>
      <c r="Q289" s="57" t="s">
        <v>30</v>
      </c>
      <c r="R289" s="116" t="s">
        <v>30</v>
      </c>
      <c r="S289" s="118" t="s">
        <v>30</v>
      </c>
      <c r="T289" s="57" t="s">
        <v>30</v>
      </c>
      <c r="U289" s="57" t="s">
        <v>30</v>
      </c>
      <c r="V289" s="34" t="s">
        <v>30</v>
      </c>
      <c r="W289" s="137" t="str">
        <f t="shared" si="139"/>
        <v>NC</v>
      </c>
      <c r="X289" s="57" t="str">
        <f t="shared" si="137"/>
        <v>NC</v>
      </c>
      <c r="Y289" s="57" t="str">
        <f t="shared" si="140"/>
        <v>NC</v>
      </c>
      <c r="Z289" s="57" t="str">
        <f t="shared" si="141"/>
        <v>NC</v>
      </c>
      <c r="AA289" s="57" t="str">
        <f t="shared" si="142"/>
        <v>NC</v>
      </c>
      <c r="AB289" s="57" t="str">
        <f t="shared" si="143"/>
        <v>NC</v>
      </c>
      <c r="AC289" s="57" t="str">
        <f t="shared" si="144"/>
        <v>NC</v>
      </c>
      <c r="AE289" s="123" t="str">
        <f t="shared" si="145"/>
        <v>NC</v>
      </c>
      <c r="AF289" s="123" t="str">
        <f t="shared" si="146"/>
        <v>NC</v>
      </c>
      <c r="AG289" s="123" t="str">
        <f t="shared" si="147"/>
        <v>NC</v>
      </c>
      <c r="AH289" s="123" t="str">
        <f t="shared" si="148"/>
        <v>NC</v>
      </c>
      <c r="AI289" s="123" t="str">
        <f t="shared" si="149"/>
        <v>NC</v>
      </c>
      <c r="AJ289" s="123" t="str">
        <f t="shared" si="150"/>
        <v>NC</v>
      </c>
      <c r="AK289" s="123" t="str">
        <f t="shared" si="151"/>
        <v>NC</v>
      </c>
      <c r="AL289" s="138"/>
      <c r="AM289" s="151">
        <f t="shared" si="138"/>
        <v>1.8790623617216118E-2</v>
      </c>
      <c r="AN289" s="152"/>
      <c r="AP289" s="141" t="s">
        <v>643</v>
      </c>
      <c r="AQ289" s="141" t="s">
        <v>643</v>
      </c>
      <c r="AS289" s="143" t="s">
        <v>1169</v>
      </c>
      <c r="AT289" s="143" t="s">
        <v>1357</v>
      </c>
      <c r="AU289" s="143" t="s">
        <v>1358</v>
      </c>
    </row>
    <row r="290" spans="1:47" s="138" customFormat="1" ht="14.4" customHeight="1" x14ac:dyDescent="0.3">
      <c r="A290" s="121" t="s">
        <v>128</v>
      </c>
      <c r="B290" s="117" t="s">
        <v>1138</v>
      </c>
      <c r="C290" s="121" t="s">
        <v>567</v>
      </c>
      <c r="D290" s="123" t="s">
        <v>49</v>
      </c>
      <c r="E290" s="123"/>
      <c r="F290" s="121" t="s">
        <v>331</v>
      </c>
      <c r="G290" s="120"/>
      <c r="H290" s="120" t="s">
        <v>30</v>
      </c>
      <c r="I290" s="145">
        <v>8527441</v>
      </c>
      <c r="J290" s="146">
        <v>2014</v>
      </c>
      <c r="K290" s="154">
        <v>43739</v>
      </c>
      <c r="L290" s="133">
        <v>43983</v>
      </c>
      <c r="M290" s="148"/>
      <c r="N290" s="149" t="s">
        <v>596</v>
      </c>
      <c r="O290" s="150"/>
      <c r="P290" s="57" t="s">
        <v>30</v>
      </c>
      <c r="Q290" s="57" t="s">
        <v>30</v>
      </c>
      <c r="R290" s="116" t="s">
        <v>30</v>
      </c>
      <c r="S290" s="118" t="s">
        <v>30</v>
      </c>
      <c r="T290" s="57" t="s">
        <v>30</v>
      </c>
      <c r="U290" s="57" t="s">
        <v>30</v>
      </c>
      <c r="V290" s="34" t="s">
        <v>30</v>
      </c>
      <c r="W290" s="137" t="str">
        <f t="shared" si="139"/>
        <v>NC</v>
      </c>
      <c r="X290" s="57" t="str">
        <f t="shared" si="137"/>
        <v>NC</v>
      </c>
      <c r="Y290" s="57" t="str">
        <f t="shared" si="140"/>
        <v>NC</v>
      </c>
      <c r="Z290" s="57" t="str">
        <f t="shared" si="141"/>
        <v>NC</v>
      </c>
      <c r="AA290" s="57" t="str">
        <f t="shared" si="142"/>
        <v>NC</v>
      </c>
      <c r="AB290" s="57" t="str">
        <f t="shared" si="143"/>
        <v>NC</v>
      </c>
      <c r="AC290" s="57" t="str">
        <f t="shared" si="144"/>
        <v>NC</v>
      </c>
      <c r="AD290" s="124"/>
      <c r="AE290" s="123" t="str">
        <f t="shared" si="145"/>
        <v>NC</v>
      </c>
      <c r="AF290" s="123" t="str">
        <f t="shared" si="146"/>
        <v>NC</v>
      </c>
      <c r="AG290" s="123" t="str">
        <f t="shared" si="147"/>
        <v>NC</v>
      </c>
      <c r="AH290" s="123" t="str">
        <f t="shared" si="148"/>
        <v>NC</v>
      </c>
      <c r="AI290" s="123" t="str">
        <f t="shared" si="149"/>
        <v>NC</v>
      </c>
      <c r="AJ290" s="123" t="str">
        <f t="shared" si="150"/>
        <v>NC</v>
      </c>
      <c r="AK290" s="123" t="str">
        <f t="shared" si="151"/>
        <v>NC</v>
      </c>
      <c r="AM290" s="151">
        <f t="shared" si="138"/>
        <v>2.7793163309474244E-3</v>
      </c>
      <c r="AN290" s="152"/>
      <c r="AO290" s="124"/>
      <c r="AP290" s="141" t="s">
        <v>643</v>
      </c>
      <c r="AQ290" s="141" t="s">
        <v>643</v>
      </c>
      <c r="AR290" s="124"/>
      <c r="AS290" s="143" t="s">
        <v>1359</v>
      </c>
      <c r="AT290" s="143" t="s">
        <v>1360</v>
      </c>
      <c r="AU290" s="143" t="s">
        <v>1361</v>
      </c>
    </row>
    <row r="291" spans="1:47" s="138" customFormat="1" ht="14.4" customHeight="1" x14ac:dyDescent="0.3">
      <c r="A291" s="121" t="s">
        <v>129</v>
      </c>
      <c r="B291" s="117" t="s">
        <v>1138</v>
      </c>
      <c r="C291" s="121" t="s">
        <v>567</v>
      </c>
      <c r="D291" s="123" t="s">
        <v>49</v>
      </c>
      <c r="E291" s="123"/>
      <c r="F291" s="121" t="s">
        <v>332</v>
      </c>
      <c r="G291" s="120"/>
      <c r="H291" s="120" t="s">
        <v>30</v>
      </c>
      <c r="I291" s="145">
        <v>8527441</v>
      </c>
      <c r="J291" s="146">
        <v>2014</v>
      </c>
      <c r="K291" s="154">
        <v>43739</v>
      </c>
      <c r="L291" s="133">
        <v>43983</v>
      </c>
      <c r="M291" s="148"/>
      <c r="N291" s="149" t="s">
        <v>596</v>
      </c>
      <c r="O291" s="150"/>
      <c r="P291" s="57" t="s">
        <v>30</v>
      </c>
      <c r="Q291" s="57" t="s">
        <v>30</v>
      </c>
      <c r="R291" s="116" t="s">
        <v>30</v>
      </c>
      <c r="S291" s="118" t="s">
        <v>30</v>
      </c>
      <c r="T291" s="57" t="s">
        <v>30</v>
      </c>
      <c r="U291" s="57" t="s">
        <v>30</v>
      </c>
      <c r="V291" s="34" t="s">
        <v>30</v>
      </c>
      <c r="W291" s="137" t="str">
        <f t="shared" si="139"/>
        <v>NC</v>
      </c>
      <c r="X291" s="57" t="str">
        <f t="shared" si="137"/>
        <v>NC</v>
      </c>
      <c r="Y291" s="57" t="str">
        <f t="shared" si="140"/>
        <v>NC</v>
      </c>
      <c r="Z291" s="57" t="str">
        <f t="shared" si="141"/>
        <v>NC</v>
      </c>
      <c r="AA291" s="57" t="str">
        <f t="shared" si="142"/>
        <v>NC</v>
      </c>
      <c r="AB291" s="57" t="str">
        <f t="shared" si="143"/>
        <v>NC</v>
      </c>
      <c r="AC291" s="57" t="str">
        <f t="shared" si="144"/>
        <v>NC</v>
      </c>
      <c r="AD291" s="124"/>
      <c r="AE291" s="123" t="str">
        <f t="shared" si="145"/>
        <v>NC</v>
      </c>
      <c r="AF291" s="123" t="str">
        <f t="shared" si="146"/>
        <v>NC</v>
      </c>
      <c r="AG291" s="123" t="str">
        <f t="shared" si="147"/>
        <v>NC</v>
      </c>
      <c r="AH291" s="123" t="str">
        <f t="shared" si="148"/>
        <v>NC</v>
      </c>
      <c r="AI291" s="123" t="str">
        <f t="shared" si="149"/>
        <v>NC</v>
      </c>
      <c r="AJ291" s="123" t="str">
        <f t="shared" si="150"/>
        <v>NC</v>
      </c>
      <c r="AK291" s="123" t="str">
        <f t="shared" si="151"/>
        <v>NC</v>
      </c>
      <c r="AM291" s="151">
        <f t="shared" si="138"/>
        <v>2.7793163309474244E-3</v>
      </c>
      <c r="AN291" s="152"/>
      <c r="AO291" s="124"/>
      <c r="AP291" s="141" t="s">
        <v>643</v>
      </c>
      <c r="AQ291" s="141" t="s">
        <v>643</v>
      </c>
      <c r="AR291" s="124"/>
      <c r="AS291" s="143" t="s">
        <v>1359</v>
      </c>
      <c r="AT291" s="143" t="s">
        <v>1360</v>
      </c>
      <c r="AU291" s="143" t="s">
        <v>1361</v>
      </c>
    </row>
    <row r="292" spans="1:47" s="138" customFormat="1" ht="14.4" customHeight="1" x14ac:dyDescent="0.3">
      <c r="A292" s="121" t="s">
        <v>130</v>
      </c>
      <c r="B292" s="117" t="s">
        <v>1138</v>
      </c>
      <c r="C292" s="121" t="s">
        <v>567</v>
      </c>
      <c r="D292" s="123" t="s">
        <v>49</v>
      </c>
      <c r="E292" s="123"/>
      <c r="F292" s="121" t="s">
        <v>333</v>
      </c>
      <c r="G292" s="120"/>
      <c r="H292" s="120" t="s">
        <v>30</v>
      </c>
      <c r="I292" s="145">
        <v>8527441</v>
      </c>
      <c r="J292" s="146">
        <v>2014</v>
      </c>
      <c r="K292" s="154">
        <v>43739</v>
      </c>
      <c r="L292" s="133">
        <v>43983</v>
      </c>
      <c r="M292" s="148"/>
      <c r="N292" s="149" t="s">
        <v>596</v>
      </c>
      <c r="O292" s="150"/>
      <c r="P292" s="57" t="s">
        <v>30</v>
      </c>
      <c r="Q292" s="57" t="s">
        <v>30</v>
      </c>
      <c r="R292" s="116" t="s">
        <v>30</v>
      </c>
      <c r="S292" s="118" t="s">
        <v>30</v>
      </c>
      <c r="T292" s="57" t="s">
        <v>30</v>
      </c>
      <c r="U292" s="57" t="s">
        <v>30</v>
      </c>
      <c r="V292" s="34" t="s">
        <v>30</v>
      </c>
      <c r="W292" s="137" t="str">
        <f t="shared" si="139"/>
        <v>NC</v>
      </c>
      <c r="X292" s="57" t="str">
        <f t="shared" si="137"/>
        <v>NC</v>
      </c>
      <c r="Y292" s="57" t="str">
        <f t="shared" si="140"/>
        <v>NC</v>
      </c>
      <c r="Z292" s="57" t="str">
        <f t="shared" si="141"/>
        <v>NC</v>
      </c>
      <c r="AA292" s="57" t="str">
        <f t="shared" si="142"/>
        <v>NC</v>
      </c>
      <c r="AB292" s="57" t="str">
        <f t="shared" si="143"/>
        <v>NC</v>
      </c>
      <c r="AC292" s="57" t="str">
        <f t="shared" si="144"/>
        <v>NC</v>
      </c>
      <c r="AD292" s="124"/>
      <c r="AE292" s="123" t="str">
        <f t="shared" si="145"/>
        <v>NC</v>
      </c>
      <c r="AF292" s="123" t="str">
        <f t="shared" si="146"/>
        <v>NC</v>
      </c>
      <c r="AG292" s="123" t="str">
        <f t="shared" si="147"/>
        <v>NC</v>
      </c>
      <c r="AH292" s="123" t="str">
        <f t="shared" si="148"/>
        <v>NC</v>
      </c>
      <c r="AI292" s="123" t="str">
        <f t="shared" si="149"/>
        <v>NC</v>
      </c>
      <c r="AJ292" s="123" t="str">
        <f t="shared" si="150"/>
        <v>NC</v>
      </c>
      <c r="AK292" s="123" t="str">
        <f t="shared" si="151"/>
        <v>NC</v>
      </c>
      <c r="AM292" s="151">
        <f t="shared" si="138"/>
        <v>2.7793163309474244E-3</v>
      </c>
      <c r="AN292" s="152"/>
      <c r="AO292" s="124"/>
      <c r="AP292" s="141" t="s">
        <v>643</v>
      </c>
      <c r="AQ292" s="141" t="s">
        <v>643</v>
      </c>
      <c r="AR292" s="124" t="s">
        <v>580</v>
      </c>
      <c r="AS292" s="143" t="s">
        <v>1359</v>
      </c>
      <c r="AT292" s="143" t="s">
        <v>1360</v>
      </c>
      <c r="AU292" s="143" t="s">
        <v>1361</v>
      </c>
    </row>
    <row r="293" spans="1:47" s="138" customFormat="1" ht="14.4" customHeight="1" x14ac:dyDescent="0.3">
      <c r="A293" s="121" t="s">
        <v>131</v>
      </c>
      <c r="B293" s="117" t="s">
        <v>1138</v>
      </c>
      <c r="C293" s="121" t="s">
        <v>567</v>
      </c>
      <c r="D293" s="123" t="s">
        <v>49</v>
      </c>
      <c r="E293" s="123"/>
      <c r="F293" s="121" t="s">
        <v>334</v>
      </c>
      <c r="G293" s="120"/>
      <c r="H293" s="120" t="s">
        <v>30</v>
      </c>
      <c r="I293" s="145">
        <v>8527441</v>
      </c>
      <c r="J293" s="146">
        <v>2014</v>
      </c>
      <c r="K293" s="154">
        <v>43739</v>
      </c>
      <c r="L293" s="133">
        <v>43983</v>
      </c>
      <c r="M293" s="148"/>
      <c r="N293" s="149" t="s">
        <v>596</v>
      </c>
      <c r="O293" s="150"/>
      <c r="P293" s="57" t="s">
        <v>30</v>
      </c>
      <c r="Q293" s="57" t="s">
        <v>30</v>
      </c>
      <c r="R293" s="116" t="s">
        <v>30</v>
      </c>
      <c r="S293" s="118" t="s">
        <v>30</v>
      </c>
      <c r="T293" s="57" t="s">
        <v>30</v>
      </c>
      <c r="U293" s="57" t="s">
        <v>30</v>
      </c>
      <c r="V293" s="34" t="s">
        <v>30</v>
      </c>
      <c r="W293" s="137" t="str">
        <f t="shared" si="139"/>
        <v>NC</v>
      </c>
      <c r="X293" s="57" t="str">
        <f t="shared" si="137"/>
        <v>NC</v>
      </c>
      <c r="Y293" s="57" t="str">
        <f t="shared" si="140"/>
        <v>NC</v>
      </c>
      <c r="Z293" s="57" t="str">
        <f t="shared" si="141"/>
        <v>NC</v>
      </c>
      <c r="AA293" s="57" t="str">
        <f t="shared" si="142"/>
        <v>NC</v>
      </c>
      <c r="AB293" s="57" t="str">
        <f t="shared" si="143"/>
        <v>NC</v>
      </c>
      <c r="AC293" s="57" t="str">
        <f t="shared" si="144"/>
        <v>NC</v>
      </c>
      <c r="AD293" s="124"/>
      <c r="AE293" s="123" t="str">
        <f t="shared" si="145"/>
        <v>NC</v>
      </c>
      <c r="AF293" s="123" t="str">
        <f t="shared" si="146"/>
        <v>NC</v>
      </c>
      <c r="AG293" s="123" t="str">
        <f t="shared" si="147"/>
        <v>NC</v>
      </c>
      <c r="AH293" s="123" t="str">
        <f t="shared" si="148"/>
        <v>NC</v>
      </c>
      <c r="AI293" s="123" t="str">
        <f t="shared" si="149"/>
        <v>NC</v>
      </c>
      <c r="AJ293" s="123" t="str">
        <f t="shared" si="150"/>
        <v>NC</v>
      </c>
      <c r="AK293" s="123" t="str">
        <f t="shared" si="151"/>
        <v>NC</v>
      </c>
      <c r="AM293" s="151">
        <f t="shared" si="138"/>
        <v>2.7793163309474244E-3</v>
      </c>
      <c r="AN293" s="152"/>
      <c r="AO293" s="124"/>
      <c r="AP293" s="141" t="s">
        <v>643</v>
      </c>
      <c r="AQ293" s="141" t="s">
        <v>643</v>
      </c>
      <c r="AR293" s="124"/>
      <c r="AS293" s="143" t="s">
        <v>1359</v>
      </c>
      <c r="AT293" s="143" t="s">
        <v>1360</v>
      </c>
      <c r="AU293" s="143" t="s">
        <v>1361</v>
      </c>
    </row>
    <row r="294" spans="1:47" s="124" customFormat="1" ht="14.4" customHeight="1" x14ac:dyDescent="0.3">
      <c r="A294" s="117" t="s">
        <v>150</v>
      </c>
      <c r="B294" s="117" t="s">
        <v>1465</v>
      </c>
      <c r="C294" s="121" t="s">
        <v>567</v>
      </c>
      <c r="D294" s="116" t="s">
        <v>46</v>
      </c>
      <c r="E294" s="116"/>
      <c r="F294" s="117" t="s">
        <v>636</v>
      </c>
      <c r="G294" s="120"/>
      <c r="H294" s="120" t="s">
        <v>30</v>
      </c>
      <c r="I294" s="134">
        <v>12000000</v>
      </c>
      <c r="J294" s="131">
        <v>2014</v>
      </c>
      <c r="K294" s="154">
        <v>44531</v>
      </c>
      <c r="L294" s="133">
        <v>43952</v>
      </c>
      <c r="M294" s="134"/>
      <c r="N294" s="149" t="s">
        <v>596</v>
      </c>
      <c r="O294" s="136">
        <v>8516</v>
      </c>
      <c r="P294" s="57" t="s">
        <v>30</v>
      </c>
      <c r="Q294" s="57" t="s">
        <v>30</v>
      </c>
      <c r="R294" s="116" t="s">
        <v>30</v>
      </c>
      <c r="S294" s="118" t="s">
        <v>30</v>
      </c>
      <c r="T294" s="57" t="s">
        <v>30</v>
      </c>
      <c r="U294" s="57" t="s">
        <v>30</v>
      </c>
      <c r="V294" s="34" t="s">
        <v>30</v>
      </c>
      <c r="W294" s="137" t="str">
        <f t="shared" si="139"/>
        <v>NC</v>
      </c>
      <c r="X294" s="57" t="str">
        <f t="shared" si="137"/>
        <v>NC</v>
      </c>
      <c r="Y294" s="57" t="str">
        <f t="shared" si="140"/>
        <v>NC</v>
      </c>
      <c r="Z294" s="57" t="str">
        <f t="shared" si="141"/>
        <v>NC</v>
      </c>
      <c r="AA294" s="57" t="str">
        <f t="shared" si="142"/>
        <v>NC</v>
      </c>
      <c r="AB294" s="57" t="str">
        <f t="shared" si="143"/>
        <v>NC</v>
      </c>
      <c r="AC294" s="57" t="str">
        <f t="shared" si="144"/>
        <v>NC</v>
      </c>
      <c r="AE294" s="123" t="str">
        <f t="shared" si="145"/>
        <v>NC</v>
      </c>
      <c r="AF294" s="123" t="str">
        <f t="shared" si="146"/>
        <v>NC</v>
      </c>
      <c r="AG294" s="123" t="str">
        <f t="shared" si="147"/>
        <v>NC</v>
      </c>
      <c r="AH294" s="123" t="str">
        <f t="shared" si="148"/>
        <v>NC</v>
      </c>
      <c r="AI294" s="123" t="str">
        <f t="shared" si="149"/>
        <v>NC</v>
      </c>
      <c r="AJ294" s="123" t="str">
        <f t="shared" si="150"/>
        <v>NC</v>
      </c>
      <c r="AK294" s="123" t="str">
        <f t="shared" si="151"/>
        <v>NC</v>
      </c>
      <c r="AL294" s="138"/>
      <c r="AM294" s="151">
        <f t="shared" si="138"/>
        <v>3.9111142453368006E-3</v>
      </c>
      <c r="AN294" s="140"/>
      <c r="AP294" s="141" t="s">
        <v>643</v>
      </c>
      <c r="AQ294" s="141" t="s">
        <v>643</v>
      </c>
      <c r="AS294" s="143" t="s">
        <v>1359</v>
      </c>
      <c r="AT294" s="143" t="s">
        <v>1362</v>
      </c>
      <c r="AU294" s="143" t="s">
        <v>1363</v>
      </c>
    </row>
    <row r="295" spans="1:47" s="138" customFormat="1" ht="14.4" customHeight="1" x14ac:dyDescent="0.3">
      <c r="A295" s="117" t="s">
        <v>498</v>
      </c>
      <c r="B295" s="117" t="s">
        <v>1139</v>
      </c>
      <c r="C295" s="117" t="s">
        <v>567</v>
      </c>
      <c r="D295" s="116" t="s">
        <v>46</v>
      </c>
      <c r="E295" s="116"/>
      <c r="F295" s="251" t="s">
        <v>688</v>
      </c>
      <c r="G295" s="120"/>
      <c r="H295" s="120" t="s">
        <v>30</v>
      </c>
      <c r="I295" s="153">
        <v>36500000</v>
      </c>
      <c r="J295" s="131">
        <v>2014</v>
      </c>
      <c r="K295" s="132"/>
      <c r="L295" s="133" t="s">
        <v>1022</v>
      </c>
      <c r="M295" s="134"/>
      <c r="N295" s="149" t="s">
        <v>596</v>
      </c>
      <c r="O295" s="136"/>
      <c r="P295" s="57" t="s">
        <v>30</v>
      </c>
      <c r="Q295" s="57" t="s">
        <v>30</v>
      </c>
      <c r="R295" s="116" t="s">
        <v>30</v>
      </c>
      <c r="S295" s="118" t="s">
        <v>30</v>
      </c>
      <c r="T295" s="57" t="s">
        <v>30</v>
      </c>
      <c r="U295" s="57" t="s">
        <v>30</v>
      </c>
      <c r="V295" s="34" t="s">
        <v>30</v>
      </c>
      <c r="W295" s="137" t="str">
        <f t="shared" si="139"/>
        <v>NC</v>
      </c>
      <c r="X295" s="57" t="str">
        <f t="shared" ref="X295:X325" si="152">IF(Q295="NC","NC",IF(Q295="","erreur",Q295+181))</f>
        <v>NC</v>
      </c>
      <c r="Y295" s="57" t="str">
        <f t="shared" si="140"/>
        <v>NC</v>
      </c>
      <c r="Z295" s="57" t="str">
        <f t="shared" si="141"/>
        <v>NC</v>
      </c>
      <c r="AA295" s="57" t="str">
        <f t="shared" si="142"/>
        <v>NC</v>
      </c>
      <c r="AB295" s="57" t="str">
        <f t="shared" si="143"/>
        <v>NC</v>
      </c>
      <c r="AC295" s="57" t="str">
        <f t="shared" si="144"/>
        <v>NC</v>
      </c>
      <c r="AE295" s="123" t="str">
        <f t="shared" si="145"/>
        <v>NC</v>
      </c>
      <c r="AF295" s="123" t="str">
        <f t="shared" si="146"/>
        <v>NC</v>
      </c>
      <c r="AG295" s="123" t="str">
        <f t="shared" si="147"/>
        <v>NC</v>
      </c>
      <c r="AH295" s="123" t="str">
        <f t="shared" si="148"/>
        <v>NC</v>
      </c>
      <c r="AI295" s="123" t="str">
        <f t="shared" si="149"/>
        <v>NC</v>
      </c>
      <c r="AJ295" s="123" t="str">
        <f t="shared" si="150"/>
        <v>NC</v>
      </c>
      <c r="AK295" s="123" t="str">
        <f t="shared" si="151"/>
        <v>NC</v>
      </c>
      <c r="AM295" s="151">
        <f t="shared" si="138"/>
        <v>1.1896305829566103E-2</v>
      </c>
      <c r="AN295" s="140"/>
      <c r="AP295" s="141" t="s">
        <v>643</v>
      </c>
      <c r="AQ295" s="141" t="s">
        <v>643</v>
      </c>
      <c r="AS295" s="142" t="s">
        <v>1169</v>
      </c>
      <c r="AT295" s="143" t="s">
        <v>1364</v>
      </c>
      <c r="AU295" s="143" t="s">
        <v>1365</v>
      </c>
    </row>
    <row r="296" spans="1:47" s="124" customFormat="1" ht="14.4" customHeight="1" x14ac:dyDescent="0.3">
      <c r="A296" s="117" t="s">
        <v>499</v>
      </c>
      <c r="B296" s="117" t="s">
        <v>1139</v>
      </c>
      <c r="C296" s="117" t="s">
        <v>567</v>
      </c>
      <c r="D296" s="116" t="s">
        <v>46</v>
      </c>
      <c r="E296" s="116"/>
      <c r="F296" s="117" t="s">
        <v>689</v>
      </c>
      <c r="G296" s="120"/>
      <c r="H296" s="120" t="s">
        <v>30</v>
      </c>
      <c r="I296" s="153">
        <v>36500000</v>
      </c>
      <c r="J296" s="131">
        <v>2014</v>
      </c>
      <c r="K296" s="132"/>
      <c r="L296" s="133" t="s">
        <v>1022</v>
      </c>
      <c r="M296" s="134"/>
      <c r="N296" s="149" t="s">
        <v>596</v>
      </c>
      <c r="O296" s="136"/>
      <c r="P296" s="57" t="s">
        <v>30</v>
      </c>
      <c r="Q296" s="57" t="s">
        <v>30</v>
      </c>
      <c r="R296" s="116" t="s">
        <v>30</v>
      </c>
      <c r="S296" s="118" t="s">
        <v>30</v>
      </c>
      <c r="T296" s="57" t="s">
        <v>30</v>
      </c>
      <c r="U296" s="57" t="s">
        <v>30</v>
      </c>
      <c r="V296" s="34" t="s">
        <v>30</v>
      </c>
      <c r="W296" s="137" t="str">
        <f t="shared" si="139"/>
        <v>NC</v>
      </c>
      <c r="X296" s="57" t="str">
        <f t="shared" si="152"/>
        <v>NC</v>
      </c>
      <c r="Y296" s="57" t="str">
        <f t="shared" si="140"/>
        <v>NC</v>
      </c>
      <c r="Z296" s="57" t="str">
        <f t="shared" si="141"/>
        <v>NC</v>
      </c>
      <c r="AA296" s="57" t="str">
        <f t="shared" si="142"/>
        <v>NC</v>
      </c>
      <c r="AB296" s="57" t="str">
        <f t="shared" si="143"/>
        <v>NC</v>
      </c>
      <c r="AC296" s="57" t="str">
        <f t="shared" si="144"/>
        <v>NC</v>
      </c>
      <c r="AD296" s="138"/>
      <c r="AE296" s="123" t="str">
        <f t="shared" si="145"/>
        <v>NC</v>
      </c>
      <c r="AF296" s="123" t="str">
        <f t="shared" si="146"/>
        <v>NC</v>
      </c>
      <c r="AG296" s="123" t="str">
        <f t="shared" si="147"/>
        <v>NC</v>
      </c>
      <c r="AH296" s="123" t="str">
        <f t="shared" si="148"/>
        <v>NC</v>
      </c>
      <c r="AI296" s="123" t="str">
        <f t="shared" si="149"/>
        <v>NC</v>
      </c>
      <c r="AJ296" s="123" t="str">
        <f t="shared" si="150"/>
        <v>NC</v>
      </c>
      <c r="AK296" s="123" t="str">
        <f t="shared" si="151"/>
        <v>NC</v>
      </c>
      <c r="AL296" s="138"/>
      <c r="AM296" s="151">
        <f t="shared" si="138"/>
        <v>1.1896305829566103E-2</v>
      </c>
      <c r="AN296" s="140"/>
      <c r="AO296" s="138"/>
      <c r="AP296" s="141" t="s">
        <v>643</v>
      </c>
      <c r="AQ296" s="141" t="s">
        <v>643</v>
      </c>
      <c r="AR296" s="138"/>
      <c r="AS296" s="142" t="s">
        <v>1169</v>
      </c>
      <c r="AT296" s="143" t="s">
        <v>1364</v>
      </c>
      <c r="AU296" s="143" t="s">
        <v>1365</v>
      </c>
    </row>
    <row r="297" spans="1:47" s="124" customFormat="1" ht="14.4" customHeight="1" x14ac:dyDescent="0.3">
      <c r="A297" s="121" t="s">
        <v>132</v>
      </c>
      <c r="B297" s="121" t="s">
        <v>1466</v>
      </c>
      <c r="C297" s="121" t="s">
        <v>568</v>
      </c>
      <c r="D297" s="123" t="s">
        <v>49</v>
      </c>
      <c r="E297" s="123"/>
      <c r="F297" s="121" t="s">
        <v>335</v>
      </c>
      <c r="G297" s="120"/>
      <c r="H297" s="120" t="s">
        <v>30</v>
      </c>
      <c r="I297" s="145">
        <v>13500000</v>
      </c>
      <c r="J297" s="146">
        <v>2018</v>
      </c>
      <c r="K297" s="154">
        <v>45017</v>
      </c>
      <c r="L297" s="133">
        <v>44166</v>
      </c>
      <c r="M297" s="148"/>
      <c r="N297" s="149" t="s">
        <v>596</v>
      </c>
      <c r="O297" s="150"/>
      <c r="P297" s="57" t="s">
        <v>30</v>
      </c>
      <c r="Q297" s="57" t="s">
        <v>30</v>
      </c>
      <c r="R297" s="116" t="s">
        <v>30</v>
      </c>
      <c r="S297" s="118" t="s">
        <v>30</v>
      </c>
      <c r="T297" s="57" t="s">
        <v>30</v>
      </c>
      <c r="U297" s="57" t="s">
        <v>30</v>
      </c>
      <c r="V297" s="34" t="s">
        <v>30</v>
      </c>
      <c r="W297" s="137" t="str">
        <f t="shared" si="139"/>
        <v>NC</v>
      </c>
      <c r="X297" s="57" t="str">
        <f t="shared" si="152"/>
        <v>NC</v>
      </c>
      <c r="Y297" s="57" t="str">
        <f t="shared" si="140"/>
        <v>NC</v>
      </c>
      <c r="Z297" s="57" t="str">
        <f t="shared" si="141"/>
        <v>NC</v>
      </c>
      <c r="AA297" s="57" t="str">
        <f t="shared" si="142"/>
        <v>NC</v>
      </c>
      <c r="AB297" s="57" t="str">
        <f t="shared" si="143"/>
        <v>NC</v>
      </c>
      <c r="AC297" s="57" t="str">
        <f t="shared" si="144"/>
        <v>NC</v>
      </c>
      <c r="AE297" s="123" t="str">
        <f t="shared" si="145"/>
        <v>NC</v>
      </c>
      <c r="AF297" s="123" t="str">
        <f t="shared" si="146"/>
        <v>NC</v>
      </c>
      <c r="AG297" s="123" t="str">
        <f t="shared" si="147"/>
        <v>NC</v>
      </c>
      <c r="AH297" s="123" t="str">
        <f t="shared" si="148"/>
        <v>NC</v>
      </c>
      <c r="AI297" s="123" t="str">
        <f t="shared" si="149"/>
        <v>NC</v>
      </c>
      <c r="AJ297" s="123" t="str">
        <f t="shared" si="150"/>
        <v>NC</v>
      </c>
      <c r="AK297" s="123" t="str">
        <f t="shared" si="151"/>
        <v>NC</v>
      </c>
      <c r="AL297" s="138"/>
      <c r="AM297" s="151">
        <f t="shared" si="138"/>
        <v>1.2904603980859947E-3</v>
      </c>
      <c r="AN297" s="152"/>
      <c r="AP297" s="141" t="s">
        <v>643</v>
      </c>
      <c r="AQ297" s="141" t="s">
        <v>643</v>
      </c>
      <c r="AS297" s="143" t="s">
        <v>1169</v>
      </c>
      <c r="AT297" s="143" t="s">
        <v>1366</v>
      </c>
      <c r="AU297" s="143" t="s">
        <v>1474</v>
      </c>
    </row>
    <row r="298" spans="1:47" s="124" customFormat="1" ht="14.4" customHeight="1" x14ac:dyDescent="0.3">
      <c r="A298" s="121" t="s">
        <v>24</v>
      </c>
      <c r="B298" s="117" t="s">
        <v>1140</v>
      </c>
      <c r="C298" s="121" t="s">
        <v>568</v>
      </c>
      <c r="D298" s="123" t="s">
        <v>46</v>
      </c>
      <c r="E298" s="123"/>
      <c r="F298" s="121" t="s">
        <v>336</v>
      </c>
      <c r="G298" s="120"/>
      <c r="H298" s="120" t="s">
        <v>30</v>
      </c>
      <c r="I298" s="153">
        <v>6831596</v>
      </c>
      <c r="J298" s="146">
        <v>2018</v>
      </c>
      <c r="K298" s="154">
        <v>45108</v>
      </c>
      <c r="L298" s="133">
        <v>43862</v>
      </c>
      <c r="M298" s="148"/>
      <c r="N298" s="149" t="s">
        <v>596</v>
      </c>
      <c r="O298" s="150">
        <v>632</v>
      </c>
      <c r="P298" s="57" t="s">
        <v>30</v>
      </c>
      <c r="Q298" s="57" t="s">
        <v>30</v>
      </c>
      <c r="R298" s="116" t="s">
        <v>30</v>
      </c>
      <c r="S298" s="118" t="s">
        <v>30</v>
      </c>
      <c r="T298" s="57" t="s">
        <v>30</v>
      </c>
      <c r="U298" s="57" t="s">
        <v>30</v>
      </c>
      <c r="V298" s="34" t="s">
        <v>30</v>
      </c>
      <c r="W298" s="137" t="str">
        <f t="shared" si="139"/>
        <v>NC</v>
      </c>
      <c r="X298" s="57" t="str">
        <f t="shared" si="152"/>
        <v>NC</v>
      </c>
      <c r="Y298" s="57" t="str">
        <f t="shared" si="140"/>
        <v>NC</v>
      </c>
      <c r="Z298" s="57" t="str">
        <f t="shared" si="141"/>
        <v>NC</v>
      </c>
      <c r="AA298" s="57" t="str">
        <f t="shared" si="142"/>
        <v>NC</v>
      </c>
      <c r="AB298" s="57" t="str">
        <f t="shared" si="143"/>
        <v>NC</v>
      </c>
      <c r="AC298" s="57" t="str">
        <f t="shared" si="144"/>
        <v>NC</v>
      </c>
      <c r="AE298" s="123" t="str">
        <f t="shared" si="145"/>
        <v>NC</v>
      </c>
      <c r="AF298" s="123" t="str">
        <f t="shared" si="146"/>
        <v>NC</v>
      </c>
      <c r="AG298" s="123" t="str">
        <f t="shared" si="147"/>
        <v>NC</v>
      </c>
      <c r="AH298" s="123" t="str">
        <f t="shared" si="148"/>
        <v>NC</v>
      </c>
      <c r="AI298" s="123" t="str">
        <f t="shared" si="149"/>
        <v>NC</v>
      </c>
      <c r="AJ298" s="123" t="str">
        <f t="shared" si="150"/>
        <v>NC</v>
      </c>
      <c r="AK298" s="123" t="str">
        <f t="shared" si="151"/>
        <v>NC</v>
      </c>
      <c r="AL298" s="138"/>
      <c r="AM298" s="151">
        <f t="shared" si="138"/>
        <v>6.5302993286834741E-4</v>
      </c>
      <c r="AN298" s="152"/>
      <c r="AP298" s="141" t="s">
        <v>643</v>
      </c>
      <c r="AQ298" s="141" t="s">
        <v>643</v>
      </c>
      <c r="AS298" s="143" t="s">
        <v>1367</v>
      </c>
      <c r="AT298" s="143" t="s">
        <v>1360</v>
      </c>
      <c r="AU298" s="143"/>
    </row>
    <row r="299" spans="1:47" s="124" customFormat="1" ht="14.4" customHeight="1" x14ac:dyDescent="0.3">
      <c r="A299" s="121" t="s">
        <v>25</v>
      </c>
      <c r="B299" s="117" t="s">
        <v>1141</v>
      </c>
      <c r="C299" s="121" t="s">
        <v>568</v>
      </c>
      <c r="D299" s="123" t="s">
        <v>46</v>
      </c>
      <c r="E299" s="123"/>
      <c r="F299" s="121" t="s">
        <v>337</v>
      </c>
      <c r="G299" s="120"/>
      <c r="H299" s="120" t="s">
        <v>30</v>
      </c>
      <c r="I299" s="153">
        <v>8340000</v>
      </c>
      <c r="J299" s="146">
        <v>2018</v>
      </c>
      <c r="K299" s="154">
        <v>45108</v>
      </c>
      <c r="L299" s="133" t="s">
        <v>1022</v>
      </c>
      <c r="M299" s="148"/>
      <c r="N299" s="149" t="s">
        <v>596</v>
      </c>
      <c r="O299" s="150">
        <v>389</v>
      </c>
      <c r="P299" s="57" t="s">
        <v>30</v>
      </c>
      <c r="Q299" s="57" t="s">
        <v>30</v>
      </c>
      <c r="R299" s="116" t="s">
        <v>30</v>
      </c>
      <c r="S299" s="118" t="s">
        <v>30</v>
      </c>
      <c r="T299" s="57" t="s">
        <v>30</v>
      </c>
      <c r="U299" s="57" t="s">
        <v>30</v>
      </c>
      <c r="V299" s="34" t="s">
        <v>30</v>
      </c>
      <c r="W299" s="137" t="str">
        <f t="shared" si="139"/>
        <v>NC</v>
      </c>
      <c r="X299" s="57" t="str">
        <f t="shared" si="152"/>
        <v>NC</v>
      </c>
      <c r="Y299" s="57" t="str">
        <f t="shared" si="140"/>
        <v>NC</v>
      </c>
      <c r="Z299" s="57" t="str">
        <f t="shared" si="141"/>
        <v>NC</v>
      </c>
      <c r="AA299" s="57" t="str">
        <f t="shared" si="142"/>
        <v>NC</v>
      </c>
      <c r="AB299" s="57" t="str">
        <f t="shared" si="143"/>
        <v>NC</v>
      </c>
      <c r="AC299" s="57" t="str">
        <f t="shared" si="144"/>
        <v>NC</v>
      </c>
      <c r="AE299" s="123" t="str">
        <f t="shared" si="145"/>
        <v>NC</v>
      </c>
      <c r="AF299" s="123" t="str">
        <f t="shared" si="146"/>
        <v>NC</v>
      </c>
      <c r="AG299" s="123" t="str">
        <f t="shared" si="147"/>
        <v>NC</v>
      </c>
      <c r="AH299" s="123" t="str">
        <f t="shared" si="148"/>
        <v>NC</v>
      </c>
      <c r="AI299" s="123" t="str">
        <f t="shared" si="149"/>
        <v>NC</v>
      </c>
      <c r="AJ299" s="123" t="str">
        <f t="shared" si="150"/>
        <v>NC</v>
      </c>
      <c r="AK299" s="123" t="str">
        <f t="shared" si="151"/>
        <v>NC</v>
      </c>
      <c r="AL299" s="138"/>
      <c r="AM299" s="151">
        <f t="shared" si="138"/>
        <v>7.9721775703979231E-4</v>
      </c>
      <c r="AN299" s="152"/>
      <c r="AP299" s="141" t="s">
        <v>643</v>
      </c>
      <c r="AQ299" s="141" t="s">
        <v>643</v>
      </c>
      <c r="AS299" s="143" t="s">
        <v>1367</v>
      </c>
      <c r="AT299" s="143" t="s">
        <v>1368</v>
      </c>
      <c r="AU299" s="143"/>
    </row>
    <row r="300" spans="1:47" s="124" customFormat="1" ht="14.4" customHeight="1" x14ac:dyDescent="0.3">
      <c r="A300" s="121" t="s">
        <v>640</v>
      </c>
      <c r="B300" s="117" t="s">
        <v>1142</v>
      </c>
      <c r="C300" s="121" t="s">
        <v>629</v>
      </c>
      <c r="D300" s="123" t="s">
        <v>46</v>
      </c>
      <c r="E300" s="123"/>
      <c r="F300" s="121" t="s">
        <v>814</v>
      </c>
      <c r="G300" s="120"/>
      <c r="H300" s="120" t="s">
        <v>30</v>
      </c>
      <c r="I300" s="153">
        <v>36500000</v>
      </c>
      <c r="J300" s="146">
        <v>2018</v>
      </c>
      <c r="K300" s="154"/>
      <c r="L300" s="133">
        <v>43952</v>
      </c>
      <c r="M300" s="148"/>
      <c r="N300" s="149" t="s">
        <v>596</v>
      </c>
      <c r="O300" s="150"/>
      <c r="P300" s="57" t="s">
        <v>30</v>
      </c>
      <c r="Q300" s="57" t="s">
        <v>30</v>
      </c>
      <c r="R300" s="116" t="s">
        <v>30</v>
      </c>
      <c r="S300" s="118" t="s">
        <v>30</v>
      </c>
      <c r="T300" s="57" t="s">
        <v>30</v>
      </c>
      <c r="U300" s="57" t="s">
        <v>30</v>
      </c>
      <c r="V300" s="34" t="s">
        <v>30</v>
      </c>
      <c r="W300" s="137" t="str">
        <f t="shared" si="139"/>
        <v>NC</v>
      </c>
      <c r="X300" s="57" t="str">
        <f t="shared" si="152"/>
        <v>NC</v>
      </c>
      <c r="Y300" s="57" t="str">
        <f t="shared" si="140"/>
        <v>NC</v>
      </c>
      <c r="Z300" s="57" t="str">
        <f t="shared" si="141"/>
        <v>NC</v>
      </c>
      <c r="AA300" s="57" t="str">
        <f t="shared" si="142"/>
        <v>NC</v>
      </c>
      <c r="AB300" s="57" t="str">
        <f t="shared" si="143"/>
        <v>NC</v>
      </c>
      <c r="AC300" s="57" t="str">
        <f t="shared" si="144"/>
        <v>NC</v>
      </c>
      <c r="AE300" s="123" t="str">
        <f t="shared" si="145"/>
        <v>NC</v>
      </c>
      <c r="AF300" s="123" t="str">
        <f t="shared" si="146"/>
        <v>NC</v>
      </c>
      <c r="AG300" s="123" t="str">
        <f t="shared" si="147"/>
        <v>NC</v>
      </c>
      <c r="AH300" s="123" t="str">
        <f t="shared" si="148"/>
        <v>NC</v>
      </c>
      <c r="AI300" s="123" t="str">
        <f t="shared" si="149"/>
        <v>NC</v>
      </c>
      <c r="AJ300" s="123" t="str">
        <f t="shared" si="150"/>
        <v>NC</v>
      </c>
      <c r="AK300" s="123" t="str">
        <f t="shared" si="151"/>
        <v>NC</v>
      </c>
      <c r="AL300" s="138"/>
      <c r="AM300" s="151">
        <f t="shared" si="138"/>
        <v>3.4890225577880597E-3</v>
      </c>
      <c r="AN300" s="152"/>
      <c r="AP300" s="141" t="s">
        <v>643</v>
      </c>
      <c r="AQ300" s="141" t="s">
        <v>643</v>
      </c>
      <c r="AS300" s="143" t="s">
        <v>1169</v>
      </c>
      <c r="AT300" s="143" t="s">
        <v>959</v>
      </c>
      <c r="AU300" s="143" t="s">
        <v>1365</v>
      </c>
    </row>
    <row r="301" spans="1:47" s="124" customFormat="1" ht="14.4" customHeight="1" x14ac:dyDescent="0.3">
      <c r="A301" s="116" t="s">
        <v>628</v>
      </c>
      <c r="B301" s="117" t="s">
        <v>1467</v>
      </c>
      <c r="C301" s="117" t="s">
        <v>629</v>
      </c>
      <c r="D301" s="116" t="s">
        <v>46</v>
      </c>
      <c r="E301" s="116"/>
      <c r="F301" s="117" t="s">
        <v>738</v>
      </c>
      <c r="G301" s="120"/>
      <c r="H301" s="120" t="s">
        <v>30</v>
      </c>
      <c r="I301" s="134">
        <v>7764000</v>
      </c>
      <c r="J301" s="120">
        <v>2018</v>
      </c>
      <c r="K301" s="132"/>
      <c r="L301" s="158">
        <v>43952</v>
      </c>
      <c r="M301" s="116"/>
      <c r="N301" s="135" t="s">
        <v>596</v>
      </c>
      <c r="O301" s="116"/>
      <c r="P301" s="57" t="s">
        <v>30</v>
      </c>
      <c r="Q301" s="57" t="s">
        <v>30</v>
      </c>
      <c r="R301" s="57" t="s">
        <v>30</v>
      </c>
      <c r="S301" s="34" t="s">
        <v>30</v>
      </c>
      <c r="T301" s="57" t="s">
        <v>30</v>
      </c>
      <c r="U301" s="57" t="s">
        <v>30</v>
      </c>
      <c r="V301" s="34" t="s">
        <v>30</v>
      </c>
      <c r="W301" s="137" t="str">
        <f t="shared" si="139"/>
        <v>NC</v>
      </c>
      <c r="X301" s="57" t="str">
        <f t="shared" si="152"/>
        <v>NC</v>
      </c>
      <c r="Y301" s="57" t="str">
        <f t="shared" si="140"/>
        <v>NC</v>
      </c>
      <c r="Z301" s="57" t="str">
        <f t="shared" si="141"/>
        <v>NC</v>
      </c>
      <c r="AA301" s="57" t="str">
        <f t="shared" si="142"/>
        <v>NC</v>
      </c>
      <c r="AB301" s="57" t="str">
        <f t="shared" si="143"/>
        <v>NC</v>
      </c>
      <c r="AC301" s="57" t="str">
        <f t="shared" si="144"/>
        <v>NC</v>
      </c>
      <c r="AD301" s="138"/>
      <c r="AE301" s="123" t="str">
        <f t="shared" si="145"/>
        <v>NC</v>
      </c>
      <c r="AF301" s="123" t="str">
        <f t="shared" si="146"/>
        <v>NC</v>
      </c>
      <c r="AG301" s="123" t="str">
        <f t="shared" si="147"/>
        <v>NC</v>
      </c>
      <c r="AH301" s="123" t="str">
        <f t="shared" si="148"/>
        <v>NC</v>
      </c>
      <c r="AI301" s="123" t="str">
        <f t="shared" si="149"/>
        <v>NC</v>
      </c>
      <c r="AJ301" s="123" t="str">
        <f t="shared" si="150"/>
        <v>NC</v>
      </c>
      <c r="AK301" s="123" t="str">
        <f t="shared" si="151"/>
        <v>NC</v>
      </c>
      <c r="AL301" s="138"/>
      <c r="AM301" s="151">
        <f t="shared" si="138"/>
        <v>7.4215811338812314E-4</v>
      </c>
      <c r="AN301" s="138"/>
      <c r="AO301" s="138"/>
      <c r="AP301" s="141" t="s">
        <v>643</v>
      </c>
      <c r="AQ301" s="141" t="s">
        <v>643</v>
      </c>
      <c r="AR301" s="138"/>
      <c r="AS301" s="142" t="s">
        <v>1169</v>
      </c>
      <c r="AT301" s="143" t="s">
        <v>1355</v>
      </c>
      <c r="AU301" s="143" t="s">
        <v>1473</v>
      </c>
    </row>
    <row r="302" spans="1:47" s="138" customFormat="1" ht="14.4" customHeight="1" x14ac:dyDescent="0.3">
      <c r="A302" s="116" t="s">
        <v>824</v>
      </c>
      <c r="B302" s="116" t="s">
        <v>1468</v>
      </c>
      <c r="C302" s="117" t="s">
        <v>629</v>
      </c>
      <c r="D302" s="116" t="s">
        <v>145</v>
      </c>
      <c r="E302" s="116" t="s">
        <v>933</v>
      </c>
      <c r="F302" s="117" t="s">
        <v>972</v>
      </c>
      <c r="G302" s="120"/>
      <c r="H302" s="120" t="s">
        <v>30</v>
      </c>
      <c r="I302" s="134">
        <v>6990000</v>
      </c>
      <c r="J302" s="120">
        <v>2019</v>
      </c>
      <c r="K302" s="132"/>
      <c r="L302" s="158">
        <v>44013</v>
      </c>
      <c r="M302" s="116"/>
      <c r="N302" s="135" t="s">
        <v>596</v>
      </c>
      <c r="O302" s="116"/>
      <c r="P302" s="57" t="s">
        <v>30</v>
      </c>
      <c r="Q302" s="57" t="s">
        <v>30</v>
      </c>
      <c r="R302" s="57" t="s">
        <v>30</v>
      </c>
      <c r="S302" s="34" t="s">
        <v>30</v>
      </c>
      <c r="T302" s="57" t="s">
        <v>30</v>
      </c>
      <c r="U302" s="57" t="s">
        <v>30</v>
      </c>
      <c r="V302" s="34" t="s">
        <v>30</v>
      </c>
      <c r="W302" s="137" t="str">
        <f t="shared" si="139"/>
        <v>NC</v>
      </c>
      <c r="X302" s="57" t="str">
        <f t="shared" si="152"/>
        <v>NC</v>
      </c>
      <c r="Y302" s="57" t="str">
        <f t="shared" si="140"/>
        <v>NC</v>
      </c>
      <c r="Z302" s="57" t="str">
        <f t="shared" si="141"/>
        <v>NC</v>
      </c>
      <c r="AA302" s="57" t="str">
        <f t="shared" si="142"/>
        <v>NC</v>
      </c>
      <c r="AB302" s="57" t="str">
        <f t="shared" si="143"/>
        <v>NC</v>
      </c>
      <c r="AC302" s="57" t="str">
        <f t="shared" si="144"/>
        <v>NC</v>
      </c>
      <c r="AE302" s="123" t="str">
        <f t="shared" si="145"/>
        <v>NC</v>
      </c>
      <c r="AF302" s="123" t="str">
        <f t="shared" si="146"/>
        <v>NC</v>
      </c>
      <c r="AG302" s="123" t="str">
        <f t="shared" si="147"/>
        <v>NC</v>
      </c>
      <c r="AH302" s="123" t="str">
        <f t="shared" si="148"/>
        <v>NC</v>
      </c>
      <c r="AI302" s="123" t="str">
        <f t="shared" si="149"/>
        <v>NC</v>
      </c>
      <c r="AJ302" s="123" t="str">
        <f t="shared" si="150"/>
        <v>NC</v>
      </c>
      <c r="AK302" s="123" t="str">
        <f t="shared" si="151"/>
        <v>NC</v>
      </c>
      <c r="AM302" s="139">
        <f t="shared" si="138"/>
        <v>2.6565863456181937E-4</v>
      </c>
      <c r="AP302" s="141" t="s">
        <v>643</v>
      </c>
      <c r="AQ302" s="141" t="s">
        <v>643</v>
      </c>
      <c r="AS302" s="142" t="s">
        <v>1169</v>
      </c>
      <c r="AT302" s="143" t="s">
        <v>1475</v>
      </c>
      <c r="AU302" s="143" t="s">
        <v>1476</v>
      </c>
    </row>
    <row r="303" spans="1:47" s="138" customFormat="1" ht="14.4" customHeight="1" x14ac:dyDescent="0.3">
      <c r="A303" s="116" t="s">
        <v>825</v>
      </c>
      <c r="B303" s="116" t="s">
        <v>1468</v>
      </c>
      <c r="C303" s="117" t="s">
        <v>629</v>
      </c>
      <c r="D303" s="116" t="s">
        <v>145</v>
      </c>
      <c r="E303" s="116" t="s">
        <v>933</v>
      </c>
      <c r="F303" s="117" t="s">
        <v>973</v>
      </c>
      <c r="G303" s="120"/>
      <c r="H303" s="120" t="s">
        <v>30</v>
      </c>
      <c r="I303" s="134">
        <v>6990000</v>
      </c>
      <c r="J303" s="120">
        <v>2019</v>
      </c>
      <c r="K303" s="132"/>
      <c r="L303" s="158">
        <v>44013</v>
      </c>
      <c r="M303" s="116"/>
      <c r="N303" s="135" t="s">
        <v>596</v>
      </c>
      <c r="O303" s="116"/>
      <c r="P303" s="57" t="s">
        <v>30</v>
      </c>
      <c r="Q303" s="57" t="s">
        <v>30</v>
      </c>
      <c r="R303" s="57" t="s">
        <v>30</v>
      </c>
      <c r="S303" s="34" t="s">
        <v>30</v>
      </c>
      <c r="T303" s="57" t="s">
        <v>30</v>
      </c>
      <c r="U303" s="57" t="s">
        <v>30</v>
      </c>
      <c r="V303" s="34" t="s">
        <v>30</v>
      </c>
      <c r="W303" s="137" t="str">
        <f t="shared" si="139"/>
        <v>NC</v>
      </c>
      <c r="X303" s="57" t="str">
        <f t="shared" si="152"/>
        <v>NC</v>
      </c>
      <c r="Y303" s="57" t="str">
        <f t="shared" si="140"/>
        <v>NC</v>
      </c>
      <c r="Z303" s="57" t="str">
        <f t="shared" si="141"/>
        <v>NC</v>
      </c>
      <c r="AA303" s="57" t="str">
        <f t="shared" si="142"/>
        <v>NC</v>
      </c>
      <c r="AB303" s="57" t="str">
        <f t="shared" si="143"/>
        <v>NC</v>
      </c>
      <c r="AC303" s="57" t="str">
        <f t="shared" si="144"/>
        <v>NC</v>
      </c>
      <c r="AE303" s="123" t="str">
        <f t="shared" si="145"/>
        <v>NC</v>
      </c>
      <c r="AF303" s="123" t="str">
        <f t="shared" si="146"/>
        <v>NC</v>
      </c>
      <c r="AG303" s="123" t="str">
        <f t="shared" si="147"/>
        <v>NC</v>
      </c>
      <c r="AH303" s="123" t="str">
        <f t="shared" si="148"/>
        <v>NC</v>
      </c>
      <c r="AI303" s="123" t="str">
        <f t="shared" si="149"/>
        <v>NC</v>
      </c>
      <c r="AJ303" s="123" t="str">
        <f t="shared" si="150"/>
        <v>NC</v>
      </c>
      <c r="AK303" s="123" t="str">
        <f t="shared" si="151"/>
        <v>NC</v>
      </c>
      <c r="AM303" s="139">
        <f t="shared" si="138"/>
        <v>2.6565863456181937E-4</v>
      </c>
      <c r="AP303" s="141" t="s">
        <v>643</v>
      </c>
      <c r="AQ303" s="141" t="s">
        <v>643</v>
      </c>
      <c r="AS303" s="142" t="s">
        <v>1169</v>
      </c>
      <c r="AT303" s="143" t="s">
        <v>1475</v>
      </c>
      <c r="AU303" s="143" t="s">
        <v>1476</v>
      </c>
    </row>
    <row r="304" spans="1:47" s="138" customFormat="1" ht="14.4" customHeight="1" x14ac:dyDescent="0.3">
      <c r="A304" s="116" t="s">
        <v>392</v>
      </c>
      <c r="B304" s="116" t="s">
        <v>1143</v>
      </c>
      <c r="C304" s="121" t="s">
        <v>569</v>
      </c>
      <c r="D304" s="116" t="s">
        <v>145</v>
      </c>
      <c r="E304" s="116"/>
      <c r="F304" s="117" t="s">
        <v>422</v>
      </c>
      <c r="G304" s="120"/>
      <c r="H304" s="120" t="s">
        <v>30</v>
      </c>
      <c r="I304" s="134">
        <v>8250000</v>
      </c>
      <c r="J304" s="120">
        <v>2017</v>
      </c>
      <c r="K304" s="154"/>
      <c r="L304" s="162">
        <v>44166</v>
      </c>
      <c r="M304" s="116"/>
      <c r="N304" s="149" t="s">
        <v>596</v>
      </c>
      <c r="O304" s="136">
        <v>311</v>
      </c>
      <c r="P304" s="57" t="s">
        <v>30</v>
      </c>
      <c r="Q304" s="57" t="s">
        <v>30</v>
      </c>
      <c r="R304" s="57" t="s">
        <v>30</v>
      </c>
      <c r="S304" s="34" t="s">
        <v>30</v>
      </c>
      <c r="T304" s="57" t="s">
        <v>30</v>
      </c>
      <c r="U304" s="57" t="s">
        <v>30</v>
      </c>
      <c r="V304" s="34" t="s">
        <v>30</v>
      </c>
      <c r="W304" s="137" t="str">
        <f t="shared" si="139"/>
        <v>NC</v>
      </c>
      <c r="X304" s="57" t="str">
        <f t="shared" si="152"/>
        <v>NC</v>
      </c>
      <c r="Y304" s="57" t="str">
        <f t="shared" si="140"/>
        <v>NC</v>
      </c>
      <c r="Z304" s="57" t="str">
        <f t="shared" si="141"/>
        <v>NC</v>
      </c>
      <c r="AA304" s="57" t="str">
        <f t="shared" si="142"/>
        <v>NC</v>
      </c>
      <c r="AB304" s="57" t="str">
        <f t="shared" si="143"/>
        <v>NC</v>
      </c>
      <c r="AC304" s="57" t="str">
        <f t="shared" si="144"/>
        <v>NC</v>
      </c>
      <c r="AE304" s="123" t="str">
        <f t="shared" si="145"/>
        <v>NC</v>
      </c>
      <c r="AF304" s="123" t="str">
        <f t="shared" si="146"/>
        <v>NC</v>
      </c>
      <c r="AG304" s="123" t="str">
        <f t="shared" si="147"/>
        <v>NC</v>
      </c>
      <c r="AH304" s="123" t="str">
        <f t="shared" si="148"/>
        <v>NC</v>
      </c>
      <c r="AI304" s="123" t="str">
        <f t="shared" si="149"/>
        <v>NC</v>
      </c>
      <c r="AJ304" s="123" t="str">
        <f t="shared" si="150"/>
        <v>NC</v>
      </c>
      <c r="AK304" s="123" t="str">
        <f t="shared" si="151"/>
        <v>NC</v>
      </c>
      <c r="AM304" s="151">
        <f t="shared" si="138"/>
        <v>1.2636837767066769E-3</v>
      </c>
      <c r="AP304" s="141" t="s">
        <v>643</v>
      </c>
      <c r="AQ304" s="141" t="s">
        <v>643</v>
      </c>
      <c r="AS304" s="142" t="s">
        <v>1164</v>
      </c>
      <c r="AT304" s="143" t="s">
        <v>398</v>
      </c>
      <c r="AU304" s="143" t="s">
        <v>1369</v>
      </c>
    </row>
    <row r="305" spans="1:47" s="138" customFormat="1" ht="14.4" customHeight="1" x14ac:dyDescent="0.3">
      <c r="A305" s="26" t="s">
        <v>198</v>
      </c>
      <c r="B305" s="116" t="s">
        <v>1143</v>
      </c>
      <c r="C305" s="121" t="s">
        <v>569</v>
      </c>
      <c r="D305" s="116" t="s">
        <v>145</v>
      </c>
      <c r="E305" s="116"/>
      <c r="F305" s="121" t="s">
        <v>338</v>
      </c>
      <c r="G305" s="120"/>
      <c r="H305" s="120" t="s">
        <v>30</v>
      </c>
      <c r="I305" s="134">
        <v>8250000</v>
      </c>
      <c r="J305" s="131">
        <v>2017</v>
      </c>
      <c r="K305" s="154">
        <v>44866</v>
      </c>
      <c r="L305" s="133">
        <v>44166</v>
      </c>
      <c r="M305" s="134"/>
      <c r="N305" s="149" t="s">
        <v>596</v>
      </c>
      <c r="O305" s="136">
        <v>368</v>
      </c>
      <c r="P305" s="57" t="s">
        <v>30</v>
      </c>
      <c r="Q305" s="57" t="s">
        <v>30</v>
      </c>
      <c r="R305" s="116" t="s">
        <v>30</v>
      </c>
      <c r="S305" s="118" t="s">
        <v>30</v>
      </c>
      <c r="T305" s="57" t="s">
        <v>30</v>
      </c>
      <c r="U305" s="57" t="s">
        <v>30</v>
      </c>
      <c r="V305" s="34" t="s">
        <v>30</v>
      </c>
      <c r="W305" s="137" t="str">
        <f t="shared" si="139"/>
        <v>NC</v>
      </c>
      <c r="X305" s="57" t="str">
        <f t="shared" si="152"/>
        <v>NC</v>
      </c>
      <c r="Y305" s="57" t="str">
        <f t="shared" si="140"/>
        <v>NC</v>
      </c>
      <c r="Z305" s="57" t="str">
        <f t="shared" si="141"/>
        <v>NC</v>
      </c>
      <c r="AA305" s="57" t="str">
        <f t="shared" si="142"/>
        <v>NC</v>
      </c>
      <c r="AB305" s="57" t="str">
        <f t="shared" si="143"/>
        <v>NC</v>
      </c>
      <c r="AC305" s="57" t="str">
        <f t="shared" si="144"/>
        <v>NC</v>
      </c>
      <c r="AD305" s="124"/>
      <c r="AE305" s="123" t="str">
        <f t="shared" si="145"/>
        <v>NC</v>
      </c>
      <c r="AF305" s="123" t="str">
        <f t="shared" si="146"/>
        <v>NC</v>
      </c>
      <c r="AG305" s="123" t="str">
        <f t="shared" si="147"/>
        <v>NC</v>
      </c>
      <c r="AH305" s="123" t="str">
        <f t="shared" si="148"/>
        <v>NC</v>
      </c>
      <c r="AI305" s="123" t="str">
        <f t="shared" si="149"/>
        <v>NC</v>
      </c>
      <c r="AJ305" s="123" t="str">
        <f t="shared" si="150"/>
        <v>NC</v>
      </c>
      <c r="AK305" s="123" t="str">
        <f t="shared" si="151"/>
        <v>NC</v>
      </c>
      <c r="AM305" s="151">
        <f t="shared" si="138"/>
        <v>1.2636837767066769E-3</v>
      </c>
      <c r="AN305" s="152"/>
      <c r="AO305" s="124"/>
      <c r="AP305" s="141" t="s">
        <v>643</v>
      </c>
      <c r="AQ305" s="141" t="s">
        <v>643</v>
      </c>
      <c r="AR305" s="124"/>
      <c r="AS305" s="143" t="s">
        <v>1164</v>
      </c>
      <c r="AT305" s="143" t="s">
        <v>398</v>
      </c>
      <c r="AU305" s="143" t="s">
        <v>1369</v>
      </c>
    </row>
    <row r="306" spans="1:47" s="138" customFormat="1" ht="14.4" customHeight="1" x14ac:dyDescent="0.3">
      <c r="A306" s="116" t="s">
        <v>403</v>
      </c>
      <c r="B306" s="116" t="s">
        <v>1143</v>
      </c>
      <c r="C306" s="117" t="s">
        <v>570</v>
      </c>
      <c r="D306" s="116" t="s">
        <v>145</v>
      </c>
      <c r="E306" s="116"/>
      <c r="F306" s="117" t="s">
        <v>586</v>
      </c>
      <c r="G306" s="120"/>
      <c r="H306" s="120" t="s">
        <v>30</v>
      </c>
      <c r="I306" s="134">
        <v>8250000</v>
      </c>
      <c r="J306" s="120">
        <v>2018</v>
      </c>
      <c r="K306" s="154"/>
      <c r="L306" s="162">
        <v>43831</v>
      </c>
      <c r="M306" s="116"/>
      <c r="N306" s="149" t="s">
        <v>596</v>
      </c>
      <c r="O306" s="136"/>
      <c r="P306" s="57" t="s">
        <v>30</v>
      </c>
      <c r="Q306" s="57" t="s">
        <v>30</v>
      </c>
      <c r="R306" s="57" t="s">
        <v>30</v>
      </c>
      <c r="S306" s="34" t="s">
        <v>30</v>
      </c>
      <c r="T306" s="57" t="s">
        <v>30</v>
      </c>
      <c r="U306" s="57" t="s">
        <v>30</v>
      </c>
      <c r="V306" s="34" t="s">
        <v>30</v>
      </c>
      <c r="W306" s="137" t="str">
        <f t="shared" si="139"/>
        <v>NC</v>
      </c>
      <c r="X306" s="57" t="str">
        <f t="shared" si="152"/>
        <v>NC</v>
      </c>
      <c r="Y306" s="57" t="str">
        <f t="shared" si="140"/>
        <v>NC</v>
      </c>
      <c r="Z306" s="57" t="str">
        <f t="shared" si="141"/>
        <v>NC</v>
      </c>
      <c r="AA306" s="57" t="str">
        <f t="shared" si="142"/>
        <v>NC</v>
      </c>
      <c r="AB306" s="57" t="str">
        <f t="shared" si="143"/>
        <v>NC</v>
      </c>
      <c r="AC306" s="57" t="str">
        <f t="shared" si="144"/>
        <v>NC</v>
      </c>
      <c r="AE306" s="123" t="str">
        <f t="shared" si="145"/>
        <v>NC</v>
      </c>
      <c r="AF306" s="123" t="str">
        <f t="shared" si="146"/>
        <v>NC</v>
      </c>
      <c r="AG306" s="123" t="str">
        <f t="shared" si="147"/>
        <v>NC</v>
      </c>
      <c r="AH306" s="123" t="str">
        <f t="shared" si="148"/>
        <v>NC</v>
      </c>
      <c r="AI306" s="123" t="str">
        <f t="shared" si="149"/>
        <v>NC</v>
      </c>
      <c r="AJ306" s="123" t="str">
        <f t="shared" si="150"/>
        <v>NC</v>
      </c>
      <c r="AK306" s="123" t="str">
        <f t="shared" si="151"/>
        <v>NC</v>
      </c>
      <c r="AM306" s="151">
        <f t="shared" si="138"/>
        <v>7.8861468771921901E-4</v>
      </c>
      <c r="AP306" s="141" t="s">
        <v>643</v>
      </c>
      <c r="AQ306" s="141" t="s">
        <v>643</v>
      </c>
      <c r="AS306" s="142" t="s">
        <v>1164</v>
      </c>
      <c r="AT306" s="143" t="s">
        <v>398</v>
      </c>
      <c r="AU306" s="143" t="s">
        <v>1369</v>
      </c>
    </row>
    <row r="307" spans="1:47" s="124" customFormat="1" ht="14.4" customHeight="1" x14ac:dyDescent="0.3">
      <c r="A307" s="121" t="s">
        <v>133</v>
      </c>
      <c r="B307" s="117" t="s">
        <v>1144</v>
      </c>
      <c r="C307" s="121" t="s">
        <v>571</v>
      </c>
      <c r="D307" s="123" t="s">
        <v>357</v>
      </c>
      <c r="E307" s="123"/>
      <c r="F307" s="121" t="s">
        <v>342</v>
      </c>
      <c r="G307" s="120"/>
      <c r="H307" s="120" t="s">
        <v>30</v>
      </c>
      <c r="I307" s="145">
        <v>11807226</v>
      </c>
      <c r="J307" s="146">
        <v>2016</v>
      </c>
      <c r="K307" s="154">
        <v>43952</v>
      </c>
      <c r="L307" s="133">
        <v>43952</v>
      </c>
      <c r="M307" s="148"/>
      <c r="N307" s="149" t="s">
        <v>596</v>
      </c>
      <c r="O307" s="150">
        <v>1259</v>
      </c>
      <c r="P307" s="57" t="s">
        <v>30</v>
      </c>
      <c r="Q307" s="57" t="s">
        <v>30</v>
      </c>
      <c r="R307" s="116" t="s">
        <v>30</v>
      </c>
      <c r="S307" s="118" t="s">
        <v>30</v>
      </c>
      <c r="T307" s="57" t="s">
        <v>30</v>
      </c>
      <c r="U307" s="57" t="s">
        <v>30</v>
      </c>
      <c r="V307" s="34" t="s">
        <v>30</v>
      </c>
      <c r="W307" s="137" t="str">
        <f t="shared" si="139"/>
        <v>NC</v>
      </c>
      <c r="X307" s="57" t="str">
        <f t="shared" si="152"/>
        <v>NC</v>
      </c>
      <c r="Y307" s="57" t="str">
        <f t="shared" si="140"/>
        <v>NC</v>
      </c>
      <c r="Z307" s="57" t="str">
        <f t="shared" si="141"/>
        <v>NC</v>
      </c>
      <c r="AA307" s="57" t="str">
        <f t="shared" si="142"/>
        <v>NC</v>
      </c>
      <c r="AB307" s="57" t="str">
        <f t="shared" si="143"/>
        <v>NC</v>
      </c>
      <c r="AC307" s="57" t="str">
        <f t="shared" si="144"/>
        <v>NC</v>
      </c>
      <c r="AE307" s="123" t="str">
        <f t="shared" si="145"/>
        <v>NC</v>
      </c>
      <c r="AF307" s="123" t="str">
        <f t="shared" si="146"/>
        <v>NC</v>
      </c>
      <c r="AG307" s="123" t="str">
        <f t="shared" si="147"/>
        <v>NC</v>
      </c>
      <c r="AH307" s="123" t="str">
        <f t="shared" si="148"/>
        <v>NC</v>
      </c>
      <c r="AI307" s="123" t="str">
        <f t="shared" si="149"/>
        <v>NC</v>
      </c>
      <c r="AJ307" s="123" t="str">
        <f t="shared" si="150"/>
        <v>NC</v>
      </c>
      <c r="AK307" s="123" t="str">
        <f t="shared" si="151"/>
        <v>NC</v>
      </c>
      <c r="AL307" s="138"/>
      <c r="AM307" s="151">
        <f t="shared" si="138"/>
        <v>2.4884664295028239E-3</v>
      </c>
      <c r="AN307" s="152"/>
      <c r="AP307" s="141" t="s">
        <v>643</v>
      </c>
      <c r="AQ307" s="141" t="s">
        <v>643</v>
      </c>
      <c r="AS307" s="143" t="s">
        <v>1370</v>
      </c>
      <c r="AT307" s="143" t="s">
        <v>961</v>
      </c>
      <c r="AU307" s="143" t="s">
        <v>1371</v>
      </c>
    </row>
    <row r="308" spans="1:47" s="124" customFormat="1" ht="14.4" customHeight="1" x14ac:dyDescent="0.3">
      <c r="A308" s="121" t="s">
        <v>134</v>
      </c>
      <c r="B308" s="117" t="s">
        <v>1144</v>
      </c>
      <c r="C308" s="121" t="s">
        <v>571</v>
      </c>
      <c r="D308" s="123" t="s">
        <v>46</v>
      </c>
      <c r="E308" s="123"/>
      <c r="F308" s="121" t="s">
        <v>346</v>
      </c>
      <c r="G308" s="120"/>
      <c r="H308" s="120" t="s">
        <v>30</v>
      </c>
      <c r="I308" s="145">
        <v>11807226</v>
      </c>
      <c r="J308" s="146">
        <v>2018</v>
      </c>
      <c r="K308" s="154">
        <v>44774</v>
      </c>
      <c r="L308" s="133">
        <v>43983</v>
      </c>
      <c r="M308" s="148"/>
      <c r="N308" s="149" t="s">
        <v>596</v>
      </c>
      <c r="O308" s="150">
        <v>56</v>
      </c>
      <c r="P308" s="242" t="s">
        <v>30</v>
      </c>
      <c r="Q308" s="242" t="s">
        <v>30</v>
      </c>
      <c r="R308" s="123" t="s">
        <v>30</v>
      </c>
      <c r="S308" s="252" t="s">
        <v>30</v>
      </c>
      <c r="T308" s="57" t="s">
        <v>30</v>
      </c>
      <c r="U308" s="57" t="s">
        <v>30</v>
      </c>
      <c r="V308" s="243" t="s">
        <v>30</v>
      </c>
      <c r="W308" s="137" t="str">
        <f t="shared" si="139"/>
        <v>NC</v>
      </c>
      <c r="X308" s="57" t="str">
        <f t="shared" si="152"/>
        <v>NC</v>
      </c>
      <c r="Y308" s="57" t="str">
        <f t="shared" si="140"/>
        <v>NC</v>
      </c>
      <c r="Z308" s="57" t="str">
        <f t="shared" si="141"/>
        <v>NC</v>
      </c>
      <c r="AA308" s="57" t="str">
        <f t="shared" si="142"/>
        <v>NC</v>
      </c>
      <c r="AB308" s="57" t="str">
        <f t="shared" si="143"/>
        <v>NC</v>
      </c>
      <c r="AC308" s="57" t="str">
        <f t="shared" si="144"/>
        <v>NC</v>
      </c>
      <c r="AE308" s="123" t="str">
        <f t="shared" si="145"/>
        <v>NC</v>
      </c>
      <c r="AF308" s="123" t="str">
        <f t="shared" si="146"/>
        <v>NC</v>
      </c>
      <c r="AG308" s="123" t="str">
        <f t="shared" si="147"/>
        <v>NC</v>
      </c>
      <c r="AH308" s="123" t="str">
        <f t="shared" si="148"/>
        <v>NC</v>
      </c>
      <c r="AI308" s="123" t="str">
        <f t="shared" si="149"/>
        <v>NC</v>
      </c>
      <c r="AJ308" s="123" t="str">
        <f t="shared" si="150"/>
        <v>NC</v>
      </c>
      <c r="AK308" s="123" t="str">
        <f t="shared" si="151"/>
        <v>NC</v>
      </c>
      <c r="AM308" s="151">
        <f t="shared" si="138"/>
        <v>1.1286487084630598E-3</v>
      </c>
      <c r="AN308" s="152"/>
      <c r="AP308" s="141" t="s">
        <v>643</v>
      </c>
      <c r="AQ308" s="141" t="s">
        <v>643</v>
      </c>
      <c r="AS308" s="143" t="s">
        <v>1370</v>
      </c>
      <c r="AT308" s="143" t="s">
        <v>961</v>
      </c>
      <c r="AU308" s="143" t="s">
        <v>1371</v>
      </c>
    </row>
    <row r="309" spans="1:47" s="124" customFormat="1" ht="14.4" customHeight="1" x14ac:dyDescent="0.3">
      <c r="A309" s="121" t="s">
        <v>135</v>
      </c>
      <c r="B309" s="117" t="s">
        <v>1145</v>
      </c>
      <c r="C309" s="121" t="s">
        <v>571</v>
      </c>
      <c r="D309" s="123" t="s">
        <v>46</v>
      </c>
      <c r="E309" s="123"/>
      <c r="F309" s="121" t="s">
        <v>871</v>
      </c>
      <c r="G309" s="120"/>
      <c r="H309" s="120" t="s">
        <v>30</v>
      </c>
      <c r="I309" s="145">
        <v>2492637</v>
      </c>
      <c r="J309" s="146">
        <v>2018</v>
      </c>
      <c r="K309" s="154">
        <v>44774</v>
      </c>
      <c r="L309" s="133">
        <v>43983</v>
      </c>
      <c r="M309" s="148"/>
      <c r="N309" s="149" t="s">
        <v>596</v>
      </c>
      <c r="O309" s="150"/>
      <c r="P309" s="242" t="s">
        <v>30</v>
      </c>
      <c r="Q309" s="242" t="s">
        <v>30</v>
      </c>
      <c r="R309" s="123" t="s">
        <v>30</v>
      </c>
      <c r="S309" s="252" t="s">
        <v>30</v>
      </c>
      <c r="T309" s="57" t="s">
        <v>30</v>
      </c>
      <c r="U309" s="57" t="s">
        <v>30</v>
      </c>
      <c r="V309" s="243" t="s">
        <v>30</v>
      </c>
      <c r="W309" s="137" t="str">
        <f t="shared" si="139"/>
        <v>NC</v>
      </c>
      <c r="X309" s="57" t="str">
        <f t="shared" si="152"/>
        <v>NC</v>
      </c>
      <c r="Y309" s="57" t="str">
        <f t="shared" si="140"/>
        <v>NC</v>
      </c>
      <c r="Z309" s="57" t="str">
        <f t="shared" si="141"/>
        <v>NC</v>
      </c>
      <c r="AA309" s="57" t="str">
        <f t="shared" si="142"/>
        <v>NC</v>
      </c>
      <c r="AB309" s="57" t="str">
        <f t="shared" si="143"/>
        <v>NC</v>
      </c>
      <c r="AC309" s="57" t="str">
        <f t="shared" si="144"/>
        <v>NC</v>
      </c>
      <c r="AE309" s="123" t="str">
        <f t="shared" si="145"/>
        <v>NC</v>
      </c>
      <c r="AF309" s="123" t="str">
        <f t="shared" si="146"/>
        <v>NC</v>
      </c>
      <c r="AG309" s="123" t="str">
        <f t="shared" si="147"/>
        <v>NC</v>
      </c>
      <c r="AH309" s="123" t="str">
        <f t="shared" si="148"/>
        <v>NC</v>
      </c>
      <c r="AI309" s="123" t="str">
        <f t="shared" si="149"/>
        <v>NC</v>
      </c>
      <c r="AJ309" s="123" t="str">
        <f t="shared" si="150"/>
        <v>NC</v>
      </c>
      <c r="AK309" s="123" t="str">
        <f t="shared" si="151"/>
        <v>NC</v>
      </c>
      <c r="AM309" s="151">
        <f t="shared" si="138"/>
        <v>2.3827032113362071E-4</v>
      </c>
      <c r="AN309" s="152"/>
      <c r="AP309" s="141" t="s">
        <v>643</v>
      </c>
      <c r="AQ309" s="141" t="s">
        <v>643</v>
      </c>
      <c r="AS309" s="143" t="s">
        <v>1370</v>
      </c>
      <c r="AT309" s="143" t="s">
        <v>961</v>
      </c>
      <c r="AU309" s="143" t="s">
        <v>1372</v>
      </c>
    </row>
    <row r="310" spans="1:47" s="124" customFormat="1" ht="14.4" customHeight="1" x14ac:dyDescent="0.3">
      <c r="A310" s="121" t="s">
        <v>136</v>
      </c>
      <c r="B310" s="117" t="s">
        <v>1146</v>
      </c>
      <c r="C310" s="121" t="s">
        <v>571</v>
      </c>
      <c r="D310" s="123" t="s">
        <v>49</v>
      </c>
      <c r="E310" s="123"/>
      <c r="F310" s="121" t="s">
        <v>339</v>
      </c>
      <c r="G310" s="120"/>
      <c r="H310" s="120" t="s">
        <v>30</v>
      </c>
      <c r="I310" s="145">
        <v>2492637</v>
      </c>
      <c r="J310" s="146">
        <v>2014</v>
      </c>
      <c r="K310" s="154"/>
      <c r="L310" s="133"/>
      <c r="M310" s="148"/>
      <c r="N310" s="149" t="s">
        <v>596</v>
      </c>
      <c r="O310" s="150"/>
      <c r="P310" s="57" t="s">
        <v>30</v>
      </c>
      <c r="Q310" s="57" t="s">
        <v>30</v>
      </c>
      <c r="R310" s="116" t="s">
        <v>30</v>
      </c>
      <c r="S310" s="118" t="s">
        <v>30</v>
      </c>
      <c r="T310" s="57" t="s">
        <v>30</v>
      </c>
      <c r="U310" s="57" t="s">
        <v>30</v>
      </c>
      <c r="V310" s="34" t="s">
        <v>30</v>
      </c>
      <c r="W310" s="137" t="str">
        <f t="shared" si="139"/>
        <v>NC</v>
      </c>
      <c r="X310" s="57" t="str">
        <f t="shared" si="152"/>
        <v>NC</v>
      </c>
      <c r="Y310" s="57" t="str">
        <f t="shared" si="140"/>
        <v>NC</v>
      </c>
      <c r="Z310" s="57" t="str">
        <f t="shared" si="141"/>
        <v>NC</v>
      </c>
      <c r="AA310" s="57" t="str">
        <f t="shared" si="142"/>
        <v>NC</v>
      </c>
      <c r="AB310" s="57" t="str">
        <f t="shared" si="143"/>
        <v>NC</v>
      </c>
      <c r="AC310" s="57" t="str">
        <f t="shared" si="144"/>
        <v>NC</v>
      </c>
      <c r="AE310" s="123" t="str">
        <f t="shared" si="145"/>
        <v>NC</v>
      </c>
      <c r="AF310" s="123" t="str">
        <f t="shared" si="146"/>
        <v>NC</v>
      </c>
      <c r="AG310" s="123" t="str">
        <f t="shared" si="147"/>
        <v>NC</v>
      </c>
      <c r="AH310" s="123" t="str">
        <f t="shared" si="148"/>
        <v>NC</v>
      </c>
      <c r="AI310" s="123" t="str">
        <f t="shared" si="149"/>
        <v>NC</v>
      </c>
      <c r="AJ310" s="123" t="str">
        <f t="shared" si="150"/>
        <v>NC</v>
      </c>
      <c r="AK310" s="123" t="str">
        <f t="shared" si="151"/>
        <v>NC</v>
      </c>
      <c r="AL310" s="138"/>
      <c r="AM310" s="151">
        <f t="shared" ref="AM310:AM328" si="153">I310*($AM$3-J310)/$I$4</f>
        <v>8.1241567326279895E-4</v>
      </c>
      <c r="AN310" s="152"/>
      <c r="AP310" s="141" t="s">
        <v>643</v>
      </c>
      <c r="AQ310" s="141" t="s">
        <v>643</v>
      </c>
      <c r="AS310" s="143" t="s">
        <v>1356</v>
      </c>
      <c r="AT310" s="143" t="s">
        <v>961</v>
      </c>
      <c r="AU310" s="143" t="s">
        <v>962</v>
      </c>
    </row>
    <row r="311" spans="1:47" s="124" customFormat="1" ht="14.4" customHeight="1" x14ac:dyDescent="0.3">
      <c r="A311" s="121" t="s">
        <v>137</v>
      </c>
      <c r="B311" s="117" t="s">
        <v>1147</v>
      </c>
      <c r="C311" s="121" t="s">
        <v>571</v>
      </c>
      <c r="D311" s="123" t="s">
        <v>49</v>
      </c>
      <c r="E311" s="123"/>
      <c r="F311" s="121" t="s">
        <v>340</v>
      </c>
      <c r="G311" s="120"/>
      <c r="H311" s="120" t="s">
        <v>30</v>
      </c>
      <c r="I311" s="145">
        <v>2492637</v>
      </c>
      <c r="J311" s="146">
        <v>2014</v>
      </c>
      <c r="K311" s="154"/>
      <c r="L311" s="133"/>
      <c r="M311" s="148"/>
      <c r="N311" s="149" t="s">
        <v>596</v>
      </c>
      <c r="O311" s="150"/>
      <c r="P311" s="57" t="s">
        <v>30</v>
      </c>
      <c r="Q311" s="57" t="s">
        <v>30</v>
      </c>
      <c r="R311" s="116" t="s">
        <v>30</v>
      </c>
      <c r="S311" s="118" t="s">
        <v>30</v>
      </c>
      <c r="T311" s="57" t="s">
        <v>30</v>
      </c>
      <c r="U311" s="57" t="s">
        <v>30</v>
      </c>
      <c r="V311" s="34" t="s">
        <v>30</v>
      </c>
      <c r="W311" s="137" t="str">
        <f t="shared" si="139"/>
        <v>NC</v>
      </c>
      <c r="X311" s="57" t="str">
        <f t="shared" si="152"/>
        <v>NC</v>
      </c>
      <c r="Y311" s="57" t="str">
        <f t="shared" si="140"/>
        <v>NC</v>
      </c>
      <c r="Z311" s="57" t="str">
        <f t="shared" si="141"/>
        <v>NC</v>
      </c>
      <c r="AA311" s="57" t="str">
        <f t="shared" si="142"/>
        <v>NC</v>
      </c>
      <c r="AB311" s="57" t="str">
        <f t="shared" si="143"/>
        <v>NC</v>
      </c>
      <c r="AC311" s="57" t="str">
        <f t="shared" si="144"/>
        <v>NC</v>
      </c>
      <c r="AE311" s="123" t="str">
        <f t="shared" si="145"/>
        <v>NC</v>
      </c>
      <c r="AF311" s="123" t="str">
        <f t="shared" si="146"/>
        <v>NC</v>
      </c>
      <c r="AG311" s="123" t="str">
        <f t="shared" si="147"/>
        <v>NC</v>
      </c>
      <c r="AH311" s="123" t="str">
        <f t="shared" si="148"/>
        <v>NC</v>
      </c>
      <c r="AI311" s="123" t="str">
        <f t="shared" si="149"/>
        <v>NC</v>
      </c>
      <c r="AJ311" s="123" t="str">
        <f t="shared" si="150"/>
        <v>NC</v>
      </c>
      <c r="AK311" s="123" t="str">
        <f t="shared" si="151"/>
        <v>NC</v>
      </c>
      <c r="AL311" s="138"/>
      <c r="AM311" s="151">
        <f t="shared" si="153"/>
        <v>8.1241567326279895E-4</v>
      </c>
      <c r="AN311" s="152"/>
      <c r="AP311" s="141" t="s">
        <v>643</v>
      </c>
      <c r="AQ311" s="141" t="s">
        <v>643</v>
      </c>
      <c r="AS311" s="143" t="s">
        <v>1356</v>
      </c>
      <c r="AT311" s="143" t="s">
        <v>961</v>
      </c>
      <c r="AU311" s="143" t="s">
        <v>963</v>
      </c>
    </row>
    <row r="312" spans="1:47" s="124" customFormat="1" ht="14.4" customHeight="1" x14ac:dyDescent="0.3">
      <c r="A312" s="121" t="s">
        <v>138</v>
      </c>
      <c r="B312" s="117" t="s">
        <v>1148</v>
      </c>
      <c r="C312" s="121" t="s">
        <v>571</v>
      </c>
      <c r="D312" s="123" t="s">
        <v>49</v>
      </c>
      <c r="E312" s="123"/>
      <c r="F312" s="121" t="s">
        <v>341</v>
      </c>
      <c r="G312" s="120"/>
      <c r="H312" s="120" t="s">
        <v>30</v>
      </c>
      <c r="I312" s="145">
        <v>2492637</v>
      </c>
      <c r="J312" s="146">
        <v>2015</v>
      </c>
      <c r="K312" s="154"/>
      <c r="L312" s="133"/>
      <c r="M312" s="148"/>
      <c r="N312" s="149" t="s">
        <v>596</v>
      </c>
      <c r="O312" s="150"/>
      <c r="P312" s="57" t="s">
        <v>30</v>
      </c>
      <c r="Q312" s="57" t="s">
        <v>30</v>
      </c>
      <c r="R312" s="116" t="s">
        <v>30</v>
      </c>
      <c r="S312" s="118" t="s">
        <v>30</v>
      </c>
      <c r="T312" s="57" t="s">
        <v>30</v>
      </c>
      <c r="U312" s="57" t="s">
        <v>30</v>
      </c>
      <c r="V312" s="34" t="s">
        <v>30</v>
      </c>
      <c r="W312" s="137" t="str">
        <f t="shared" si="139"/>
        <v>NC</v>
      </c>
      <c r="X312" s="57" t="str">
        <f t="shared" si="152"/>
        <v>NC</v>
      </c>
      <c r="Y312" s="57" t="str">
        <f t="shared" si="140"/>
        <v>NC</v>
      </c>
      <c r="Z312" s="57" t="str">
        <f t="shared" si="141"/>
        <v>NC</v>
      </c>
      <c r="AA312" s="57" t="str">
        <f t="shared" si="142"/>
        <v>NC</v>
      </c>
      <c r="AB312" s="57" t="str">
        <f t="shared" si="143"/>
        <v>NC</v>
      </c>
      <c r="AC312" s="57" t="str">
        <f t="shared" si="144"/>
        <v>NC</v>
      </c>
      <c r="AE312" s="123" t="str">
        <f t="shared" si="145"/>
        <v>NC</v>
      </c>
      <c r="AF312" s="123" t="str">
        <f t="shared" si="146"/>
        <v>NC</v>
      </c>
      <c r="AG312" s="123" t="str">
        <f t="shared" si="147"/>
        <v>NC</v>
      </c>
      <c r="AH312" s="123" t="str">
        <f t="shared" si="148"/>
        <v>NC</v>
      </c>
      <c r="AI312" s="123" t="str">
        <f t="shared" si="149"/>
        <v>NC</v>
      </c>
      <c r="AJ312" s="123" t="str">
        <f t="shared" si="150"/>
        <v>NC</v>
      </c>
      <c r="AK312" s="123" t="str">
        <f t="shared" si="151"/>
        <v>NC</v>
      </c>
      <c r="AL312" s="138"/>
      <c r="AM312" s="151">
        <f t="shared" si="153"/>
        <v>6.6887933523050442E-4</v>
      </c>
      <c r="AN312" s="152"/>
      <c r="AP312" s="141" t="s">
        <v>643</v>
      </c>
      <c r="AQ312" s="141" t="s">
        <v>643</v>
      </c>
      <c r="AS312" s="143" t="s">
        <v>1356</v>
      </c>
      <c r="AT312" s="143" t="s">
        <v>961</v>
      </c>
      <c r="AU312" s="143" t="s">
        <v>964</v>
      </c>
    </row>
    <row r="313" spans="1:47" s="124" customFormat="1" ht="14.4" customHeight="1" x14ac:dyDescent="0.3">
      <c r="A313" s="116" t="s">
        <v>400</v>
      </c>
      <c r="B313" s="116" t="s">
        <v>1149</v>
      </c>
      <c r="C313" s="121" t="s">
        <v>572</v>
      </c>
      <c r="D313" s="116" t="s">
        <v>145</v>
      </c>
      <c r="E313" s="116"/>
      <c r="F313" s="239" t="s">
        <v>416</v>
      </c>
      <c r="G313" s="120"/>
      <c r="H313" s="120" t="s">
        <v>30</v>
      </c>
      <c r="I313" s="134">
        <v>8000000</v>
      </c>
      <c r="J313" s="120">
        <v>2005</v>
      </c>
      <c r="K313" s="154"/>
      <c r="L313" s="162">
        <v>44013</v>
      </c>
      <c r="M313" s="116"/>
      <c r="N313" s="149" t="s">
        <v>596</v>
      </c>
      <c r="O313" s="136"/>
      <c r="P313" s="57" t="s">
        <v>30</v>
      </c>
      <c r="Q313" s="57" t="s">
        <v>30</v>
      </c>
      <c r="R313" s="57" t="s">
        <v>30</v>
      </c>
      <c r="S313" s="34" t="s">
        <v>30</v>
      </c>
      <c r="T313" s="57" t="s">
        <v>30</v>
      </c>
      <c r="U313" s="57" t="s">
        <v>30</v>
      </c>
      <c r="V313" s="34" t="s">
        <v>30</v>
      </c>
      <c r="W313" s="137" t="str">
        <f t="shared" si="139"/>
        <v>NC</v>
      </c>
      <c r="X313" s="57" t="str">
        <f t="shared" si="152"/>
        <v>NC</v>
      </c>
      <c r="Y313" s="57" t="str">
        <f t="shared" si="140"/>
        <v>NC</v>
      </c>
      <c r="Z313" s="57" t="str">
        <f t="shared" si="141"/>
        <v>NC</v>
      </c>
      <c r="AA313" s="57" t="str">
        <f t="shared" si="142"/>
        <v>NC</v>
      </c>
      <c r="AB313" s="57" t="str">
        <f t="shared" si="143"/>
        <v>NC</v>
      </c>
      <c r="AC313" s="57" t="str">
        <f t="shared" si="144"/>
        <v>NC</v>
      </c>
      <c r="AD313" s="138"/>
      <c r="AE313" s="123" t="str">
        <f t="shared" si="145"/>
        <v>NC</v>
      </c>
      <c r="AF313" s="123" t="str">
        <f t="shared" si="146"/>
        <v>NC</v>
      </c>
      <c r="AG313" s="123" t="str">
        <f t="shared" si="147"/>
        <v>NC</v>
      </c>
      <c r="AH313" s="123" t="str">
        <f t="shared" si="148"/>
        <v>NC</v>
      </c>
      <c r="AI313" s="123" t="str">
        <f t="shared" si="149"/>
        <v>NC</v>
      </c>
      <c r="AJ313" s="123" t="str">
        <f t="shared" si="150"/>
        <v>NC</v>
      </c>
      <c r="AK313" s="123" t="str">
        <f t="shared" si="151"/>
        <v>NC</v>
      </c>
      <c r="AL313" s="138"/>
      <c r="AM313" s="151">
        <f t="shared" si="153"/>
        <v>6.7534670007817427E-3</v>
      </c>
      <c r="AN313" s="138"/>
      <c r="AO313" s="138"/>
      <c r="AP313" s="141" t="s">
        <v>643</v>
      </c>
      <c r="AQ313" s="141" t="s">
        <v>643</v>
      </c>
      <c r="AR313" s="138"/>
      <c r="AS313" s="142" t="s">
        <v>1373</v>
      </c>
      <c r="AT313" s="143" t="s">
        <v>1349</v>
      </c>
      <c r="AU313" s="143" t="s">
        <v>1374</v>
      </c>
    </row>
    <row r="314" spans="1:47" s="124" customFormat="1" ht="14.4" customHeight="1" x14ac:dyDescent="0.3">
      <c r="A314" s="116" t="s">
        <v>401</v>
      </c>
      <c r="B314" s="116" t="s">
        <v>1150</v>
      </c>
      <c r="C314" s="121" t="s">
        <v>572</v>
      </c>
      <c r="D314" s="116" t="s">
        <v>145</v>
      </c>
      <c r="E314" s="116"/>
      <c r="F314" s="239" t="s">
        <v>417</v>
      </c>
      <c r="G314" s="120"/>
      <c r="H314" s="120" t="s">
        <v>30</v>
      </c>
      <c r="I314" s="134">
        <v>8000000</v>
      </c>
      <c r="J314" s="120">
        <v>2005</v>
      </c>
      <c r="K314" s="154"/>
      <c r="L314" s="162">
        <v>44013</v>
      </c>
      <c r="M314" s="116"/>
      <c r="N314" s="149" t="s">
        <v>596</v>
      </c>
      <c r="O314" s="136"/>
      <c r="P314" s="57" t="s">
        <v>30</v>
      </c>
      <c r="Q314" s="57" t="s">
        <v>30</v>
      </c>
      <c r="R314" s="57" t="s">
        <v>30</v>
      </c>
      <c r="S314" s="34" t="s">
        <v>30</v>
      </c>
      <c r="T314" s="57" t="s">
        <v>30</v>
      </c>
      <c r="U314" s="57" t="s">
        <v>30</v>
      </c>
      <c r="V314" s="34" t="s">
        <v>30</v>
      </c>
      <c r="W314" s="137" t="str">
        <f t="shared" si="139"/>
        <v>NC</v>
      </c>
      <c r="X314" s="57" t="str">
        <f t="shared" si="152"/>
        <v>NC</v>
      </c>
      <c r="Y314" s="57" t="str">
        <f t="shared" si="140"/>
        <v>NC</v>
      </c>
      <c r="Z314" s="57" t="str">
        <f t="shared" si="141"/>
        <v>NC</v>
      </c>
      <c r="AA314" s="57" t="str">
        <f t="shared" si="142"/>
        <v>NC</v>
      </c>
      <c r="AB314" s="57" t="str">
        <f t="shared" si="143"/>
        <v>NC</v>
      </c>
      <c r="AC314" s="57" t="str">
        <f t="shared" si="144"/>
        <v>NC</v>
      </c>
      <c r="AD314" s="138"/>
      <c r="AE314" s="123" t="str">
        <f t="shared" si="145"/>
        <v>NC</v>
      </c>
      <c r="AF314" s="123" t="str">
        <f t="shared" si="146"/>
        <v>NC</v>
      </c>
      <c r="AG314" s="123" t="str">
        <f t="shared" si="147"/>
        <v>NC</v>
      </c>
      <c r="AH314" s="123" t="str">
        <f t="shared" si="148"/>
        <v>NC</v>
      </c>
      <c r="AI314" s="123" t="str">
        <f t="shared" si="149"/>
        <v>NC</v>
      </c>
      <c r="AJ314" s="123" t="str">
        <f t="shared" si="150"/>
        <v>NC</v>
      </c>
      <c r="AK314" s="123" t="str">
        <f t="shared" si="151"/>
        <v>NC</v>
      </c>
      <c r="AL314" s="138"/>
      <c r="AM314" s="151">
        <f t="shared" si="153"/>
        <v>6.7534670007817427E-3</v>
      </c>
      <c r="AN314" s="138"/>
      <c r="AO314" s="138"/>
      <c r="AP314" s="141" t="s">
        <v>643</v>
      </c>
      <c r="AQ314" s="141" t="s">
        <v>643</v>
      </c>
      <c r="AR314" s="138"/>
      <c r="AS314" s="142" t="s">
        <v>1373</v>
      </c>
      <c r="AT314" s="143" t="s">
        <v>958</v>
      </c>
      <c r="AU314" s="143" t="s">
        <v>965</v>
      </c>
    </row>
    <row r="315" spans="1:47" s="138" customFormat="1" ht="14.4" customHeight="1" x14ac:dyDescent="0.3">
      <c r="A315" s="116" t="s">
        <v>719</v>
      </c>
      <c r="B315" s="116" t="s">
        <v>1388</v>
      </c>
      <c r="C315" s="201" t="s">
        <v>721</v>
      </c>
      <c r="D315" s="127" t="s">
        <v>46</v>
      </c>
      <c r="E315" s="127"/>
      <c r="F315" s="253" t="s">
        <v>1389</v>
      </c>
      <c r="G315" s="129"/>
      <c r="H315" s="129" t="s">
        <v>30</v>
      </c>
      <c r="I315" s="254"/>
      <c r="J315" s="129">
        <v>2018</v>
      </c>
      <c r="K315" s="255"/>
      <c r="L315" s="256">
        <v>43983</v>
      </c>
      <c r="M315" s="127"/>
      <c r="N315" s="257" t="s">
        <v>596</v>
      </c>
      <c r="O315" s="258"/>
      <c r="P315" s="208" t="s">
        <v>30</v>
      </c>
      <c r="Q315" s="208" t="s">
        <v>30</v>
      </c>
      <c r="R315" s="208" t="s">
        <v>30</v>
      </c>
      <c r="S315" s="209" t="s">
        <v>30</v>
      </c>
      <c r="T315" s="208" t="s">
        <v>30</v>
      </c>
      <c r="U315" s="208" t="s">
        <v>30</v>
      </c>
      <c r="V315" s="34" t="s">
        <v>30</v>
      </c>
      <c r="W315" s="137" t="str">
        <f t="shared" si="139"/>
        <v>NC</v>
      </c>
      <c r="X315" s="57" t="str">
        <f t="shared" si="152"/>
        <v>NC</v>
      </c>
      <c r="Y315" s="57" t="str">
        <f t="shared" si="140"/>
        <v>NC</v>
      </c>
      <c r="Z315" s="57" t="str">
        <f t="shared" si="141"/>
        <v>NC</v>
      </c>
      <c r="AA315" s="57" t="str">
        <f t="shared" si="142"/>
        <v>NC</v>
      </c>
      <c r="AB315" s="57" t="str">
        <f t="shared" si="143"/>
        <v>NC</v>
      </c>
      <c r="AC315" s="57" t="str">
        <f t="shared" si="144"/>
        <v>NC</v>
      </c>
      <c r="AE315" s="123" t="str">
        <f t="shared" si="145"/>
        <v>NC</v>
      </c>
      <c r="AF315" s="123" t="str">
        <f t="shared" si="146"/>
        <v>NC</v>
      </c>
      <c r="AG315" s="123" t="str">
        <f t="shared" si="147"/>
        <v>NC</v>
      </c>
      <c r="AH315" s="123" t="str">
        <f t="shared" si="148"/>
        <v>NC</v>
      </c>
      <c r="AI315" s="123" t="str">
        <f t="shared" si="149"/>
        <v>NC</v>
      </c>
      <c r="AJ315" s="123" t="str">
        <f t="shared" si="150"/>
        <v>NC</v>
      </c>
      <c r="AK315" s="123" t="str">
        <f t="shared" si="151"/>
        <v>NC</v>
      </c>
      <c r="AM315" s="151">
        <f t="shared" si="153"/>
        <v>0</v>
      </c>
      <c r="AP315" s="141" t="s">
        <v>643</v>
      </c>
      <c r="AQ315" s="141" t="s">
        <v>643</v>
      </c>
      <c r="AS315" s="142" t="s">
        <v>1390</v>
      </c>
      <c r="AT315" s="143" t="s">
        <v>720</v>
      </c>
      <c r="AU315" s="143" t="s">
        <v>1391</v>
      </c>
    </row>
    <row r="316" spans="1:47" s="138" customFormat="1" ht="14.4" customHeight="1" x14ac:dyDescent="0.3">
      <c r="A316" s="116" t="s">
        <v>716</v>
      </c>
      <c r="B316" s="118" t="s">
        <v>1394</v>
      </c>
      <c r="C316" s="121" t="s">
        <v>717</v>
      </c>
      <c r="D316" s="116" t="s">
        <v>46</v>
      </c>
      <c r="E316" s="116"/>
      <c r="F316" s="239">
        <v>588511</v>
      </c>
      <c r="G316" s="120"/>
      <c r="H316" s="120" t="s">
        <v>30</v>
      </c>
      <c r="I316" s="134"/>
      <c r="J316" s="120">
        <v>2018</v>
      </c>
      <c r="K316" s="154"/>
      <c r="L316" s="162">
        <v>43983</v>
      </c>
      <c r="M316" s="116"/>
      <c r="N316" s="149" t="s">
        <v>596</v>
      </c>
      <c r="O316" s="136"/>
      <c r="P316" s="57" t="s">
        <v>30</v>
      </c>
      <c r="Q316" s="57" t="s">
        <v>30</v>
      </c>
      <c r="R316" s="57" t="s">
        <v>30</v>
      </c>
      <c r="S316" s="57" t="s">
        <v>30</v>
      </c>
      <c r="T316" s="57" t="s">
        <v>30</v>
      </c>
      <c r="U316" s="57" t="s">
        <v>30</v>
      </c>
      <c r="V316" s="259" t="s">
        <v>30</v>
      </c>
      <c r="W316" s="137" t="str">
        <f t="shared" si="139"/>
        <v>NC</v>
      </c>
      <c r="X316" s="57" t="str">
        <f t="shared" si="152"/>
        <v>NC</v>
      </c>
      <c r="Y316" s="57" t="str">
        <f t="shared" si="140"/>
        <v>NC</v>
      </c>
      <c r="Z316" s="57" t="str">
        <f t="shared" si="141"/>
        <v>NC</v>
      </c>
      <c r="AA316" s="57" t="str">
        <f t="shared" si="142"/>
        <v>NC</v>
      </c>
      <c r="AB316" s="57" t="str">
        <f t="shared" si="143"/>
        <v>NC</v>
      </c>
      <c r="AC316" s="57" t="str">
        <f t="shared" si="144"/>
        <v>NC</v>
      </c>
      <c r="AE316" s="123" t="str">
        <f t="shared" si="145"/>
        <v>NC</v>
      </c>
      <c r="AF316" s="123" t="str">
        <f t="shared" si="146"/>
        <v>NC</v>
      </c>
      <c r="AG316" s="123" t="str">
        <f t="shared" si="147"/>
        <v>NC</v>
      </c>
      <c r="AH316" s="123" t="str">
        <f t="shared" si="148"/>
        <v>NC</v>
      </c>
      <c r="AI316" s="123" t="str">
        <f t="shared" si="149"/>
        <v>NC</v>
      </c>
      <c r="AJ316" s="123" t="str">
        <f t="shared" si="150"/>
        <v>NC</v>
      </c>
      <c r="AK316" s="123" t="str">
        <f t="shared" si="151"/>
        <v>NC</v>
      </c>
      <c r="AM316" s="151">
        <f t="shared" si="153"/>
        <v>0</v>
      </c>
      <c r="AP316" s="141" t="s">
        <v>643</v>
      </c>
      <c r="AQ316" s="141" t="s">
        <v>643</v>
      </c>
      <c r="AS316" s="142" t="s">
        <v>1395</v>
      </c>
      <c r="AT316" s="143" t="s">
        <v>1392</v>
      </c>
      <c r="AU316" s="143" t="s">
        <v>1393</v>
      </c>
    </row>
    <row r="317" spans="1:47" s="124" customFormat="1" ht="14.4" customHeight="1" x14ac:dyDescent="0.3">
      <c r="A317" s="260" t="s">
        <v>139</v>
      </c>
      <c r="B317" s="117" t="s">
        <v>1486</v>
      </c>
      <c r="C317" s="121" t="s">
        <v>573</v>
      </c>
      <c r="D317" s="123" t="s">
        <v>49</v>
      </c>
      <c r="E317" s="123"/>
      <c r="F317" s="121" t="s">
        <v>1489</v>
      </c>
      <c r="G317" s="120"/>
      <c r="H317" s="120" t="s">
        <v>30</v>
      </c>
      <c r="I317" s="145"/>
      <c r="J317" s="146"/>
      <c r="K317" s="154"/>
      <c r="L317" s="133">
        <v>43983</v>
      </c>
      <c r="M317" s="148"/>
      <c r="N317" s="149" t="s">
        <v>596</v>
      </c>
      <c r="O317" s="150"/>
      <c r="P317" s="57" t="s">
        <v>30</v>
      </c>
      <c r="Q317" s="57" t="s">
        <v>30</v>
      </c>
      <c r="R317" s="116" t="s">
        <v>30</v>
      </c>
      <c r="S317" s="116" t="s">
        <v>30</v>
      </c>
      <c r="T317" s="57" t="s">
        <v>30</v>
      </c>
      <c r="U317" s="57" t="s">
        <v>30</v>
      </c>
      <c r="V317" s="261" t="s">
        <v>30</v>
      </c>
      <c r="W317" s="137" t="str">
        <f t="shared" si="139"/>
        <v>NC</v>
      </c>
      <c r="X317" s="57" t="str">
        <f t="shared" si="152"/>
        <v>NC</v>
      </c>
      <c r="Y317" s="57" t="str">
        <f t="shared" si="140"/>
        <v>NC</v>
      </c>
      <c r="Z317" s="57" t="str">
        <f t="shared" si="141"/>
        <v>NC</v>
      </c>
      <c r="AA317" s="57" t="str">
        <f t="shared" si="142"/>
        <v>NC</v>
      </c>
      <c r="AB317" s="57" t="str">
        <f t="shared" si="143"/>
        <v>NC</v>
      </c>
      <c r="AC317" s="57" t="str">
        <f t="shared" si="144"/>
        <v>NC</v>
      </c>
      <c r="AE317" s="123" t="str">
        <f t="shared" si="145"/>
        <v>NC</v>
      </c>
      <c r="AF317" s="123" t="str">
        <f t="shared" si="146"/>
        <v>NC</v>
      </c>
      <c r="AG317" s="123" t="str">
        <f t="shared" si="147"/>
        <v>NC</v>
      </c>
      <c r="AH317" s="123" t="str">
        <f t="shared" si="148"/>
        <v>NC</v>
      </c>
      <c r="AI317" s="123" t="str">
        <f t="shared" si="149"/>
        <v>NC</v>
      </c>
      <c r="AJ317" s="123" t="str">
        <f t="shared" si="150"/>
        <v>NC</v>
      </c>
      <c r="AK317" s="123" t="str">
        <f t="shared" si="151"/>
        <v>NC</v>
      </c>
      <c r="AL317" s="138"/>
      <c r="AM317" s="151">
        <f t="shared" si="153"/>
        <v>0</v>
      </c>
      <c r="AN317" s="152"/>
      <c r="AP317" s="141" t="s">
        <v>643</v>
      </c>
      <c r="AQ317" s="141" t="s">
        <v>643</v>
      </c>
      <c r="AS317" s="143" t="s">
        <v>1378</v>
      </c>
      <c r="AT317" s="143" t="s">
        <v>1376</v>
      </c>
      <c r="AU317" s="143" t="s">
        <v>1379</v>
      </c>
    </row>
    <row r="318" spans="1:47" s="124" customFormat="1" ht="14.4" customHeight="1" x14ac:dyDescent="0.3">
      <c r="A318" s="121" t="s">
        <v>140</v>
      </c>
      <c r="B318" s="117" t="s">
        <v>1485</v>
      </c>
      <c r="C318" s="121" t="s">
        <v>573</v>
      </c>
      <c r="D318" s="123" t="s">
        <v>46</v>
      </c>
      <c r="E318" s="123"/>
      <c r="F318" s="121" t="s">
        <v>343</v>
      </c>
      <c r="G318" s="120"/>
      <c r="H318" s="120" t="s">
        <v>30</v>
      </c>
      <c r="I318" s="145"/>
      <c r="J318" s="146"/>
      <c r="K318" s="147" t="s">
        <v>609</v>
      </c>
      <c r="L318" s="133">
        <v>44166</v>
      </c>
      <c r="M318" s="148"/>
      <c r="N318" s="149" t="s">
        <v>596</v>
      </c>
      <c r="O318" s="150"/>
      <c r="P318" s="57" t="s">
        <v>30</v>
      </c>
      <c r="Q318" s="57" t="s">
        <v>30</v>
      </c>
      <c r="R318" s="116" t="s">
        <v>30</v>
      </c>
      <c r="S318" s="116" t="s">
        <v>30</v>
      </c>
      <c r="T318" s="57" t="s">
        <v>30</v>
      </c>
      <c r="U318" s="57" t="s">
        <v>30</v>
      </c>
      <c r="V318" s="262" t="s">
        <v>30</v>
      </c>
      <c r="W318" s="137" t="str">
        <f t="shared" ref="W318:W328" si="154">IF(P318="NC","NC",IF(P318="","erreur",P318+365))</f>
        <v>NC</v>
      </c>
      <c r="X318" s="57" t="str">
        <f t="shared" si="152"/>
        <v>NC</v>
      </c>
      <c r="Y318" s="57" t="str">
        <f t="shared" ref="Y318:Y328" si="155">IF(R318="NC","NC",IF(R318="","erreur",R318+365))</f>
        <v>NC</v>
      </c>
      <c r="Z318" s="57" t="str">
        <f t="shared" ref="Z318:Z328" si="156">IF(S318="NC","NC",IF(S318="","erreur",S318+3650))</f>
        <v>NC</v>
      </c>
      <c r="AA318" s="57" t="str">
        <f t="shared" ref="AA318:AA328" si="157">IF(T318="NC","NC",IF(T318="","erreur",T318+365))</f>
        <v>NC</v>
      </c>
      <c r="AB318" s="57" t="str">
        <f t="shared" ref="AB318:AB328" si="158">IF(U318="NC","NC",IF(U318="","erreur",U318+365))</f>
        <v>NC</v>
      </c>
      <c r="AC318" s="57" t="str">
        <f t="shared" ref="AC318:AC328" si="159">IF(V318="NC","NC",IF(V318="","erreur",V318+730))</f>
        <v>NC</v>
      </c>
      <c r="AE318" s="123" t="str">
        <f t="shared" ref="AE318:AE328" si="160">IF(W318="NC","NC",IF(W318="erreur","erreur",W318-$F$3))</f>
        <v>NC</v>
      </c>
      <c r="AF318" s="123" t="str">
        <f t="shared" ref="AF318:AF328" si="161">IF(X318="NC","NC",IF(X318="erreur","erreur",X318-$F$3))</f>
        <v>NC</v>
      </c>
      <c r="AG318" s="123" t="str">
        <f t="shared" ref="AG318:AG328" si="162">IF(Y318="NC","NC",IF(Y318="erreur","erreur",Y318-$F$3))</f>
        <v>NC</v>
      </c>
      <c r="AH318" s="123" t="str">
        <f t="shared" ref="AH318:AH328" si="163">IF(Z318="NC","NC",IF(Z318="erreur","erreur",Z318-$F$3))</f>
        <v>NC</v>
      </c>
      <c r="AI318" s="123" t="str">
        <f t="shared" ref="AI318:AI328" si="164">IF(AA318="NC","NC",IF(AA318="erreur","erreur",AA318-$F$3))</f>
        <v>NC</v>
      </c>
      <c r="AJ318" s="123" t="str">
        <f t="shared" ref="AJ318:AJ328" si="165">IF(AB318="NC","NC",IF(AB318="erreur","erreur",AB318-$F$3))</f>
        <v>NC</v>
      </c>
      <c r="AK318" s="123" t="str">
        <f t="shared" ref="AK318:AK328" si="166">IF(AC318="NC","NC",IF(AC318="erreur","erreur",AC318-$F$3))</f>
        <v>NC</v>
      </c>
      <c r="AL318" s="138"/>
      <c r="AM318" s="151">
        <f t="shared" si="153"/>
        <v>0</v>
      </c>
      <c r="AN318" s="152"/>
      <c r="AP318" s="141" t="s">
        <v>643</v>
      </c>
      <c r="AQ318" s="141" t="s">
        <v>643</v>
      </c>
      <c r="AS318" s="143" t="s">
        <v>1380</v>
      </c>
      <c r="AT318" s="143" t="s">
        <v>1376</v>
      </c>
      <c r="AU318" s="143" t="s">
        <v>1379</v>
      </c>
    </row>
    <row r="319" spans="1:47" s="124" customFormat="1" ht="14.4" customHeight="1" x14ac:dyDescent="0.3">
      <c r="A319" s="116" t="s">
        <v>898</v>
      </c>
      <c r="B319" s="118" t="s">
        <v>1477</v>
      </c>
      <c r="C319" s="117" t="s">
        <v>899</v>
      </c>
      <c r="D319" s="116" t="s">
        <v>46</v>
      </c>
      <c r="E319" s="116"/>
      <c r="F319" s="239" t="s">
        <v>929</v>
      </c>
      <c r="G319" s="120"/>
      <c r="H319" s="120" t="s">
        <v>30</v>
      </c>
      <c r="I319" s="134">
        <v>36930000</v>
      </c>
      <c r="J319" s="120">
        <v>2019</v>
      </c>
      <c r="K319" s="132"/>
      <c r="L319" s="162">
        <v>43952</v>
      </c>
      <c r="M319" s="116"/>
      <c r="N319" s="135" t="s">
        <v>596</v>
      </c>
      <c r="O319" s="136"/>
      <c r="P319" s="57" t="s">
        <v>30</v>
      </c>
      <c r="Q319" s="57" t="s">
        <v>30</v>
      </c>
      <c r="R319" s="57" t="s">
        <v>30</v>
      </c>
      <c r="S319" s="57" t="s">
        <v>30</v>
      </c>
      <c r="T319" s="57" t="s">
        <v>30</v>
      </c>
      <c r="U319" s="57" t="s">
        <v>30</v>
      </c>
      <c r="V319" s="262" t="s">
        <v>30</v>
      </c>
      <c r="W319" s="137" t="str">
        <f t="shared" si="154"/>
        <v>NC</v>
      </c>
      <c r="X319" s="57" t="str">
        <f t="shared" si="152"/>
        <v>NC</v>
      </c>
      <c r="Y319" s="57" t="str">
        <f t="shared" si="155"/>
        <v>NC</v>
      </c>
      <c r="Z319" s="57" t="str">
        <f t="shared" si="156"/>
        <v>NC</v>
      </c>
      <c r="AA319" s="57" t="str">
        <f t="shared" si="157"/>
        <v>NC</v>
      </c>
      <c r="AB319" s="57" t="str">
        <f t="shared" si="158"/>
        <v>NC</v>
      </c>
      <c r="AC319" s="57" t="str">
        <f t="shared" si="159"/>
        <v>NC</v>
      </c>
      <c r="AD319" s="138"/>
      <c r="AE319" s="123" t="str">
        <f t="shared" si="160"/>
        <v>NC</v>
      </c>
      <c r="AF319" s="123" t="str">
        <f t="shared" si="161"/>
        <v>NC</v>
      </c>
      <c r="AG319" s="123" t="str">
        <f t="shared" si="162"/>
        <v>NC</v>
      </c>
      <c r="AH319" s="123" t="str">
        <f t="shared" si="163"/>
        <v>NC</v>
      </c>
      <c r="AI319" s="123" t="str">
        <f t="shared" si="164"/>
        <v>NC</v>
      </c>
      <c r="AJ319" s="123" t="str">
        <f t="shared" si="165"/>
        <v>NC</v>
      </c>
      <c r="AK319" s="123" t="str">
        <f t="shared" si="166"/>
        <v>NC</v>
      </c>
      <c r="AL319" s="138"/>
      <c r="AM319" s="151">
        <f t="shared" si="153"/>
        <v>1.4035441165047196E-3</v>
      </c>
      <c r="AN319" s="138"/>
      <c r="AO319" s="138"/>
      <c r="AP319" s="138"/>
      <c r="AQ319" s="138"/>
      <c r="AR319" s="138"/>
      <c r="AS319" s="142" t="s">
        <v>1375</v>
      </c>
      <c r="AT319" s="143" t="s">
        <v>1376</v>
      </c>
      <c r="AU319" s="143" t="s">
        <v>1377</v>
      </c>
    </row>
    <row r="320" spans="1:47" s="124" customFormat="1" ht="14.4" customHeight="1" x14ac:dyDescent="0.3">
      <c r="A320" s="121" t="s">
        <v>141</v>
      </c>
      <c r="B320" s="263" t="s">
        <v>142</v>
      </c>
      <c r="C320" s="121" t="s">
        <v>574</v>
      </c>
      <c r="D320" s="123" t="s">
        <v>49</v>
      </c>
      <c r="E320" s="123"/>
      <c r="F320" s="121">
        <v>324997</v>
      </c>
      <c r="G320" s="120"/>
      <c r="H320" s="120" t="s">
        <v>30</v>
      </c>
      <c r="I320" s="145"/>
      <c r="J320" s="146"/>
      <c r="K320" s="154"/>
      <c r="L320" s="133"/>
      <c r="M320" s="148"/>
      <c r="N320" s="149" t="s">
        <v>596</v>
      </c>
      <c r="O320" s="150"/>
      <c r="P320" s="57" t="s">
        <v>30</v>
      </c>
      <c r="Q320" s="57" t="s">
        <v>30</v>
      </c>
      <c r="R320" s="116" t="s">
        <v>30</v>
      </c>
      <c r="S320" s="116" t="s">
        <v>30</v>
      </c>
      <c r="T320" s="57" t="s">
        <v>30</v>
      </c>
      <c r="U320" s="57" t="s">
        <v>30</v>
      </c>
      <c r="V320" s="262" t="s">
        <v>30</v>
      </c>
      <c r="W320" s="137" t="str">
        <f t="shared" si="154"/>
        <v>NC</v>
      </c>
      <c r="X320" s="57" t="str">
        <f t="shared" si="152"/>
        <v>NC</v>
      </c>
      <c r="Y320" s="57" t="str">
        <f t="shared" si="155"/>
        <v>NC</v>
      </c>
      <c r="Z320" s="57" t="str">
        <f t="shared" si="156"/>
        <v>NC</v>
      </c>
      <c r="AA320" s="57" t="str">
        <f t="shared" si="157"/>
        <v>NC</v>
      </c>
      <c r="AB320" s="57" t="str">
        <f t="shared" si="158"/>
        <v>NC</v>
      </c>
      <c r="AC320" s="57" t="str">
        <f t="shared" si="159"/>
        <v>NC</v>
      </c>
      <c r="AE320" s="123" t="str">
        <f t="shared" si="160"/>
        <v>NC</v>
      </c>
      <c r="AF320" s="123" t="str">
        <f t="shared" si="161"/>
        <v>NC</v>
      </c>
      <c r="AG320" s="123" t="str">
        <f t="shared" si="162"/>
        <v>NC</v>
      </c>
      <c r="AH320" s="123" t="str">
        <f t="shared" si="163"/>
        <v>NC</v>
      </c>
      <c r="AI320" s="123" t="str">
        <f t="shared" si="164"/>
        <v>NC</v>
      </c>
      <c r="AJ320" s="123" t="str">
        <f t="shared" si="165"/>
        <v>NC</v>
      </c>
      <c r="AK320" s="123" t="str">
        <f t="shared" si="166"/>
        <v>NC</v>
      </c>
      <c r="AL320" s="138"/>
      <c r="AM320" s="151">
        <f t="shared" si="153"/>
        <v>0</v>
      </c>
      <c r="AN320" s="152"/>
      <c r="AP320" s="141" t="s">
        <v>643</v>
      </c>
      <c r="AQ320" s="141" t="s">
        <v>643</v>
      </c>
      <c r="AS320" s="143"/>
      <c r="AT320" s="143" t="s">
        <v>966</v>
      </c>
      <c r="AU320" s="143" t="s">
        <v>967</v>
      </c>
    </row>
    <row r="321" spans="1:47" s="124" customFormat="1" ht="14.4" customHeight="1" x14ac:dyDescent="0.3">
      <c r="A321" s="121" t="s">
        <v>718</v>
      </c>
      <c r="B321" s="263" t="s">
        <v>1481</v>
      </c>
      <c r="C321" s="121" t="s">
        <v>574</v>
      </c>
      <c r="D321" s="123" t="s">
        <v>46</v>
      </c>
      <c r="E321" s="123"/>
      <c r="F321" s="121"/>
      <c r="G321" s="120"/>
      <c r="H321" s="120" t="s">
        <v>30</v>
      </c>
      <c r="I321" s="145"/>
      <c r="J321" s="146"/>
      <c r="K321" s="154"/>
      <c r="L321" s="133">
        <v>43983</v>
      </c>
      <c r="M321" s="148"/>
      <c r="N321" s="149" t="s">
        <v>596</v>
      </c>
      <c r="O321" s="150"/>
      <c r="P321" s="57" t="s">
        <v>30</v>
      </c>
      <c r="Q321" s="57" t="s">
        <v>30</v>
      </c>
      <c r="R321" s="116" t="s">
        <v>30</v>
      </c>
      <c r="S321" s="116" t="s">
        <v>30</v>
      </c>
      <c r="T321" s="57" t="s">
        <v>30</v>
      </c>
      <c r="U321" s="57" t="s">
        <v>30</v>
      </c>
      <c r="V321" s="264" t="s">
        <v>30</v>
      </c>
      <c r="W321" s="137" t="str">
        <f t="shared" si="154"/>
        <v>NC</v>
      </c>
      <c r="X321" s="57" t="str">
        <f t="shared" si="152"/>
        <v>NC</v>
      </c>
      <c r="Y321" s="57" t="str">
        <f t="shared" si="155"/>
        <v>NC</v>
      </c>
      <c r="Z321" s="57" t="str">
        <f t="shared" si="156"/>
        <v>NC</v>
      </c>
      <c r="AA321" s="57" t="str">
        <f t="shared" si="157"/>
        <v>NC</v>
      </c>
      <c r="AB321" s="57" t="str">
        <f t="shared" si="158"/>
        <v>NC</v>
      </c>
      <c r="AC321" s="57" t="str">
        <f t="shared" si="159"/>
        <v>NC</v>
      </c>
      <c r="AE321" s="123" t="str">
        <f t="shared" si="160"/>
        <v>NC</v>
      </c>
      <c r="AF321" s="123" t="str">
        <f t="shared" si="161"/>
        <v>NC</v>
      </c>
      <c r="AG321" s="123" t="str">
        <f t="shared" si="162"/>
        <v>NC</v>
      </c>
      <c r="AH321" s="123" t="str">
        <f t="shared" si="163"/>
        <v>NC</v>
      </c>
      <c r="AI321" s="123" t="str">
        <f t="shared" si="164"/>
        <v>NC</v>
      </c>
      <c r="AJ321" s="123" t="str">
        <f t="shared" si="165"/>
        <v>NC</v>
      </c>
      <c r="AK321" s="123" t="str">
        <f t="shared" si="166"/>
        <v>NC</v>
      </c>
      <c r="AL321" s="138"/>
      <c r="AM321" s="151">
        <f t="shared" si="153"/>
        <v>0</v>
      </c>
      <c r="AN321" s="152"/>
      <c r="AP321" s="141" t="s">
        <v>643</v>
      </c>
      <c r="AQ321" s="141" t="s">
        <v>643</v>
      </c>
      <c r="AS321" s="143" t="s">
        <v>1482</v>
      </c>
      <c r="AT321" s="143" t="s">
        <v>1483</v>
      </c>
      <c r="AU321" s="143" t="s">
        <v>1484</v>
      </c>
    </row>
    <row r="322" spans="1:47" s="124" customFormat="1" ht="14.4" customHeight="1" x14ac:dyDescent="0.3">
      <c r="A322" s="121" t="s">
        <v>143</v>
      </c>
      <c r="B322" s="117" t="s">
        <v>1151</v>
      </c>
      <c r="C322" s="121" t="s">
        <v>575</v>
      </c>
      <c r="D322" s="123" t="s">
        <v>49</v>
      </c>
      <c r="E322" s="123"/>
      <c r="F322" s="121">
        <v>15596</v>
      </c>
      <c r="G322" s="120"/>
      <c r="H322" s="120" t="s">
        <v>30</v>
      </c>
      <c r="I322" s="145"/>
      <c r="J322" s="146"/>
      <c r="K322" s="154"/>
      <c r="L322" s="133"/>
      <c r="M322" s="148"/>
      <c r="N322" s="149" t="s">
        <v>596</v>
      </c>
      <c r="O322" s="150"/>
      <c r="P322" s="57" t="s">
        <v>30</v>
      </c>
      <c r="Q322" s="57" t="s">
        <v>30</v>
      </c>
      <c r="R322" s="116" t="s">
        <v>30</v>
      </c>
      <c r="S322" s="116" t="s">
        <v>30</v>
      </c>
      <c r="T322" s="57" t="s">
        <v>30</v>
      </c>
      <c r="U322" s="57" t="s">
        <v>30</v>
      </c>
      <c r="V322" s="57" t="s">
        <v>30</v>
      </c>
      <c r="W322" s="137" t="str">
        <f t="shared" si="154"/>
        <v>NC</v>
      </c>
      <c r="X322" s="57" t="str">
        <f t="shared" si="152"/>
        <v>NC</v>
      </c>
      <c r="Y322" s="57" t="str">
        <f t="shared" si="155"/>
        <v>NC</v>
      </c>
      <c r="Z322" s="57" t="str">
        <f t="shared" si="156"/>
        <v>NC</v>
      </c>
      <c r="AA322" s="57" t="str">
        <f t="shared" si="157"/>
        <v>NC</v>
      </c>
      <c r="AB322" s="57" t="str">
        <f t="shared" si="158"/>
        <v>NC</v>
      </c>
      <c r="AC322" s="57" t="str">
        <f t="shared" si="159"/>
        <v>NC</v>
      </c>
      <c r="AE322" s="123" t="str">
        <f t="shared" si="160"/>
        <v>NC</v>
      </c>
      <c r="AF322" s="123" t="str">
        <f t="shared" si="161"/>
        <v>NC</v>
      </c>
      <c r="AG322" s="123" t="str">
        <f t="shared" si="162"/>
        <v>NC</v>
      </c>
      <c r="AH322" s="123" t="str">
        <f t="shared" si="163"/>
        <v>NC</v>
      </c>
      <c r="AI322" s="123" t="str">
        <f t="shared" si="164"/>
        <v>NC</v>
      </c>
      <c r="AJ322" s="123" t="str">
        <f t="shared" si="165"/>
        <v>NC</v>
      </c>
      <c r="AK322" s="123" t="str">
        <f t="shared" si="166"/>
        <v>NC</v>
      </c>
      <c r="AL322" s="138"/>
      <c r="AM322" s="151">
        <f t="shared" si="153"/>
        <v>0</v>
      </c>
      <c r="AN322" s="152"/>
      <c r="AP322" s="141" t="s">
        <v>643</v>
      </c>
      <c r="AQ322" s="141" t="s">
        <v>643</v>
      </c>
      <c r="AS322" s="143" t="s">
        <v>1381</v>
      </c>
      <c r="AT322" s="143" t="s">
        <v>968</v>
      </c>
      <c r="AU322" s="143" t="s">
        <v>969</v>
      </c>
    </row>
    <row r="323" spans="1:47" ht="14.4" customHeight="1" x14ac:dyDescent="0.3">
      <c r="A323" s="3" t="s">
        <v>144</v>
      </c>
      <c r="B323" s="2" t="s">
        <v>1152</v>
      </c>
      <c r="C323" s="3" t="s">
        <v>576</v>
      </c>
      <c r="D323" s="4" t="s">
        <v>49</v>
      </c>
      <c r="E323" s="4"/>
      <c r="F323" s="3">
        <v>3036</v>
      </c>
      <c r="G323" s="60"/>
      <c r="H323" s="60" t="s">
        <v>30</v>
      </c>
      <c r="I323" s="12"/>
      <c r="J323" s="61">
        <v>2015</v>
      </c>
      <c r="K323" s="78"/>
      <c r="L323" s="87"/>
      <c r="M323" s="47"/>
      <c r="N323" s="56" t="s">
        <v>596</v>
      </c>
      <c r="O323" s="80"/>
      <c r="P323" s="18" t="s">
        <v>30</v>
      </c>
      <c r="Q323" s="18" t="s">
        <v>30</v>
      </c>
      <c r="R323" s="16" t="s">
        <v>30</v>
      </c>
      <c r="S323" s="16" t="s">
        <v>30</v>
      </c>
      <c r="T323" s="18" t="s">
        <v>30</v>
      </c>
      <c r="U323" s="18" t="s">
        <v>30</v>
      </c>
      <c r="V323" s="113" t="s">
        <v>30</v>
      </c>
      <c r="W323" s="52" t="str">
        <f t="shared" si="154"/>
        <v>NC</v>
      </c>
      <c r="X323" s="18" t="str">
        <f t="shared" si="152"/>
        <v>NC</v>
      </c>
      <c r="Y323" s="18" t="str">
        <f t="shared" si="155"/>
        <v>NC</v>
      </c>
      <c r="Z323" s="18" t="str">
        <f t="shared" si="156"/>
        <v>NC</v>
      </c>
      <c r="AA323" s="18" t="str">
        <f t="shared" si="157"/>
        <v>NC</v>
      </c>
      <c r="AB323" s="18" t="str">
        <f t="shared" si="158"/>
        <v>NC</v>
      </c>
      <c r="AC323" s="18" t="str">
        <f t="shared" si="159"/>
        <v>NC</v>
      </c>
      <c r="AE323" s="107" t="str">
        <f t="shared" si="160"/>
        <v>NC</v>
      </c>
      <c r="AF323" s="107" t="str">
        <f t="shared" si="161"/>
        <v>NC</v>
      </c>
      <c r="AG323" s="107" t="str">
        <f t="shared" si="162"/>
        <v>NC</v>
      </c>
      <c r="AH323" s="107" t="str">
        <f t="shared" si="163"/>
        <v>NC</v>
      </c>
      <c r="AI323" s="107" t="str">
        <f t="shared" si="164"/>
        <v>NC</v>
      </c>
      <c r="AJ323" s="107" t="str">
        <f t="shared" si="165"/>
        <v>NC</v>
      </c>
      <c r="AK323" s="107" t="str">
        <f t="shared" si="166"/>
        <v>NC</v>
      </c>
      <c r="AL323" s="24"/>
      <c r="AM323" s="46">
        <f t="shared" si="153"/>
        <v>0</v>
      </c>
      <c r="AN323" s="15"/>
      <c r="AP323" s="69" t="s">
        <v>643</v>
      </c>
      <c r="AQ323" s="69" t="s">
        <v>643</v>
      </c>
      <c r="AS323" s="114" t="s">
        <v>1382</v>
      </c>
      <c r="AT323" s="114" t="s">
        <v>970</v>
      </c>
      <c r="AU323" s="114" t="s">
        <v>971</v>
      </c>
    </row>
    <row r="324" spans="1:47" s="24" customFormat="1" ht="14.4" customHeight="1" x14ac:dyDescent="0.3">
      <c r="A324" s="3" t="s">
        <v>39</v>
      </c>
      <c r="B324" s="2" t="s">
        <v>1487</v>
      </c>
      <c r="C324" s="3" t="s">
        <v>577</v>
      </c>
      <c r="D324" s="4" t="s">
        <v>46</v>
      </c>
      <c r="E324" s="4"/>
      <c r="F324" s="3" t="s">
        <v>344</v>
      </c>
      <c r="G324" s="60"/>
      <c r="H324" s="60" t="s">
        <v>30</v>
      </c>
      <c r="I324" s="106">
        <v>33781786</v>
      </c>
      <c r="J324" s="62">
        <v>2014</v>
      </c>
      <c r="K324" s="78">
        <v>44774</v>
      </c>
      <c r="L324" s="87">
        <v>43862</v>
      </c>
      <c r="M324" s="47"/>
      <c r="N324" s="56" t="s">
        <v>596</v>
      </c>
      <c r="O324" s="80"/>
      <c r="P324" s="18" t="s">
        <v>30</v>
      </c>
      <c r="Q324" s="18" t="s">
        <v>30</v>
      </c>
      <c r="R324" s="16" t="s">
        <v>30</v>
      </c>
      <c r="S324" s="33">
        <v>41640</v>
      </c>
      <c r="T324" s="18" t="s">
        <v>30</v>
      </c>
      <c r="U324" s="18" t="s">
        <v>30</v>
      </c>
      <c r="V324" s="22" t="s">
        <v>30</v>
      </c>
      <c r="W324" s="52" t="str">
        <f t="shared" si="154"/>
        <v>NC</v>
      </c>
      <c r="X324" s="18" t="str">
        <f t="shared" si="152"/>
        <v>NC</v>
      </c>
      <c r="Y324" s="18" t="str">
        <f t="shared" si="155"/>
        <v>NC</v>
      </c>
      <c r="Z324" s="18">
        <f t="shared" si="156"/>
        <v>45290</v>
      </c>
      <c r="AA324" s="18" t="str">
        <f t="shared" si="157"/>
        <v>NC</v>
      </c>
      <c r="AB324" s="18" t="str">
        <f t="shared" si="158"/>
        <v>NC</v>
      </c>
      <c r="AC324" s="18" t="str">
        <f t="shared" si="159"/>
        <v>NC</v>
      </c>
      <c r="AD324"/>
      <c r="AE324" s="4" t="str">
        <f t="shared" si="160"/>
        <v>NC</v>
      </c>
      <c r="AF324" s="4" t="str">
        <f t="shared" si="161"/>
        <v>NC</v>
      </c>
      <c r="AG324" s="4" t="str">
        <f t="shared" si="162"/>
        <v>NC</v>
      </c>
      <c r="AH324" s="4">
        <f t="shared" ca="1" si="163"/>
        <v>-297</v>
      </c>
      <c r="AI324" s="4" t="str">
        <f t="shared" si="164"/>
        <v>NC</v>
      </c>
      <c r="AJ324" s="4" t="str">
        <f t="shared" si="165"/>
        <v>NC</v>
      </c>
      <c r="AK324" s="4" t="str">
        <f t="shared" si="166"/>
        <v>NC</v>
      </c>
      <c r="AM324" s="46">
        <f t="shared" si="153"/>
        <v>1.1010368704793275E-2</v>
      </c>
      <c r="AN324" s="15"/>
      <c r="AO324"/>
      <c r="AP324" s="69" t="s">
        <v>643</v>
      </c>
      <c r="AQ324" s="69" t="s">
        <v>643</v>
      </c>
      <c r="AR324"/>
      <c r="AS324" s="114" t="s">
        <v>1383</v>
      </c>
      <c r="AT324" s="114" t="s">
        <v>1384</v>
      </c>
      <c r="AU324" s="114" t="s">
        <v>1385</v>
      </c>
    </row>
    <row r="325" spans="1:47" ht="14.4" customHeight="1" x14ac:dyDescent="0.3">
      <c r="A325" s="3" t="s">
        <v>920</v>
      </c>
      <c r="B325" s="3" t="s">
        <v>1488</v>
      </c>
      <c r="C325" s="3" t="s">
        <v>921</v>
      </c>
      <c r="D325" s="4" t="s">
        <v>357</v>
      </c>
      <c r="E325" s="4"/>
      <c r="F325" s="3"/>
      <c r="G325" s="60"/>
      <c r="H325" s="60" t="s">
        <v>30</v>
      </c>
      <c r="I325" s="106"/>
      <c r="J325" s="62"/>
      <c r="K325" s="78"/>
      <c r="L325" s="87" t="s">
        <v>751</v>
      </c>
      <c r="M325" s="47"/>
      <c r="N325" s="56" t="s">
        <v>596</v>
      </c>
      <c r="O325" s="80"/>
      <c r="P325" s="18" t="s">
        <v>30</v>
      </c>
      <c r="Q325" s="18" t="s">
        <v>30</v>
      </c>
      <c r="R325" s="16" t="s">
        <v>30</v>
      </c>
      <c r="S325" s="22" t="s">
        <v>30</v>
      </c>
      <c r="T325" s="18" t="s">
        <v>30</v>
      </c>
      <c r="U325" s="18" t="s">
        <v>30</v>
      </c>
      <c r="V325" s="22" t="s">
        <v>30</v>
      </c>
      <c r="W325" s="52" t="str">
        <f t="shared" si="154"/>
        <v>NC</v>
      </c>
      <c r="X325" s="18" t="str">
        <f t="shared" si="152"/>
        <v>NC</v>
      </c>
      <c r="Y325" s="18" t="str">
        <f t="shared" si="155"/>
        <v>NC</v>
      </c>
      <c r="Z325" s="18" t="str">
        <f t="shared" si="156"/>
        <v>NC</v>
      </c>
      <c r="AA325" s="18" t="str">
        <f t="shared" si="157"/>
        <v>NC</v>
      </c>
      <c r="AB325" s="18" t="str">
        <f t="shared" si="158"/>
        <v>NC</v>
      </c>
      <c r="AC325" s="18" t="str">
        <f t="shared" si="159"/>
        <v>NC</v>
      </c>
      <c r="AE325" s="4" t="str">
        <f t="shared" si="160"/>
        <v>NC</v>
      </c>
      <c r="AF325" s="4" t="str">
        <f t="shared" si="161"/>
        <v>NC</v>
      </c>
      <c r="AG325" s="4" t="str">
        <f t="shared" si="162"/>
        <v>NC</v>
      </c>
      <c r="AH325" s="4" t="str">
        <f t="shared" si="163"/>
        <v>NC</v>
      </c>
      <c r="AI325" s="4" t="str">
        <f t="shared" si="164"/>
        <v>NC</v>
      </c>
      <c r="AJ325" s="4" t="str">
        <f t="shared" si="165"/>
        <v>NC</v>
      </c>
      <c r="AK325" s="4" t="str">
        <f t="shared" si="166"/>
        <v>NC</v>
      </c>
      <c r="AL325" s="24"/>
      <c r="AM325" s="46">
        <f t="shared" si="153"/>
        <v>0</v>
      </c>
      <c r="AN325" s="15"/>
      <c r="AP325" s="69"/>
      <c r="AQ325" s="69"/>
      <c r="AS325" s="114"/>
      <c r="AT325" s="114"/>
      <c r="AU325" s="114"/>
    </row>
    <row r="326" spans="1:47" s="24" customFormat="1" ht="14.4" customHeight="1" x14ac:dyDescent="0.3">
      <c r="A326" s="16" t="s">
        <v>393</v>
      </c>
      <c r="B326" s="16" t="s">
        <v>1153</v>
      </c>
      <c r="C326" s="3" t="s">
        <v>578</v>
      </c>
      <c r="D326" s="16" t="s">
        <v>46</v>
      </c>
      <c r="E326" s="16"/>
      <c r="F326" s="2" t="s">
        <v>418</v>
      </c>
      <c r="G326" s="60"/>
      <c r="H326" s="60" t="s">
        <v>30</v>
      </c>
      <c r="I326" s="109">
        <v>26000000</v>
      </c>
      <c r="J326" s="111">
        <v>2017</v>
      </c>
      <c r="K326" s="91"/>
      <c r="L326" s="112">
        <v>43952</v>
      </c>
      <c r="M326" s="94"/>
      <c r="N326" s="96" t="s">
        <v>596</v>
      </c>
      <c r="O326" s="108"/>
      <c r="P326" s="49" t="s">
        <v>30</v>
      </c>
      <c r="Q326" s="85">
        <v>43549</v>
      </c>
      <c r="R326" s="49" t="s">
        <v>30</v>
      </c>
      <c r="S326" s="49" t="s">
        <v>30</v>
      </c>
      <c r="T326" s="49" t="s">
        <v>30</v>
      </c>
      <c r="U326" s="49" t="s">
        <v>30</v>
      </c>
      <c r="V326" s="49" t="s">
        <v>30</v>
      </c>
      <c r="W326" s="50" t="str">
        <f t="shared" si="154"/>
        <v>NC</v>
      </c>
      <c r="X326" s="18">
        <f>IF(Q326="NC","NC",IF(Q326="","erreur",Q326+365))</f>
        <v>43914</v>
      </c>
      <c r="Y326" s="49" t="str">
        <f t="shared" si="155"/>
        <v>NC</v>
      </c>
      <c r="Z326" s="49" t="str">
        <f t="shared" si="156"/>
        <v>NC</v>
      </c>
      <c r="AA326" s="49" t="str">
        <f t="shared" si="157"/>
        <v>NC</v>
      </c>
      <c r="AB326" s="49" t="str">
        <f t="shared" si="158"/>
        <v>NC</v>
      </c>
      <c r="AC326" s="49" t="str">
        <f t="shared" si="159"/>
        <v>NC</v>
      </c>
      <c r="AE326" s="86" t="str">
        <f t="shared" si="160"/>
        <v>NC</v>
      </c>
      <c r="AF326" s="86">
        <f t="shared" ca="1" si="161"/>
        <v>-1673</v>
      </c>
      <c r="AG326" s="86" t="str">
        <f t="shared" si="162"/>
        <v>NC</v>
      </c>
      <c r="AH326" s="86" t="str">
        <f t="shared" si="163"/>
        <v>NC</v>
      </c>
      <c r="AI326" s="86" t="str">
        <f t="shared" si="164"/>
        <v>NC</v>
      </c>
      <c r="AJ326" s="86" t="str">
        <f t="shared" si="165"/>
        <v>NC</v>
      </c>
      <c r="AK326" s="86" t="str">
        <f t="shared" si="166"/>
        <v>NC</v>
      </c>
      <c r="AM326" s="46">
        <f t="shared" si="153"/>
        <v>3.9825185690149818E-3</v>
      </c>
      <c r="AP326" s="69" t="s">
        <v>643</v>
      </c>
      <c r="AQ326" s="69" t="s">
        <v>643</v>
      </c>
      <c r="AS326" s="115" t="s">
        <v>1386</v>
      </c>
      <c r="AT326" s="114" t="s">
        <v>394</v>
      </c>
      <c r="AU326" s="114" t="s">
        <v>1387</v>
      </c>
    </row>
    <row r="327" spans="1:47" ht="14.4" customHeight="1" x14ac:dyDescent="0.3">
      <c r="A327" s="16" t="s">
        <v>781</v>
      </c>
      <c r="B327" s="16" t="s">
        <v>782</v>
      </c>
      <c r="C327" s="2" t="s">
        <v>783</v>
      </c>
      <c r="D327" s="16" t="s">
        <v>357</v>
      </c>
      <c r="E327" s="16" t="s">
        <v>934</v>
      </c>
      <c r="F327" s="2"/>
      <c r="G327" s="60"/>
      <c r="H327" s="60" t="s">
        <v>30</v>
      </c>
      <c r="I327" s="110">
        <v>21140000</v>
      </c>
      <c r="J327" s="60">
        <v>2019</v>
      </c>
      <c r="K327" s="83"/>
      <c r="L327" s="98">
        <v>43891</v>
      </c>
      <c r="M327" s="16"/>
      <c r="N327" s="84" t="s">
        <v>780</v>
      </c>
      <c r="O327" s="81"/>
      <c r="P327" s="18" t="s">
        <v>30</v>
      </c>
      <c r="Q327" s="18" t="s">
        <v>30</v>
      </c>
      <c r="R327" s="18" t="s">
        <v>30</v>
      </c>
      <c r="S327" s="18" t="s">
        <v>30</v>
      </c>
      <c r="T327" s="18" t="s">
        <v>30</v>
      </c>
      <c r="U327" s="18" t="s">
        <v>30</v>
      </c>
      <c r="V327" s="18" t="s">
        <v>30</v>
      </c>
      <c r="W327" s="23" t="str">
        <f t="shared" si="154"/>
        <v>NC</v>
      </c>
      <c r="X327" s="18" t="str">
        <f>IF(Q327="NC","NC",IF(Q327="","erreur",Q327+181))</f>
        <v>NC</v>
      </c>
      <c r="Y327" s="18" t="str">
        <f t="shared" si="155"/>
        <v>NC</v>
      </c>
      <c r="Z327" s="18" t="str">
        <f t="shared" si="156"/>
        <v>NC</v>
      </c>
      <c r="AA327" s="18" t="str">
        <f t="shared" si="157"/>
        <v>NC</v>
      </c>
      <c r="AB327" s="18" t="str">
        <f t="shared" si="158"/>
        <v>NC</v>
      </c>
      <c r="AC327" s="18" t="str">
        <f t="shared" si="159"/>
        <v>NC</v>
      </c>
      <c r="AD327" s="24"/>
      <c r="AE327" s="4" t="str">
        <f t="shared" si="160"/>
        <v>NC</v>
      </c>
      <c r="AF327" s="4" t="str">
        <f t="shared" si="161"/>
        <v>NC</v>
      </c>
      <c r="AG327" s="4" t="str">
        <f t="shared" si="162"/>
        <v>NC</v>
      </c>
      <c r="AH327" s="4" t="str">
        <f t="shared" si="163"/>
        <v>NC</v>
      </c>
      <c r="AI327" s="4" t="str">
        <f t="shared" si="164"/>
        <v>NC</v>
      </c>
      <c r="AJ327" s="4" t="str">
        <f t="shared" si="165"/>
        <v>NC</v>
      </c>
      <c r="AK327" s="4" t="str">
        <f t="shared" si="166"/>
        <v>NC</v>
      </c>
      <c r="AL327" s="24"/>
      <c r="AM327" s="46">
        <f t="shared" si="153"/>
        <v>8.0343684329568842E-4</v>
      </c>
      <c r="AN327" s="24"/>
      <c r="AO327" s="24"/>
      <c r="AP327" s="69" t="s">
        <v>643</v>
      </c>
      <c r="AQ327" s="69" t="s">
        <v>643</v>
      </c>
      <c r="AR327" s="24"/>
      <c r="AS327" s="115"/>
      <c r="AT327" s="114"/>
      <c r="AU327" s="114"/>
    </row>
    <row r="328" spans="1:47" s="24" customFormat="1" ht="14.4" customHeight="1" x14ac:dyDescent="0.3">
      <c r="A328" s="2" t="s">
        <v>991</v>
      </c>
      <c r="B328" s="2" t="s">
        <v>980</v>
      </c>
      <c r="C328" s="2" t="s">
        <v>993</v>
      </c>
      <c r="D328" s="16" t="s">
        <v>357</v>
      </c>
      <c r="E328" s="16"/>
      <c r="F328" s="2"/>
      <c r="G328" s="60"/>
      <c r="H328" s="60" t="s">
        <v>30</v>
      </c>
      <c r="I328" s="43">
        <v>32180000</v>
      </c>
      <c r="J328" s="63">
        <v>2019</v>
      </c>
      <c r="K328" s="83"/>
      <c r="L328" s="87">
        <v>43952</v>
      </c>
      <c r="M328" s="38"/>
      <c r="N328" s="84"/>
      <c r="O328" s="81"/>
      <c r="P328" s="18" t="s">
        <v>30</v>
      </c>
      <c r="Q328" s="20"/>
      <c r="R328" s="18" t="s">
        <v>30</v>
      </c>
      <c r="S328" s="21" t="s">
        <v>30</v>
      </c>
      <c r="T328" s="18" t="s">
        <v>30</v>
      </c>
      <c r="U328" s="18" t="s">
        <v>30</v>
      </c>
      <c r="V328" s="22" t="s">
        <v>30</v>
      </c>
      <c r="W328" s="23" t="str">
        <f t="shared" si="154"/>
        <v>NC</v>
      </c>
      <c r="X328" s="18" t="str">
        <f>IF(Q328="NC","NC",IF(Q328="","erreur",Q328+181))</f>
        <v>erreur</v>
      </c>
      <c r="Y328" s="18" t="str">
        <f t="shared" si="155"/>
        <v>NC</v>
      </c>
      <c r="Z328" s="18" t="str">
        <f t="shared" si="156"/>
        <v>NC</v>
      </c>
      <c r="AA328" s="18" t="str">
        <f t="shared" si="157"/>
        <v>NC</v>
      </c>
      <c r="AB328" s="18" t="str">
        <f t="shared" si="158"/>
        <v>NC</v>
      </c>
      <c r="AC328" s="18" t="str">
        <f t="shared" si="159"/>
        <v>NC</v>
      </c>
      <c r="AE328" s="16" t="str">
        <f t="shared" si="160"/>
        <v>NC</v>
      </c>
      <c r="AF328" s="16" t="str">
        <f t="shared" si="161"/>
        <v>erreur</v>
      </c>
      <c r="AG328" s="16" t="str">
        <f t="shared" si="162"/>
        <v>NC</v>
      </c>
      <c r="AH328" s="16" t="str">
        <f t="shared" si="163"/>
        <v>NC</v>
      </c>
      <c r="AI328" s="16" t="str">
        <f t="shared" si="164"/>
        <v>NC</v>
      </c>
      <c r="AJ328" s="16" t="str">
        <f t="shared" si="165"/>
        <v>NC</v>
      </c>
      <c r="AK328" s="16" t="str">
        <f t="shared" si="166"/>
        <v>NC</v>
      </c>
      <c r="AM328" s="58">
        <f t="shared" si="153"/>
        <v>1.2230178626894633E-3</v>
      </c>
      <c r="AN328" s="48"/>
      <c r="AP328" s="69" t="s">
        <v>643</v>
      </c>
      <c r="AQ328" s="69" t="s">
        <v>643</v>
      </c>
      <c r="AS328" s="115"/>
      <c r="AT328" s="115"/>
      <c r="AU328" s="115"/>
    </row>
    <row r="331" spans="1:47" x14ac:dyDescent="0.3">
      <c r="A331" s="3" t="s">
        <v>412</v>
      </c>
      <c r="B331" s="3" t="s">
        <v>203</v>
      </c>
      <c r="C331" s="3"/>
      <c r="D331" s="4" t="s">
        <v>145</v>
      </c>
      <c r="P331" s="20">
        <v>43735</v>
      </c>
      <c r="Q331" s="18" t="s">
        <v>30</v>
      </c>
      <c r="R331" s="18" t="s">
        <v>30</v>
      </c>
      <c r="S331" s="22" t="s">
        <v>30</v>
      </c>
      <c r="T331" s="18" t="s">
        <v>30</v>
      </c>
      <c r="U331" s="18" t="s">
        <v>30</v>
      </c>
      <c r="V331" s="22" t="s">
        <v>30</v>
      </c>
      <c r="W331" s="52">
        <f t="shared" ref="W331:W340" si="167">IF(P331="NC","NC",IF(P331="","erreur",P331+365))</f>
        <v>44100</v>
      </c>
      <c r="X331" s="18" t="str">
        <f>IF(Q331="NC","NC",IF(Q331="","erreur",Q331+183))</f>
        <v>NC</v>
      </c>
      <c r="Y331" s="18" t="str">
        <f t="shared" ref="Y331:Y340" si="168">IF(R331="NC","NC",IF(R331="","erreur",R331+365))</f>
        <v>NC</v>
      </c>
      <c r="Z331" s="18" t="str">
        <f t="shared" ref="Z331:Z340" si="169">IF(S331="NC","NC",IF(S331="","erreur",S331+3650))</f>
        <v>NC</v>
      </c>
      <c r="AA331" s="18" t="str">
        <f t="shared" ref="AA331:AA340" si="170">IF(T331="NC","NC",IF(T331="","erreur",T331+365))</f>
        <v>NC</v>
      </c>
      <c r="AB331" s="18" t="str">
        <f t="shared" ref="AB331:AB340" si="171">IF(U331="NC","NC",IF(U331="","erreur",U331+365))</f>
        <v>NC</v>
      </c>
      <c r="AC331" s="18" t="str">
        <f t="shared" ref="AC331:AC340" si="172">IF(V331="NC","NC",IF(V331="","erreur",V331+730))</f>
        <v>NC</v>
      </c>
      <c r="AE331" s="4">
        <f t="shared" ref="AE331:AE340" ca="1" si="173">IF(W331="NC","NC",IF(W331="erreur","erreur",W331-$F$3))</f>
        <v>-1487</v>
      </c>
      <c r="AF331" s="4" t="str">
        <f t="shared" ref="AF331:AF340" si="174">IF(X331="NC","NC",IF(X331="erreur","erreur",X331-$F$3))</f>
        <v>NC</v>
      </c>
      <c r="AG331" s="4" t="str">
        <f t="shared" ref="AG331:AG340" si="175">IF(Y331="NC","NC",IF(Y331="erreur","erreur",Y331-$F$3))</f>
        <v>NC</v>
      </c>
      <c r="AH331" s="4" t="str">
        <f t="shared" ref="AH331:AH340" si="176">IF(Z331="NC","NC",IF(Z331="erreur","erreur",Z331-$F$3))</f>
        <v>NC</v>
      </c>
      <c r="AI331" s="4" t="str">
        <f t="shared" ref="AI331:AI340" si="177">IF(AA331="NC","NC",IF(AA331="erreur","erreur",AA331-$F$3))</f>
        <v>NC</v>
      </c>
      <c r="AJ331" s="4" t="str">
        <f t="shared" ref="AJ331:AJ340" si="178">IF(AB331="NC","NC",IF(AB331="erreur","erreur",AB331-$F$3))</f>
        <v>NC</v>
      </c>
      <c r="AK331" s="4" t="str">
        <f t="shared" ref="AK331:AK340" si="179">IF(AC331="NC","NC",IF(AC331="erreur","erreur",AC331-$F$3))</f>
        <v>NC</v>
      </c>
    </row>
    <row r="332" spans="1:47" x14ac:dyDescent="0.3">
      <c r="A332" s="3" t="s">
        <v>414</v>
      </c>
      <c r="B332" s="3" t="s">
        <v>203</v>
      </c>
      <c r="C332" s="3"/>
      <c r="D332" s="4" t="s">
        <v>46</v>
      </c>
      <c r="P332" s="20">
        <v>43672</v>
      </c>
      <c r="Q332" s="18" t="s">
        <v>30</v>
      </c>
      <c r="R332" s="18" t="s">
        <v>30</v>
      </c>
      <c r="S332" s="22" t="s">
        <v>30</v>
      </c>
      <c r="T332" s="18" t="s">
        <v>30</v>
      </c>
      <c r="U332" s="18" t="s">
        <v>30</v>
      </c>
      <c r="V332" s="22" t="s">
        <v>30</v>
      </c>
      <c r="W332" s="52">
        <f t="shared" si="167"/>
        <v>44037</v>
      </c>
      <c r="X332" s="18" t="str">
        <f>IF(Q332="NC","NC",IF(Q332="","erreur",Q332+183))</f>
        <v>NC</v>
      </c>
      <c r="Y332" s="18" t="str">
        <f t="shared" si="168"/>
        <v>NC</v>
      </c>
      <c r="Z332" s="18" t="str">
        <f t="shared" si="169"/>
        <v>NC</v>
      </c>
      <c r="AA332" s="18" t="str">
        <f t="shared" si="170"/>
        <v>NC</v>
      </c>
      <c r="AB332" s="18" t="str">
        <f t="shared" si="171"/>
        <v>NC</v>
      </c>
      <c r="AC332" s="18" t="str">
        <f t="shared" si="172"/>
        <v>NC</v>
      </c>
      <c r="AE332" s="4">
        <f t="shared" ca="1" si="173"/>
        <v>-1550</v>
      </c>
      <c r="AF332" s="4" t="str">
        <f t="shared" si="174"/>
        <v>NC</v>
      </c>
      <c r="AG332" s="4" t="str">
        <f t="shared" si="175"/>
        <v>NC</v>
      </c>
      <c r="AH332" s="4" t="str">
        <f t="shared" si="176"/>
        <v>NC</v>
      </c>
      <c r="AI332" s="4" t="str">
        <f t="shared" si="177"/>
        <v>NC</v>
      </c>
      <c r="AJ332" s="4" t="str">
        <f t="shared" si="178"/>
        <v>NC</v>
      </c>
      <c r="AK332" s="4" t="str">
        <f t="shared" si="179"/>
        <v>NC</v>
      </c>
    </row>
    <row r="333" spans="1:47" x14ac:dyDescent="0.3">
      <c r="A333" s="3" t="s">
        <v>46</v>
      </c>
      <c r="B333" s="3" t="s">
        <v>203</v>
      </c>
      <c r="C333" s="3"/>
      <c r="D333" s="4" t="s">
        <v>46</v>
      </c>
      <c r="P333" s="20">
        <v>43503</v>
      </c>
      <c r="Q333" s="18" t="s">
        <v>30</v>
      </c>
      <c r="R333" s="18" t="s">
        <v>30</v>
      </c>
      <c r="S333" s="22" t="s">
        <v>30</v>
      </c>
      <c r="T333" s="18" t="s">
        <v>30</v>
      </c>
      <c r="U333" s="18" t="s">
        <v>30</v>
      </c>
      <c r="V333" s="22" t="s">
        <v>30</v>
      </c>
      <c r="W333" s="23">
        <f t="shared" si="167"/>
        <v>43868</v>
      </c>
      <c r="X333" s="18" t="str">
        <f>IF(Q333="NC","NC",IF(Q333="","erreur",Q333+181))</f>
        <v>NC</v>
      </c>
      <c r="Y333" s="18" t="str">
        <f t="shared" si="168"/>
        <v>NC</v>
      </c>
      <c r="Z333" s="18" t="str">
        <f t="shared" si="169"/>
        <v>NC</v>
      </c>
      <c r="AA333" s="18" t="str">
        <f t="shared" si="170"/>
        <v>NC</v>
      </c>
      <c r="AB333" s="18" t="str">
        <f t="shared" si="171"/>
        <v>NC</v>
      </c>
      <c r="AC333" s="18" t="str">
        <f t="shared" si="172"/>
        <v>NC</v>
      </c>
      <c r="AE333" s="4">
        <f t="shared" ca="1" si="173"/>
        <v>-1719</v>
      </c>
      <c r="AF333" s="4" t="str">
        <f t="shared" si="174"/>
        <v>NC</v>
      </c>
      <c r="AG333" s="4" t="str">
        <f t="shared" si="175"/>
        <v>NC</v>
      </c>
      <c r="AH333" s="4" t="str">
        <f t="shared" si="176"/>
        <v>NC</v>
      </c>
      <c r="AI333" s="4" t="str">
        <f t="shared" si="177"/>
        <v>NC</v>
      </c>
      <c r="AJ333" s="4" t="str">
        <f t="shared" si="178"/>
        <v>NC</v>
      </c>
      <c r="AK333" s="4" t="str">
        <f t="shared" si="179"/>
        <v>NC</v>
      </c>
      <c r="AL333" s="24"/>
      <c r="AM333" s="46"/>
    </row>
    <row r="334" spans="1:47" x14ac:dyDescent="0.3">
      <c r="A334" s="3" t="s">
        <v>413</v>
      </c>
      <c r="B334" s="3" t="s">
        <v>203</v>
      </c>
      <c r="C334" s="3"/>
      <c r="D334" s="4" t="s">
        <v>46</v>
      </c>
      <c r="P334" s="85">
        <v>43707</v>
      </c>
      <c r="Q334" s="49" t="s">
        <v>30</v>
      </c>
      <c r="R334" s="49" t="s">
        <v>30</v>
      </c>
      <c r="S334" s="97" t="s">
        <v>30</v>
      </c>
      <c r="T334" s="49" t="s">
        <v>30</v>
      </c>
      <c r="U334" s="49" t="s">
        <v>30</v>
      </c>
      <c r="V334" s="97" t="s">
        <v>30</v>
      </c>
      <c r="W334" s="50">
        <f t="shared" si="167"/>
        <v>44072</v>
      </c>
      <c r="X334" s="49" t="str">
        <f>IF(Q334="NC","NC",IF(Q334="","erreur",Q334+183))</f>
        <v>NC</v>
      </c>
      <c r="Y334" s="49" t="str">
        <f t="shared" si="168"/>
        <v>NC</v>
      </c>
      <c r="Z334" s="49" t="str">
        <f t="shared" si="169"/>
        <v>NC</v>
      </c>
      <c r="AA334" s="49" t="str">
        <f t="shared" si="170"/>
        <v>NC</v>
      </c>
      <c r="AB334" s="49" t="str">
        <f t="shared" si="171"/>
        <v>NC</v>
      </c>
      <c r="AC334" s="49" t="str">
        <f t="shared" si="172"/>
        <v>NC</v>
      </c>
      <c r="AE334" s="86">
        <f t="shared" ca="1" si="173"/>
        <v>-1515</v>
      </c>
      <c r="AF334" s="86" t="str">
        <f t="shared" si="174"/>
        <v>NC</v>
      </c>
      <c r="AG334" s="86" t="str">
        <f t="shared" si="175"/>
        <v>NC</v>
      </c>
      <c r="AH334" s="86" t="str">
        <f t="shared" si="176"/>
        <v>NC</v>
      </c>
      <c r="AI334" s="86" t="str">
        <f t="shared" si="177"/>
        <v>NC</v>
      </c>
      <c r="AJ334" s="86" t="str">
        <f t="shared" si="178"/>
        <v>NC</v>
      </c>
      <c r="AK334" s="86" t="str">
        <f t="shared" si="179"/>
        <v>NC</v>
      </c>
      <c r="AT334" s="24"/>
      <c r="AU334" s="24"/>
    </row>
    <row r="335" spans="1:47" s="24" customFormat="1" x14ac:dyDescent="0.3">
      <c r="A335" s="4" t="s">
        <v>612</v>
      </c>
      <c r="B335" s="4" t="s">
        <v>203</v>
      </c>
      <c r="C335" s="4"/>
      <c r="D335" s="4" t="s">
        <v>357</v>
      </c>
      <c r="E335"/>
      <c r="F335" s="5"/>
      <c r="G335" s="90"/>
      <c r="H335" s="64"/>
      <c r="I335" s="82"/>
      <c r="J335" s="64"/>
      <c r="K335"/>
      <c r="L335" s="101"/>
      <c r="M335"/>
      <c r="N335"/>
      <c r="O335"/>
      <c r="P335" s="40">
        <v>43783</v>
      </c>
      <c r="Q335" s="18" t="s">
        <v>30</v>
      </c>
      <c r="R335" s="18" t="s">
        <v>30</v>
      </c>
      <c r="S335" s="22" t="s">
        <v>30</v>
      </c>
      <c r="T335" s="18" t="s">
        <v>30</v>
      </c>
      <c r="U335" s="18" t="s">
        <v>30</v>
      </c>
      <c r="V335" s="22" t="s">
        <v>30</v>
      </c>
      <c r="W335" s="52">
        <f t="shared" si="167"/>
        <v>44148</v>
      </c>
      <c r="X335" s="18" t="str">
        <f>IF(Q335="NC","NC",IF(Q335="","erreur",Q335+183))</f>
        <v>NC</v>
      </c>
      <c r="Y335" s="18" t="str">
        <f t="shared" si="168"/>
        <v>NC</v>
      </c>
      <c r="Z335" s="18" t="str">
        <f t="shared" si="169"/>
        <v>NC</v>
      </c>
      <c r="AA335" s="18" t="str">
        <f t="shared" si="170"/>
        <v>NC</v>
      </c>
      <c r="AB335" s="18" t="str">
        <f t="shared" si="171"/>
        <v>NC</v>
      </c>
      <c r="AC335" s="18" t="str">
        <f t="shared" si="172"/>
        <v>NC</v>
      </c>
      <c r="AD335"/>
      <c r="AE335" s="4">
        <f t="shared" ca="1" si="173"/>
        <v>-1439</v>
      </c>
      <c r="AF335" s="4" t="str">
        <f t="shared" si="174"/>
        <v>NC</v>
      </c>
      <c r="AG335" s="4" t="str">
        <f t="shared" si="175"/>
        <v>NC</v>
      </c>
      <c r="AH335" s="4" t="str">
        <f t="shared" si="176"/>
        <v>NC</v>
      </c>
      <c r="AI335" s="4" t="str">
        <f t="shared" si="177"/>
        <v>NC</v>
      </c>
      <c r="AJ335" s="4" t="str">
        <f t="shared" si="178"/>
        <v>NC</v>
      </c>
      <c r="AK335" s="4" t="str">
        <f t="shared" si="179"/>
        <v>NC</v>
      </c>
      <c r="AL335"/>
      <c r="AM335"/>
      <c r="AN335"/>
      <c r="AO335"/>
      <c r="AP335"/>
      <c r="AQ335"/>
      <c r="AR335"/>
      <c r="AS335"/>
      <c r="AT335"/>
      <c r="AU335"/>
    </row>
    <row r="336" spans="1:47" s="24" customFormat="1" x14ac:dyDescent="0.3">
      <c r="A336" s="3" t="s">
        <v>202</v>
      </c>
      <c r="B336" s="3" t="s">
        <v>203</v>
      </c>
      <c r="C336" s="3"/>
      <c r="D336" s="4" t="s">
        <v>49</v>
      </c>
      <c r="E336"/>
      <c r="F336" s="5"/>
      <c r="G336" s="90"/>
      <c r="H336" s="64"/>
      <c r="I336" s="82"/>
      <c r="J336" s="64"/>
      <c r="K336"/>
      <c r="L336" s="101"/>
      <c r="M336"/>
      <c r="N336"/>
      <c r="O336"/>
      <c r="P336" s="20">
        <v>43805</v>
      </c>
      <c r="Q336" s="18" t="s">
        <v>30</v>
      </c>
      <c r="R336" s="18" t="s">
        <v>30</v>
      </c>
      <c r="S336" s="22" t="s">
        <v>30</v>
      </c>
      <c r="T336" s="18" t="s">
        <v>30</v>
      </c>
      <c r="U336" s="18" t="s">
        <v>30</v>
      </c>
      <c r="V336" s="22" t="s">
        <v>30</v>
      </c>
      <c r="W336" s="52">
        <f t="shared" si="167"/>
        <v>44170</v>
      </c>
      <c r="X336" s="18" t="str">
        <f>IF(Q336="NC","NC",IF(Q336="","erreur",Q336+183))</f>
        <v>NC</v>
      </c>
      <c r="Y336" s="18" t="str">
        <f t="shared" si="168"/>
        <v>NC</v>
      </c>
      <c r="Z336" s="18" t="str">
        <f t="shared" si="169"/>
        <v>NC</v>
      </c>
      <c r="AA336" s="18" t="str">
        <f t="shared" si="170"/>
        <v>NC</v>
      </c>
      <c r="AB336" s="18" t="str">
        <f t="shared" si="171"/>
        <v>NC</v>
      </c>
      <c r="AC336" s="18" t="str">
        <f t="shared" si="172"/>
        <v>NC</v>
      </c>
      <c r="AD336"/>
      <c r="AE336" s="4">
        <f t="shared" ca="1" si="173"/>
        <v>-1417</v>
      </c>
      <c r="AF336" s="4" t="str">
        <f t="shared" si="174"/>
        <v>NC</v>
      </c>
      <c r="AG336" s="4" t="str">
        <f t="shared" si="175"/>
        <v>NC</v>
      </c>
      <c r="AH336" s="4" t="str">
        <f t="shared" si="176"/>
        <v>NC</v>
      </c>
      <c r="AI336" s="4" t="str">
        <f t="shared" si="177"/>
        <v>NC</v>
      </c>
      <c r="AJ336" s="4" t="str">
        <f t="shared" si="178"/>
        <v>NC</v>
      </c>
      <c r="AK336" s="4" t="str">
        <f t="shared" si="179"/>
        <v>NC</v>
      </c>
      <c r="AM336" s="46"/>
      <c r="AN336"/>
      <c r="AO336"/>
      <c r="AP336"/>
      <c r="AQ336"/>
      <c r="AR336"/>
      <c r="AS336"/>
      <c r="AT336"/>
      <c r="AU336"/>
    </row>
    <row r="337" spans="1:47" s="24" customFormat="1" x14ac:dyDescent="0.3">
      <c r="A337" s="2" t="s">
        <v>873</v>
      </c>
      <c r="B337" s="2" t="s">
        <v>874</v>
      </c>
      <c r="C337" s="16"/>
      <c r="D337" s="16" t="s">
        <v>145</v>
      </c>
      <c r="E337"/>
      <c r="F337" s="5"/>
      <c r="G337" s="90"/>
      <c r="H337" s="64"/>
      <c r="I337" s="82"/>
      <c r="J337" s="64"/>
      <c r="K337"/>
      <c r="L337" s="101"/>
      <c r="M337"/>
      <c r="N337"/>
      <c r="O337"/>
      <c r="P337" s="16" t="s">
        <v>30</v>
      </c>
      <c r="Q337" s="88">
        <v>43705</v>
      </c>
      <c r="R337" s="49" t="s">
        <v>30</v>
      </c>
      <c r="S337" s="49" t="s">
        <v>30</v>
      </c>
      <c r="T337" s="49" t="s">
        <v>30</v>
      </c>
      <c r="U337" s="49" t="s">
        <v>30</v>
      </c>
      <c r="V337" s="49" t="s">
        <v>30</v>
      </c>
      <c r="W337" s="50" t="str">
        <f t="shared" si="167"/>
        <v>NC</v>
      </c>
      <c r="X337" s="49">
        <f>IF(Q337="NC","NC",IF(Q337="","erreur",Q337+365))</f>
        <v>44070</v>
      </c>
      <c r="Y337" s="49" t="str">
        <f t="shared" si="168"/>
        <v>NC</v>
      </c>
      <c r="Z337" s="49" t="str">
        <f t="shared" si="169"/>
        <v>NC</v>
      </c>
      <c r="AA337" s="49" t="str">
        <f t="shared" si="170"/>
        <v>NC</v>
      </c>
      <c r="AB337" s="49" t="str">
        <f t="shared" si="171"/>
        <v>NC</v>
      </c>
      <c r="AC337" s="49" t="str">
        <f t="shared" si="172"/>
        <v>NC</v>
      </c>
      <c r="AE337" s="94" t="str">
        <f t="shared" si="173"/>
        <v>NC</v>
      </c>
      <c r="AF337" s="94">
        <f t="shared" ca="1" si="174"/>
        <v>-1517</v>
      </c>
      <c r="AG337" s="94" t="str">
        <f t="shared" si="175"/>
        <v>NC</v>
      </c>
      <c r="AH337" s="94" t="str">
        <f t="shared" si="176"/>
        <v>NC</v>
      </c>
      <c r="AI337" s="94" t="str">
        <f t="shared" si="177"/>
        <v>NC</v>
      </c>
      <c r="AJ337" s="94" t="str">
        <f t="shared" si="178"/>
        <v>NC</v>
      </c>
      <c r="AK337" s="94" t="str">
        <f t="shared" si="179"/>
        <v>NC</v>
      </c>
      <c r="AT337"/>
      <c r="AU337"/>
    </row>
    <row r="338" spans="1:47" x14ac:dyDescent="0.3">
      <c r="A338" s="3" t="s">
        <v>845</v>
      </c>
      <c r="B338" s="3" t="s">
        <v>846</v>
      </c>
      <c r="C338" s="4"/>
      <c r="D338" s="4" t="s">
        <v>357</v>
      </c>
      <c r="P338" s="4" t="s">
        <v>30</v>
      </c>
      <c r="Q338" s="92">
        <v>43623</v>
      </c>
      <c r="R338" s="18" t="s">
        <v>30</v>
      </c>
      <c r="S338" s="22" t="s">
        <v>30</v>
      </c>
      <c r="T338" s="18" t="s">
        <v>30</v>
      </c>
      <c r="U338" s="18" t="s">
        <v>30</v>
      </c>
      <c r="V338" s="22" t="s">
        <v>30</v>
      </c>
      <c r="W338" s="52" t="str">
        <f t="shared" si="167"/>
        <v>NC</v>
      </c>
      <c r="X338" s="18">
        <f>IF(Q338="NC","NC",IF(Q338="","erreur",Q338+365))</f>
        <v>43988</v>
      </c>
      <c r="Y338" s="18" t="str">
        <f t="shared" si="168"/>
        <v>NC</v>
      </c>
      <c r="Z338" s="18" t="str">
        <f t="shared" si="169"/>
        <v>NC</v>
      </c>
      <c r="AA338" s="18" t="str">
        <f t="shared" si="170"/>
        <v>NC</v>
      </c>
      <c r="AB338" s="18" t="str">
        <f t="shared" si="171"/>
        <v>NC</v>
      </c>
      <c r="AC338" s="18" t="str">
        <f t="shared" si="172"/>
        <v>NC</v>
      </c>
      <c r="AE338" s="4" t="str">
        <f t="shared" si="173"/>
        <v>NC</v>
      </c>
      <c r="AF338" s="4">
        <f t="shared" ca="1" si="174"/>
        <v>-1599</v>
      </c>
      <c r="AG338" s="4" t="str">
        <f t="shared" si="175"/>
        <v>NC</v>
      </c>
      <c r="AH338" s="4" t="str">
        <f t="shared" si="176"/>
        <v>NC</v>
      </c>
      <c r="AI338" s="4" t="str">
        <f t="shared" si="177"/>
        <v>NC</v>
      </c>
      <c r="AJ338" s="4" t="str">
        <f t="shared" si="178"/>
        <v>NC</v>
      </c>
      <c r="AK338" s="4" t="str">
        <f t="shared" si="179"/>
        <v>NC</v>
      </c>
      <c r="AT338" s="24"/>
      <c r="AU338" s="24"/>
    </row>
    <row r="339" spans="1:47" x14ac:dyDescent="0.3">
      <c r="A339" s="3" t="s">
        <v>845</v>
      </c>
      <c r="B339" s="3" t="s">
        <v>847</v>
      </c>
      <c r="C339" s="4"/>
      <c r="D339" s="4" t="s">
        <v>357</v>
      </c>
      <c r="P339" s="4" t="s">
        <v>30</v>
      </c>
      <c r="Q339" s="92">
        <v>43656</v>
      </c>
      <c r="R339" s="18" t="s">
        <v>30</v>
      </c>
      <c r="S339" s="22" t="s">
        <v>30</v>
      </c>
      <c r="T339" s="18" t="s">
        <v>30</v>
      </c>
      <c r="U339" s="18" t="s">
        <v>30</v>
      </c>
      <c r="V339" s="22" t="s">
        <v>30</v>
      </c>
      <c r="W339" s="52" t="str">
        <f t="shared" si="167"/>
        <v>NC</v>
      </c>
      <c r="X339" s="18">
        <f>IF(Q339="NC","NC",IF(Q339="","erreur",Q339+365))</f>
        <v>44021</v>
      </c>
      <c r="Y339" s="18" t="str">
        <f t="shared" si="168"/>
        <v>NC</v>
      </c>
      <c r="Z339" s="18" t="str">
        <f t="shared" si="169"/>
        <v>NC</v>
      </c>
      <c r="AA339" s="18" t="str">
        <f t="shared" si="170"/>
        <v>NC</v>
      </c>
      <c r="AB339" s="18" t="str">
        <f t="shared" si="171"/>
        <v>NC</v>
      </c>
      <c r="AC339" s="18" t="str">
        <f t="shared" si="172"/>
        <v>NC</v>
      </c>
      <c r="AE339" s="4" t="str">
        <f t="shared" si="173"/>
        <v>NC</v>
      </c>
      <c r="AF339" s="4">
        <f t="shared" ca="1" si="174"/>
        <v>-1566</v>
      </c>
      <c r="AG339" s="4" t="str">
        <f t="shared" si="175"/>
        <v>NC</v>
      </c>
      <c r="AH339" s="4" t="str">
        <f t="shared" si="176"/>
        <v>NC</v>
      </c>
      <c r="AI339" s="4" t="str">
        <f t="shared" si="177"/>
        <v>NC</v>
      </c>
      <c r="AJ339" s="4" t="str">
        <f t="shared" si="178"/>
        <v>NC</v>
      </c>
      <c r="AK339" s="4" t="str">
        <f t="shared" si="179"/>
        <v>NC</v>
      </c>
      <c r="AT339" s="24"/>
      <c r="AU339" s="24"/>
    </row>
    <row r="340" spans="1:47" x14ac:dyDescent="0.3">
      <c r="A340" s="2" t="s">
        <v>845</v>
      </c>
      <c r="B340" s="2" t="s">
        <v>848</v>
      </c>
      <c r="C340" s="16"/>
      <c r="D340" s="16" t="s">
        <v>357</v>
      </c>
      <c r="P340" s="16" t="s">
        <v>30</v>
      </c>
      <c r="Q340" s="88">
        <v>43741</v>
      </c>
      <c r="R340" s="18" t="s">
        <v>30</v>
      </c>
      <c r="S340" s="22" t="s">
        <v>30</v>
      </c>
      <c r="T340" s="18" t="s">
        <v>30</v>
      </c>
      <c r="U340" s="18" t="s">
        <v>30</v>
      </c>
      <c r="V340" s="22" t="s">
        <v>30</v>
      </c>
      <c r="W340" s="52" t="str">
        <f t="shared" si="167"/>
        <v>NC</v>
      </c>
      <c r="X340" s="18">
        <f>IF(Q340="NC","NC",IF(Q340="","erreur",Q340+365))</f>
        <v>44106</v>
      </c>
      <c r="Y340" s="18" t="str">
        <f t="shared" si="168"/>
        <v>NC</v>
      </c>
      <c r="Z340" s="18" t="str">
        <f t="shared" si="169"/>
        <v>NC</v>
      </c>
      <c r="AA340" s="18" t="str">
        <f t="shared" si="170"/>
        <v>NC</v>
      </c>
      <c r="AB340" s="18" t="str">
        <f t="shared" si="171"/>
        <v>NC</v>
      </c>
      <c r="AC340" s="18" t="str">
        <f t="shared" si="172"/>
        <v>NC</v>
      </c>
      <c r="AD340" s="24"/>
      <c r="AE340" s="16" t="str">
        <f t="shared" si="173"/>
        <v>NC</v>
      </c>
      <c r="AF340" s="16">
        <f t="shared" ca="1" si="174"/>
        <v>-1481</v>
      </c>
      <c r="AG340" s="16" t="str">
        <f t="shared" si="175"/>
        <v>NC</v>
      </c>
      <c r="AH340" s="16" t="str">
        <f t="shared" si="176"/>
        <v>NC</v>
      </c>
      <c r="AI340" s="16" t="str">
        <f t="shared" si="177"/>
        <v>NC</v>
      </c>
      <c r="AJ340" s="16" t="str">
        <f t="shared" si="178"/>
        <v>NC</v>
      </c>
      <c r="AK340" s="16" t="str">
        <f t="shared" si="179"/>
        <v>NC</v>
      </c>
      <c r="AL340" s="24"/>
      <c r="AM340" s="24"/>
      <c r="AN340" s="24"/>
      <c r="AO340" s="24"/>
      <c r="AP340" s="24"/>
      <c r="AQ340" s="24"/>
      <c r="AR340" s="24"/>
      <c r="AS340" s="24"/>
    </row>
  </sheetData>
  <autoFilter ref="A5:AU328" xr:uid="{00000000-0009-0000-0000-000000000000}">
    <sortState xmlns:xlrd2="http://schemas.microsoft.com/office/spreadsheetml/2017/richdata2" ref="A6:AU328">
      <sortCondition ref="A6:A328"/>
    </sortState>
  </autoFilter>
  <sortState xmlns:xlrd2="http://schemas.microsoft.com/office/spreadsheetml/2017/richdata2" ref="A6:AU334">
    <sortCondition ref="A6:A334"/>
  </sortState>
  <conditionalFormatting sqref="B12:B13">
    <cfRule type="expression" dxfId="48" priority="1" stopIfTrue="1">
      <formula>#REF!="A Reformer"</formula>
    </cfRule>
    <cfRule type="expression" dxfId="47" priority="2" stopIfTrue="1">
      <formula>#REF!="En cours"</formula>
    </cfRule>
    <cfRule type="expression" dxfId="46" priority="3" stopIfTrue="1">
      <formula>#REF!="Introuvable"</formula>
    </cfRule>
  </conditionalFormatting>
  <conditionalFormatting sqref="AE6:AK322 AE324:AK328 AE331:AK340">
    <cfRule type="cellIs" dxfId="45" priority="34" operator="equal">
      <formula>"NC"</formula>
    </cfRule>
    <cfRule type="cellIs" dxfId="44" priority="35" operator="equal">
      <formula>"erreur"</formula>
    </cfRule>
    <cfRule type="cellIs" dxfId="43" priority="36" operator="greaterThan">
      <formula>30</formula>
    </cfRule>
    <cfRule type="cellIs" dxfId="42" priority="37" operator="greaterThan">
      <formula>0</formula>
    </cfRule>
    <cfRule type="cellIs" dxfId="41" priority="38" operator="lessThan">
      <formula>0</formula>
    </cfRule>
  </conditionalFormatting>
  <printOptions horizontalCentered="1" verticalCentered="1"/>
  <pageMargins left="0.23622047244094491" right="0.23622047244094491" top="0.15748031496062992" bottom="0.15748031496062992" header="0.11811023622047245" footer="0.1181102362204724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W340"/>
  <sheetViews>
    <sheetView workbookViewId="0">
      <pane xSplit="14" ySplit="5" topLeftCell="S52" activePane="bottomRight" state="frozenSplit"/>
      <selection pane="topRight" activeCell="H1" sqref="H1"/>
      <selection pane="bottomLeft" activeCell="A32" sqref="A32"/>
      <selection pane="bottomRight" activeCell="B19" sqref="B19"/>
    </sheetView>
  </sheetViews>
  <sheetFormatPr baseColWidth="10" defaultRowHeight="14.4" x14ac:dyDescent="0.3"/>
  <cols>
    <col min="1" max="1" width="17.88671875" bestFit="1" customWidth="1"/>
    <col min="2" max="2" width="67.6640625" bestFit="1" customWidth="1"/>
    <col min="3" max="4" width="21.109375" bestFit="1" customWidth="1"/>
    <col min="5" max="5" width="14.44140625" bestFit="1" customWidth="1"/>
    <col min="6" max="6" width="26.6640625" style="5" bestFit="1" customWidth="1"/>
    <col min="7" max="7" width="23.6640625" style="90" bestFit="1" customWidth="1"/>
    <col min="8" max="9" width="23.6640625" style="90" customWidth="1"/>
    <col min="10" max="10" width="16.109375" style="64" customWidth="1"/>
    <col min="11" max="11" width="20.44140625" style="82" customWidth="1"/>
    <col min="12" max="12" width="10.88671875" style="64"/>
    <col min="13" max="13" width="12.6640625" customWidth="1"/>
    <col min="14" max="14" width="12.6640625" style="101" customWidth="1"/>
    <col min="15" max="17" width="12.6640625" customWidth="1"/>
    <col min="22" max="23" width="10.88671875" style="24"/>
    <col min="25" max="25" width="10.88671875" style="24"/>
    <col min="32" max="32" width="2.44140625" customWidth="1"/>
    <col min="39" max="39" width="13.44140625" customWidth="1"/>
    <col min="40" max="40" width="1.33203125" customWidth="1"/>
    <col min="42" max="42" width="3.6640625" customWidth="1"/>
    <col min="44" max="45" width="15.33203125" customWidth="1"/>
    <col min="46" max="46" width="20.109375" bestFit="1" customWidth="1"/>
    <col min="47" max="47" width="25.6640625" customWidth="1"/>
    <col min="48" max="48" width="32.6640625" customWidth="1"/>
    <col min="49" max="49" width="25.6640625" customWidth="1"/>
  </cols>
  <sheetData>
    <row r="2" spans="1:49" x14ac:dyDescent="0.3">
      <c r="B2" s="89"/>
      <c r="J2" s="70"/>
    </row>
    <row r="3" spans="1:49" x14ac:dyDescent="0.3">
      <c r="A3" s="25"/>
      <c r="B3" s="66"/>
      <c r="C3" s="66"/>
      <c r="D3" s="1"/>
      <c r="E3" s="1"/>
      <c r="F3" s="95">
        <f ca="1">TODAY()</f>
        <v>45587</v>
      </c>
      <c r="J3" s="71"/>
      <c r="K3" s="10">
        <f>K4/655.957</f>
        <v>0</v>
      </c>
      <c r="L3" s="65" t="e">
        <f>-L4+AO3</f>
        <v>#DIV/0!</v>
      </c>
      <c r="M3" s="76"/>
      <c r="N3" s="102"/>
      <c r="O3" s="76"/>
      <c r="P3" s="10"/>
      <c r="R3" s="17" t="s">
        <v>51</v>
      </c>
      <c r="S3" s="17"/>
      <c r="T3" s="17"/>
      <c r="W3" s="27"/>
      <c r="X3" s="27"/>
      <c r="Y3" s="28" t="s">
        <v>29</v>
      </c>
      <c r="Z3" s="17"/>
      <c r="AA3" s="17"/>
      <c r="AB3" s="17"/>
      <c r="AC3" s="17"/>
      <c r="AD3" s="17"/>
      <c r="AE3" s="17"/>
      <c r="AG3" s="1"/>
      <c r="AH3" s="1"/>
      <c r="AI3" s="1"/>
      <c r="AJ3" s="1"/>
      <c r="AK3" s="17"/>
      <c r="AL3" s="17"/>
      <c r="AM3" s="17"/>
      <c r="AN3" s="17"/>
      <c r="AO3" s="44">
        <v>2019.66</v>
      </c>
      <c r="AP3" s="1"/>
    </row>
    <row r="4" spans="1:49" x14ac:dyDescent="0.3">
      <c r="A4" s="5">
        <f>SUBTOTAL(3,A6:A328)</f>
        <v>81</v>
      </c>
      <c r="B4" s="67"/>
      <c r="C4" s="67"/>
      <c r="D4" s="1"/>
      <c r="E4" s="1"/>
      <c r="J4" s="72"/>
      <c r="K4" s="14">
        <f>SUBTOTAL(9,K6:K316)</f>
        <v>0</v>
      </c>
      <c r="L4" s="65" t="e">
        <f>AVERAGE(L6:L316)</f>
        <v>#DIV/0!</v>
      </c>
      <c r="M4" s="76"/>
      <c r="N4" s="100">
        <v>43847</v>
      </c>
      <c r="O4" s="76"/>
      <c r="P4" s="10"/>
      <c r="Q4" s="76" t="s">
        <v>610</v>
      </c>
      <c r="R4" s="28" t="s">
        <v>40</v>
      </c>
      <c r="S4" s="17" t="s">
        <v>986</v>
      </c>
      <c r="T4" s="17" t="s">
        <v>40</v>
      </c>
      <c r="U4" s="17" t="s">
        <v>41</v>
      </c>
      <c r="V4" s="17" t="s">
        <v>40</v>
      </c>
      <c r="W4" s="17" t="s">
        <v>40</v>
      </c>
      <c r="X4" s="17" t="s">
        <v>181</v>
      </c>
      <c r="Y4" s="28" t="s">
        <v>40</v>
      </c>
      <c r="Z4" s="17" t="s">
        <v>986</v>
      </c>
      <c r="AA4" s="17" t="s">
        <v>40</v>
      </c>
      <c r="AB4" s="17" t="s">
        <v>41</v>
      </c>
      <c r="AC4" s="17" t="s">
        <v>40</v>
      </c>
      <c r="AD4" s="17" t="s">
        <v>40</v>
      </c>
      <c r="AE4" s="17" t="s">
        <v>181</v>
      </c>
      <c r="AG4" s="1" t="s">
        <v>40</v>
      </c>
      <c r="AH4" s="17" t="s">
        <v>986</v>
      </c>
      <c r="AI4" s="1" t="s">
        <v>40</v>
      </c>
      <c r="AJ4" s="1" t="s">
        <v>41</v>
      </c>
      <c r="AK4" s="17" t="s">
        <v>40</v>
      </c>
      <c r="AL4" s="17" t="s">
        <v>40</v>
      </c>
      <c r="AM4" s="17" t="s">
        <v>181</v>
      </c>
      <c r="AN4" s="17"/>
      <c r="AO4" s="45" t="e">
        <f>SUBTOTAL(9,AO6:AO316)</f>
        <v>#DIV/0!</v>
      </c>
    </row>
    <row r="5" spans="1:49" ht="72" x14ac:dyDescent="0.3">
      <c r="A5" s="6" t="s">
        <v>1055</v>
      </c>
      <c r="B5" s="6" t="s">
        <v>0</v>
      </c>
      <c r="C5" s="7" t="s">
        <v>1157</v>
      </c>
      <c r="D5" s="7" t="s">
        <v>1580</v>
      </c>
      <c r="E5" s="7" t="s">
        <v>1522</v>
      </c>
      <c r="F5" s="51" t="s">
        <v>1517</v>
      </c>
      <c r="G5" s="29" t="s">
        <v>1518</v>
      </c>
      <c r="H5" s="29" t="s">
        <v>1597</v>
      </c>
      <c r="I5" s="29" t="s">
        <v>1154</v>
      </c>
      <c r="J5" s="7" t="s">
        <v>489</v>
      </c>
      <c r="K5" s="11" t="s">
        <v>1519</v>
      </c>
      <c r="L5" s="59" t="s">
        <v>1520</v>
      </c>
      <c r="M5" s="75" t="s">
        <v>590</v>
      </c>
      <c r="N5" s="103" t="s">
        <v>1521</v>
      </c>
      <c r="O5" s="75" t="s">
        <v>592</v>
      </c>
      <c r="P5" s="75" t="s">
        <v>593</v>
      </c>
      <c r="Q5" s="75" t="s">
        <v>594</v>
      </c>
      <c r="R5" s="29" t="s">
        <v>27</v>
      </c>
      <c r="S5" s="29" t="s">
        <v>28</v>
      </c>
      <c r="T5" s="29" t="s">
        <v>26</v>
      </c>
      <c r="U5" s="30" t="s">
        <v>50</v>
      </c>
      <c r="V5" s="31" t="s">
        <v>174</v>
      </c>
      <c r="W5" s="31" t="s">
        <v>175</v>
      </c>
      <c r="X5" s="31" t="s">
        <v>180</v>
      </c>
      <c r="Y5" s="32" t="s">
        <v>27</v>
      </c>
      <c r="Z5" s="29" t="s">
        <v>28</v>
      </c>
      <c r="AA5" s="29" t="s">
        <v>26</v>
      </c>
      <c r="AB5" s="29" t="s">
        <v>50</v>
      </c>
      <c r="AC5" s="31" t="s">
        <v>174</v>
      </c>
      <c r="AD5" s="31" t="s">
        <v>175</v>
      </c>
      <c r="AE5" s="31" t="s">
        <v>432</v>
      </c>
      <c r="AG5" s="8" t="s">
        <v>27</v>
      </c>
      <c r="AH5" s="8" t="s">
        <v>28</v>
      </c>
      <c r="AI5" s="8" t="s">
        <v>26</v>
      </c>
      <c r="AJ5" s="8" t="s">
        <v>50</v>
      </c>
      <c r="AK5" s="35" t="s">
        <v>174</v>
      </c>
      <c r="AL5" s="36" t="s">
        <v>175</v>
      </c>
      <c r="AM5" s="36" t="s">
        <v>180</v>
      </c>
      <c r="AN5" s="37"/>
      <c r="AO5" s="74" t="s">
        <v>199</v>
      </c>
      <c r="AP5" s="9"/>
      <c r="AQ5" t="s">
        <v>395</v>
      </c>
      <c r="AR5" t="s">
        <v>468</v>
      </c>
      <c r="AS5" t="s">
        <v>641</v>
      </c>
      <c r="AT5" s="64" t="s">
        <v>1154</v>
      </c>
      <c r="AU5" s="64" t="s">
        <v>1157</v>
      </c>
      <c r="AV5" s="64" t="s">
        <v>1158</v>
      </c>
      <c r="AW5" s="64" t="s">
        <v>1159</v>
      </c>
    </row>
    <row r="6" spans="1:49" ht="14.4" customHeight="1" x14ac:dyDescent="0.3">
      <c r="A6" s="123" t="s">
        <v>1661</v>
      </c>
      <c r="B6" s="123" t="s">
        <v>1539</v>
      </c>
      <c r="C6" s="123" t="s">
        <v>1550</v>
      </c>
      <c r="D6" s="123" t="s">
        <v>1576</v>
      </c>
      <c r="E6" s="4" t="s">
        <v>1596</v>
      </c>
      <c r="F6" s="3"/>
      <c r="G6" s="123" t="s">
        <v>1556</v>
      </c>
      <c r="H6" s="242">
        <v>42374</v>
      </c>
      <c r="I6" s="123" t="s">
        <v>1581</v>
      </c>
      <c r="J6" s="73" t="s">
        <v>30</v>
      </c>
      <c r="K6" s="12"/>
      <c r="L6" s="61"/>
      <c r="M6" s="78"/>
      <c r="N6" s="87"/>
      <c r="O6" s="47"/>
      <c r="P6" s="56" t="s">
        <v>596</v>
      </c>
      <c r="Q6" s="80"/>
      <c r="R6" s="18" t="s">
        <v>30</v>
      </c>
      <c r="S6" s="18" t="s">
        <v>30</v>
      </c>
      <c r="T6" s="18" t="s">
        <v>30</v>
      </c>
      <c r="U6" s="22" t="s">
        <v>30</v>
      </c>
      <c r="V6" s="18" t="s">
        <v>30</v>
      </c>
      <c r="W6" s="18" t="s">
        <v>30</v>
      </c>
      <c r="X6" s="22" t="s">
        <v>30</v>
      </c>
      <c r="Y6" s="52" t="str">
        <f t="shared" ref="Y6:Y37" si="0">IF(R6="NC","NC",IF(R6="","erreur",R6+365))</f>
        <v>NC</v>
      </c>
      <c r="Z6" s="18" t="str">
        <f t="shared" ref="Z6:Z37" si="1">IF(S6="NC","NC",IF(S6="","erreur",S6+181))</f>
        <v>NC</v>
      </c>
      <c r="AA6" s="18" t="str">
        <f t="shared" ref="AA6:AA37" si="2">IF(T6="NC","NC",IF(T6="","erreur",T6+365))</f>
        <v>NC</v>
      </c>
      <c r="AB6" s="18" t="str">
        <f t="shared" ref="AB6:AB37" si="3">IF(U6="NC","NC",IF(U6="","erreur",U6+3650))</f>
        <v>NC</v>
      </c>
      <c r="AC6" s="18" t="str">
        <f t="shared" ref="AC6:AC37" si="4">IF(V6="NC","NC",IF(V6="","erreur",V6+365))</f>
        <v>NC</v>
      </c>
      <c r="AD6" s="18" t="str">
        <f t="shared" ref="AD6:AD37" si="5">IF(W6="NC","NC",IF(W6="","erreur",W6+365))</f>
        <v>NC</v>
      </c>
      <c r="AE6" s="18" t="str">
        <f t="shared" ref="AE6:AE37" si="6">IF(X6="NC","NC",IF(X6="","erreur",X6+730))</f>
        <v>NC</v>
      </c>
      <c r="AG6" s="4" t="str">
        <f t="shared" ref="AG6:AG37" si="7">IF(Y6="NC","NC",IF(Y6="erreur","erreur",Y6-$F$3))</f>
        <v>NC</v>
      </c>
      <c r="AH6" s="4" t="str">
        <f t="shared" ref="AH6:AH37" si="8">IF(Z6="NC","NC",IF(Z6="erreur","erreur",Z6-$F$3))</f>
        <v>NC</v>
      </c>
      <c r="AI6" s="4" t="str">
        <f t="shared" ref="AI6:AI37" si="9">IF(AA6="NC","NC",IF(AA6="erreur","erreur",AA6-$F$3))</f>
        <v>NC</v>
      </c>
      <c r="AJ6" s="4" t="str">
        <f t="shared" ref="AJ6:AJ37" si="10">IF(AB6="NC","NC",IF(AB6="erreur","erreur",AB6-$F$3))</f>
        <v>NC</v>
      </c>
      <c r="AK6" s="4" t="str">
        <f t="shared" ref="AK6:AK37" si="11">IF(AC6="NC","NC",IF(AC6="erreur","erreur",AC6-$F$3))</f>
        <v>NC</v>
      </c>
      <c r="AL6" s="4" t="str">
        <f t="shared" ref="AL6:AL37" si="12">IF(AD6="NC","NC",IF(AD6="erreur","erreur",AD6-$F$3))</f>
        <v>NC</v>
      </c>
      <c r="AM6" s="4" t="str">
        <f t="shared" ref="AM6:AM37" si="13">IF(AE6="NC","NC",IF(AE6="erreur","erreur",AE6-$F$3))</f>
        <v>NC</v>
      </c>
      <c r="AN6" s="24"/>
      <c r="AO6" s="46" t="e">
        <f t="shared" ref="AO6:AO37" si="14">K6*($AO$3-L6)/$K$4</f>
        <v>#DIV/0!</v>
      </c>
      <c r="AP6" s="15"/>
      <c r="AR6" s="69" t="s">
        <v>643</v>
      </c>
      <c r="AS6" s="69" t="s">
        <v>643</v>
      </c>
      <c r="AU6" s="114" t="s">
        <v>1160</v>
      </c>
      <c r="AV6" s="114" t="s">
        <v>940</v>
      </c>
      <c r="AW6" s="114" t="s">
        <v>941</v>
      </c>
    </row>
    <row r="7" spans="1:49" ht="14.4" customHeight="1" x14ac:dyDescent="0.3">
      <c r="A7" s="123" t="s">
        <v>1662</v>
      </c>
      <c r="B7" s="123" t="s">
        <v>1545</v>
      </c>
      <c r="C7" s="123" t="s">
        <v>1554</v>
      </c>
      <c r="D7" s="123" t="s">
        <v>1576</v>
      </c>
      <c r="E7" s="4" t="s">
        <v>1596</v>
      </c>
      <c r="F7" s="3"/>
      <c r="G7" s="123" t="s">
        <v>1569</v>
      </c>
      <c r="H7" s="242">
        <v>44414</v>
      </c>
      <c r="I7" s="123" t="s">
        <v>1591</v>
      </c>
      <c r="J7" s="73" t="s">
        <v>30</v>
      </c>
      <c r="K7" s="12"/>
      <c r="L7" s="61"/>
      <c r="M7" s="78">
        <v>44348</v>
      </c>
      <c r="N7" s="87">
        <v>43983</v>
      </c>
      <c r="O7" s="47"/>
      <c r="P7" s="56" t="s">
        <v>596</v>
      </c>
      <c r="Q7" s="80"/>
      <c r="R7" s="18" t="s">
        <v>30</v>
      </c>
      <c r="S7" s="18" t="s">
        <v>30</v>
      </c>
      <c r="T7" s="18" t="s">
        <v>30</v>
      </c>
      <c r="U7" s="22" t="s">
        <v>30</v>
      </c>
      <c r="V7" s="18" t="s">
        <v>30</v>
      </c>
      <c r="W7" s="18" t="s">
        <v>30</v>
      </c>
      <c r="X7" s="22" t="s">
        <v>30</v>
      </c>
      <c r="Y7" s="52" t="str">
        <f t="shared" si="0"/>
        <v>NC</v>
      </c>
      <c r="Z7" s="18" t="str">
        <f t="shared" si="1"/>
        <v>NC</v>
      </c>
      <c r="AA7" s="18" t="str">
        <f t="shared" si="2"/>
        <v>NC</v>
      </c>
      <c r="AB7" s="18" t="str">
        <f t="shared" si="3"/>
        <v>NC</v>
      </c>
      <c r="AC7" s="18" t="str">
        <f t="shared" si="4"/>
        <v>NC</v>
      </c>
      <c r="AD7" s="18" t="str">
        <f t="shared" si="5"/>
        <v>NC</v>
      </c>
      <c r="AE7" s="18" t="str">
        <f t="shared" si="6"/>
        <v>NC</v>
      </c>
      <c r="AG7" s="4" t="str">
        <f t="shared" si="7"/>
        <v>NC</v>
      </c>
      <c r="AH7" s="4" t="str">
        <f t="shared" si="8"/>
        <v>NC</v>
      </c>
      <c r="AI7" s="4" t="str">
        <f t="shared" si="9"/>
        <v>NC</v>
      </c>
      <c r="AJ7" s="4" t="str">
        <f t="shared" si="10"/>
        <v>NC</v>
      </c>
      <c r="AK7" s="4" t="str">
        <f t="shared" si="11"/>
        <v>NC</v>
      </c>
      <c r="AL7" s="4" t="str">
        <f t="shared" si="12"/>
        <v>NC</v>
      </c>
      <c r="AM7" s="4" t="str">
        <f t="shared" si="13"/>
        <v>NC</v>
      </c>
      <c r="AN7" s="24"/>
      <c r="AO7" s="46" t="e">
        <f t="shared" si="14"/>
        <v>#DIV/0!</v>
      </c>
      <c r="AP7" s="15"/>
      <c r="AR7" s="69" t="s">
        <v>643</v>
      </c>
      <c r="AS7" s="69" t="s">
        <v>643</v>
      </c>
      <c r="AU7" s="114" t="s">
        <v>1163</v>
      </c>
      <c r="AV7" s="114" t="s">
        <v>1171</v>
      </c>
      <c r="AW7" s="114" t="s">
        <v>1172</v>
      </c>
    </row>
    <row r="8" spans="1:49" ht="14.4" customHeight="1" x14ac:dyDescent="0.3">
      <c r="A8" s="123" t="s">
        <v>1663</v>
      </c>
      <c r="B8" s="123" t="s">
        <v>1545</v>
      </c>
      <c r="C8" s="123" t="s">
        <v>1554</v>
      </c>
      <c r="D8" s="123" t="s">
        <v>1576</v>
      </c>
      <c r="E8" s="4" t="s">
        <v>1596</v>
      </c>
      <c r="F8" s="2"/>
      <c r="G8" s="123" t="s">
        <v>1570</v>
      </c>
      <c r="H8" s="242">
        <v>44414</v>
      </c>
      <c r="I8" s="123" t="s">
        <v>1592</v>
      </c>
      <c r="J8" s="60" t="s">
        <v>30</v>
      </c>
      <c r="K8" s="38"/>
      <c r="L8" s="60"/>
      <c r="M8" s="83"/>
      <c r="N8" s="104">
        <v>43983</v>
      </c>
      <c r="O8" s="16"/>
      <c r="P8" s="84" t="s">
        <v>595</v>
      </c>
      <c r="Q8" s="16"/>
      <c r="R8" s="18" t="s">
        <v>30</v>
      </c>
      <c r="S8" s="18" t="s">
        <v>30</v>
      </c>
      <c r="T8" s="18" t="s">
        <v>30</v>
      </c>
      <c r="U8" s="22" t="s">
        <v>30</v>
      </c>
      <c r="V8" s="18" t="s">
        <v>30</v>
      </c>
      <c r="W8" s="18" t="s">
        <v>30</v>
      </c>
      <c r="X8" s="22" t="s">
        <v>30</v>
      </c>
      <c r="Y8" s="52" t="str">
        <f t="shared" si="0"/>
        <v>NC</v>
      </c>
      <c r="Z8" s="18" t="str">
        <f t="shared" si="1"/>
        <v>NC</v>
      </c>
      <c r="AA8" s="18" t="str">
        <f t="shared" si="2"/>
        <v>NC</v>
      </c>
      <c r="AB8" s="18" t="str">
        <f t="shared" si="3"/>
        <v>NC</v>
      </c>
      <c r="AC8" s="18" t="str">
        <f t="shared" si="4"/>
        <v>NC</v>
      </c>
      <c r="AD8" s="18" t="str">
        <f t="shared" si="5"/>
        <v>NC</v>
      </c>
      <c r="AE8" s="18" t="str">
        <f t="shared" si="6"/>
        <v>NC</v>
      </c>
      <c r="AF8" s="24"/>
      <c r="AG8" s="4" t="str">
        <f t="shared" si="7"/>
        <v>NC</v>
      </c>
      <c r="AH8" s="4" t="str">
        <f t="shared" si="8"/>
        <v>NC</v>
      </c>
      <c r="AI8" s="4" t="str">
        <f t="shared" si="9"/>
        <v>NC</v>
      </c>
      <c r="AJ8" s="4" t="str">
        <f t="shared" si="10"/>
        <v>NC</v>
      </c>
      <c r="AK8" s="4" t="str">
        <f t="shared" si="11"/>
        <v>NC</v>
      </c>
      <c r="AL8" s="4" t="str">
        <f t="shared" si="12"/>
        <v>NC</v>
      </c>
      <c r="AM8" s="4" t="str">
        <f t="shared" si="13"/>
        <v>NC</v>
      </c>
      <c r="AN8" s="24"/>
      <c r="AO8" s="58" t="e">
        <f t="shared" si="14"/>
        <v>#DIV/0!</v>
      </c>
      <c r="AP8" s="24"/>
      <c r="AQ8" s="24"/>
      <c r="AR8" s="69" t="s">
        <v>643</v>
      </c>
      <c r="AS8" s="69" t="s">
        <v>643</v>
      </c>
      <c r="AT8" s="24"/>
      <c r="AU8" s="115" t="s">
        <v>1163</v>
      </c>
      <c r="AV8" s="114" t="s">
        <v>1171</v>
      </c>
      <c r="AW8" s="114" t="s">
        <v>1172</v>
      </c>
    </row>
    <row r="9" spans="1:49" ht="14.4" customHeight="1" x14ac:dyDescent="0.3">
      <c r="A9" s="123" t="s">
        <v>1664</v>
      </c>
      <c r="B9" s="123" t="s">
        <v>1547</v>
      </c>
      <c r="C9" s="123" t="s">
        <v>1218</v>
      </c>
      <c r="D9" s="123" t="s">
        <v>1576</v>
      </c>
      <c r="E9" s="4" t="s">
        <v>1596</v>
      </c>
      <c r="F9" s="3"/>
      <c r="G9" s="123" t="s">
        <v>1572</v>
      </c>
      <c r="H9" s="242">
        <v>44456</v>
      </c>
      <c r="I9" s="123" t="s">
        <v>1593</v>
      </c>
      <c r="J9" s="73" t="s">
        <v>30</v>
      </c>
      <c r="K9" s="38"/>
      <c r="L9" s="63"/>
      <c r="M9" s="78">
        <v>44136</v>
      </c>
      <c r="N9" s="87">
        <v>43983</v>
      </c>
      <c r="O9" s="38"/>
      <c r="P9" s="56" t="s">
        <v>596</v>
      </c>
      <c r="Q9" s="81">
        <v>364</v>
      </c>
      <c r="R9" s="18" t="s">
        <v>30</v>
      </c>
      <c r="S9" s="18" t="s">
        <v>30</v>
      </c>
      <c r="T9" s="18" t="s">
        <v>30</v>
      </c>
      <c r="U9" s="33">
        <v>42370</v>
      </c>
      <c r="V9" s="18" t="s">
        <v>30</v>
      </c>
      <c r="W9" s="18" t="s">
        <v>30</v>
      </c>
      <c r="X9" s="22" t="s">
        <v>30</v>
      </c>
      <c r="Y9" s="52" t="str">
        <f t="shared" si="0"/>
        <v>NC</v>
      </c>
      <c r="Z9" s="18" t="str">
        <f t="shared" si="1"/>
        <v>NC</v>
      </c>
      <c r="AA9" s="18" t="str">
        <f t="shared" si="2"/>
        <v>NC</v>
      </c>
      <c r="AB9" s="18">
        <f t="shared" si="3"/>
        <v>46020</v>
      </c>
      <c r="AC9" s="18" t="str">
        <f t="shared" si="4"/>
        <v>NC</v>
      </c>
      <c r="AD9" s="18" t="str">
        <f t="shared" si="5"/>
        <v>NC</v>
      </c>
      <c r="AE9" s="18" t="str">
        <f t="shared" si="6"/>
        <v>NC</v>
      </c>
      <c r="AG9" s="4" t="str">
        <f t="shared" si="7"/>
        <v>NC</v>
      </c>
      <c r="AH9" s="4" t="str">
        <f t="shared" si="8"/>
        <v>NC</v>
      </c>
      <c r="AI9" s="4" t="str">
        <f t="shared" si="9"/>
        <v>NC</v>
      </c>
      <c r="AJ9" s="4">
        <f t="shared" ca="1" si="10"/>
        <v>433</v>
      </c>
      <c r="AK9" s="4" t="str">
        <f t="shared" si="11"/>
        <v>NC</v>
      </c>
      <c r="AL9" s="4" t="str">
        <f t="shared" si="12"/>
        <v>NC</v>
      </c>
      <c r="AM9" s="4" t="str">
        <f t="shared" si="13"/>
        <v>NC</v>
      </c>
      <c r="AN9" s="24"/>
      <c r="AO9" s="46" t="e">
        <f t="shared" si="14"/>
        <v>#DIV/0!</v>
      </c>
      <c r="AP9" s="15"/>
      <c r="AR9" s="69" t="s">
        <v>643</v>
      </c>
      <c r="AS9" s="69" t="s">
        <v>643</v>
      </c>
      <c r="AU9" s="114" t="s">
        <v>1164</v>
      </c>
      <c r="AV9" s="114" t="s">
        <v>943</v>
      </c>
      <c r="AW9" s="114" t="s">
        <v>1178</v>
      </c>
    </row>
    <row r="10" spans="1:49" ht="14.4" customHeight="1" x14ac:dyDescent="0.3">
      <c r="A10" s="123" t="s">
        <v>1665</v>
      </c>
      <c r="B10" s="123" t="s">
        <v>1546</v>
      </c>
      <c r="C10" s="123" t="s">
        <v>1211</v>
      </c>
      <c r="D10" s="123" t="s">
        <v>1576</v>
      </c>
      <c r="E10" s="4" t="s">
        <v>1596</v>
      </c>
      <c r="F10" s="2"/>
      <c r="G10" s="123" t="s">
        <v>1571</v>
      </c>
      <c r="H10" s="242">
        <v>41660</v>
      </c>
      <c r="I10" s="123" t="s">
        <v>1588</v>
      </c>
      <c r="J10" s="73" t="s">
        <v>30</v>
      </c>
      <c r="K10" s="38"/>
      <c r="L10" s="60"/>
      <c r="M10" s="78">
        <v>44378</v>
      </c>
      <c r="N10" s="98">
        <v>43983</v>
      </c>
      <c r="O10" s="16"/>
      <c r="P10" s="56" t="s">
        <v>596</v>
      </c>
      <c r="Q10" s="81">
        <v>2170</v>
      </c>
      <c r="R10" s="18" t="s">
        <v>30</v>
      </c>
      <c r="S10" s="18" t="s">
        <v>30</v>
      </c>
      <c r="T10" s="18" t="s">
        <v>30</v>
      </c>
      <c r="U10" s="33">
        <v>41640</v>
      </c>
      <c r="V10" s="18" t="s">
        <v>30</v>
      </c>
      <c r="W10" s="18" t="s">
        <v>30</v>
      </c>
      <c r="X10" s="22" t="s">
        <v>30</v>
      </c>
      <c r="Y10" s="52" t="str">
        <f t="shared" si="0"/>
        <v>NC</v>
      </c>
      <c r="Z10" s="18" t="str">
        <f t="shared" si="1"/>
        <v>NC</v>
      </c>
      <c r="AA10" s="18" t="str">
        <f t="shared" si="2"/>
        <v>NC</v>
      </c>
      <c r="AB10" s="18">
        <f t="shared" si="3"/>
        <v>45290</v>
      </c>
      <c r="AC10" s="18" t="str">
        <f t="shared" si="4"/>
        <v>NC</v>
      </c>
      <c r="AD10" s="18" t="str">
        <f t="shared" si="5"/>
        <v>NC</v>
      </c>
      <c r="AE10" s="18" t="str">
        <f t="shared" si="6"/>
        <v>NC</v>
      </c>
      <c r="AF10" s="24"/>
      <c r="AG10" s="4" t="str">
        <f t="shared" si="7"/>
        <v>NC</v>
      </c>
      <c r="AH10" s="4" t="str">
        <f t="shared" si="8"/>
        <v>NC</v>
      </c>
      <c r="AI10" s="4" t="str">
        <f t="shared" si="9"/>
        <v>NC</v>
      </c>
      <c r="AJ10" s="4">
        <f t="shared" ca="1" si="10"/>
        <v>-297</v>
      </c>
      <c r="AK10" s="4" t="str">
        <f t="shared" si="11"/>
        <v>NC</v>
      </c>
      <c r="AL10" s="4" t="str">
        <f t="shared" si="12"/>
        <v>NC</v>
      </c>
      <c r="AM10" s="4" t="str">
        <f t="shared" si="13"/>
        <v>NC</v>
      </c>
      <c r="AN10" s="24"/>
      <c r="AO10" s="46" t="e">
        <f t="shared" si="14"/>
        <v>#DIV/0!</v>
      </c>
      <c r="AP10" s="24"/>
      <c r="AQ10" s="24"/>
      <c r="AR10" s="69" t="s">
        <v>643</v>
      </c>
      <c r="AS10" s="69" t="s">
        <v>643</v>
      </c>
      <c r="AT10" s="24"/>
      <c r="AU10" s="115" t="s">
        <v>1164</v>
      </c>
      <c r="AV10" s="114" t="s">
        <v>943</v>
      </c>
      <c r="AW10" s="114" t="s">
        <v>1178</v>
      </c>
    </row>
    <row r="11" spans="1:49" ht="14.4" customHeight="1" x14ac:dyDescent="0.3">
      <c r="A11" s="123" t="s">
        <v>1666</v>
      </c>
      <c r="B11" s="123" t="s">
        <v>1549</v>
      </c>
      <c r="C11" s="123" t="s">
        <v>1208</v>
      </c>
      <c r="D11" s="123" t="s">
        <v>1577</v>
      </c>
      <c r="E11" s="4" t="s">
        <v>1596</v>
      </c>
      <c r="F11" s="2"/>
      <c r="G11" s="123" t="s">
        <v>1575</v>
      </c>
      <c r="H11" s="242">
        <v>40769</v>
      </c>
      <c r="I11" s="123" t="s">
        <v>1594</v>
      </c>
      <c r="J11" s="73" t="s">
        <v>30</v>
      </c>
      <c r="K11" s="38"/>
      <c r="L11" s="60"/>
      <c r="M11" s="83"/>
      <c r="N11" s="104">
        <v>44166</v>
      </c>
      <c r="O11" s="16"/>
      <c r="P11" s="84" t="s">
        <v>596</v>
      </c>
      <c r="Q11" s="16"/>
      <c r="R11" s="18" t="s">
        <v>30</v>
      </c>
      <c r="S11" s="18" t="s">
        <v>30</v>
      </c>
      <c r="T11" s="18" t="s">
        <v>30</v>
      </c>
      <c r="U11" s="33">
        <v>43466</v>
      </c>
      <c r="V11" s="18" t="s">
        <v>30</v>
      </c>
      <c r="W11" s="18" t="s">
        <v>30</v>
      </c>
      <c r="X11" s="22" t="s">
        <v>30</v>
      </c>
      <c r="Y11" s="52" t="str">
        <f t="shared" si="0"/>
        <v>NC</v>
      </c>
      <c r="Z11" s="18" t="str">
        <f t="shared" si="1"/>
        <v>NC</v>
      </c>
      <c r="AA11" s="18" t="str">
        <f t="shared" si="2"/>
        <v>NC</v>
      </c>
      <c r="AB11" s="18">
        <f t="shared" si="3"/>
        <v>47116</v>
      </c>
      <c r="AC11" s="18" t="str">
        <f t="shared" si="4"/>
        <v>NC</v>
      </c>
      <c r="AD11" s="18" t="str">
        <f t="shared" si="5"/>
        <v>NC</v>
      </c>
      <c r="AE11" s="18" t="str">
        <f t="shared" si="6"/>
        <v>NC</v>
      </c>
      <c r="AF11" s="24"/>
      <c r="AG11" s="4" t="str">
        <f t="shared" si="7"/>
        <v>NC</v>
      </c>
      <c r="AH11" s="4" t="str">
        <f t="shared" si="8"/>
        <v>NC</v>
      </c>
      <c r="AI11" s="4" t="str">
        <f t="shared" si="9"/>
        <v>NC</v>
      </c>
      <c r="AJ11" s="4">
        <f t="shared" ca="1" si="10"/>
        <v>1529</v>
      </c>
      <c r="AK11" s="4" t="str">
        <f t="shared" si="11"/>
        <v>NC</v>
      </c>
      <c r="AL11" s="4" t="str">
        <f t="shared" si="12"/>
        <v>NC</v>
      </c>
      <c r="AM11" s="4" t="str">
        <f t="shared" si="13"/>
        <v>NC</v>
      </c>
      <c r="AN11" s="24"/>
      <c r="AO11" s="46" t="e">
        <f t="shared" si="14"/>
        <v>#DIV/0!</v>
      </c>
      <c r="AP11" s="24"/>
      <c r="AQ11" s="24"/>
      <c r="AR11" s="69" t="s">
        <v>643</v>
      </c>
      <c r="AS11" s="69" t="s">
        <v>643</v>
      </c>
      <c r="AT11" s="24"/>
      <c r="AU11" s="115" t="s">
        <v>1164</v>
      </c>
      <c r="AV11" s="114" t="s">
        <v>943</v>
      </c>
      <c r="AW11" s="114" t="s">
        <v>1180</v>
      </c>
    </row>
    <row r="12" spans="1:49" s="24" customFormat="1" ht="14.4" customHeight="1" x14ac:dyDescent="0.3">
      <c r="A12" s="123" t="s">
        <v>1667</v>
      </c>
      <c r="B12" s="123" t="s">
        <v>1549</v>
      </c>
      <c r="C12" s="123" t="s">
        <v>1208</v>
      </c>
      <c r="D12" s="123" t="s">
        <v>1577</v>
      </c>
      <c r="E12" s="4" t="s">
        <v>1596</v>
      </c>
      <c r="F12" s="2"/>
      <c r="G12" s="123" t="s">
        <v>1575</v>
      </c>
      <c r="H12" s="242">
        <v>40769</v>
      </c>
      <c r="I12" s="123" t="s">
        <v>1594</v>
      </c>
      <c r="J12" s="73" t="s">
        <v>30</v>
      </c>
      <c r="K12" s="38"/>
      <c r="L12" s="60"/>
      <c r="M12" s="83"/>
      <c r="N12" s="104">
        <v>44166</v>
      </c>
      <c r="O12" s="16"/>
      <c r="P12" s="84" t="s">
        <v>596</v>
      </c>
      <c r="Q12" s="16"/>
      <c r="R12" s="18" t="s">
        <v>30</v>
      </c>
      <c r="S12" s="18" t="s">
        <v>30</v>
      </c>
      <c r="T12" s="18" t="s">
        <v>30</v>
      </c>
      <c r="U12" s="33">
        <v>43466</v>
      </c>
      <c r="V12" s="18" t="s">
        <v>30</v>
      </c>
      <c r="W12" s="18" t="s">
        <v>30</v>
      </c>
      <c r="X12" s="22" t="s">
        <v>30</v>
      </c>
      <c r="Y12" s="52" t="str">
        <f t="shared" si="0"/>
        <v>NC</v>
      </c>
      <c r="Z12" s="18" t="str">
        <f t="shared" si="1"/>
        <v>NC</v>
      </c>
      <c r="AA12" s="18" t="str">
        <f t="shared" si="2"/>
        <v>NC</v>
      </c>
      <c r="AB12" s="18">
        <f t="shared" si="3"/>
        <v>47116</v>
      </c>
      <c r="AC12" s="18" t="str">
        <f t="shared" si="4"/>
        <v>NC</v>
      </c>
      <c r="AD12" s="18" t="str">
        <f t="shared" si="5"/>
        <v>NC</v>
      </c>
      <c r="AE12" s="18" t="str">
        <f t="shared" si="6"/>
        <v>NC</v>
      </c>
      <c r="AG12" s="4" t="str">
        <f t="shared" si="7"/>
        <v>NC</v>
      </c>
      <c r="AH12" s="4" t="str">
        <f t="shared" si="8"/>
        <v>NC</v>
      </c>
      <c r="AI12" s="4" t="str">
        <f t="shared" si="9"/>
        <v>NC</v>
      </c>
      <c r="AJ12" s="4">
        <f t="shared" ca="1" si="10"/>
        <v>1529</v>
      </c>
      <c r="AK12" s="4" t="str">
        <f t="shared" si="11"/>
        <v>NC</v>
      </c>
      <c r="AL12" s="4" t="str">
        <f t="shared" si="12"/>
        <v>NC</v>
      </c>
      <c r="AM12" s="4" t="str">
        <f t="shared" si="13"/>
        <v>NC</v>
      </c>
      <c r="AO12" s="46" t="e">
        <f t="shared" si="14"/>
        <v>#DIV/0!</v>
      </c>
      <c r="AR12" s="69" t="s">
        <v>643</v>
      </c>
      <c r="AS12" s="69" t="s">
        <v>643</v>
      </c>
      <c r="AU12" s="115" t="s">
        <v>1164</v>
      </c>
      <c r="AV12" s="114" t="s">
        <v>943</v>
      </c>
      <c r="AW12" s="114" t="s">
        <v>1180</v>
      </c>
    </row>
    <row r="13" spans="1:49" ht="14.4" customHeight="1" x14ac:dyDescent="0.3">
      <c r="A13" s="123" t="s">
        <v>1668</v>
      </c>
      <c r="B13" s="123" t="s">
        <v>1542</v>
      </c>
      <c r="C13" s="123" t="s">
        <v>1551</v>
      </c>
      <c r="D13" s="123" t="s">
        <v>1577</v>
      </c>
      <c r="E13" s="4" t="s">
        <v>1596</v>
      </c>
      <c r="F13" s="3"/>
      <c r="G13" s="123" t="s">
        <v>1559</v>
      </c>
      <c r="H13" s="242">
        <v>44364</v>
      </c>
      <c r="I13" s="123" t="s">
        <v>1583</v>
      </c>
      <c r="J13" s="73" t="s">
        <v>30</v>
      </c>
      <c r="K13" s="12"/>
      <c r="L13" s="61"/>
      <c r="M13" s="79" t="s">
        <v>609</v>
      </c>
      <c r="N13" s="87">
        <v>43891</v>
      </c>
      <c r="O13" s="47"/>
      <c r="P13" s="56" t="s">
        <v>596</v>
      </c>
      <c r="Q13" s="80"/>
      <c r="R13" s="18" t="s">
        <v>30</v>
      </c>
      <c r="S13" s="18" t="s">
        <v>30</v>
      </c>
      <c r="T13" s="18" t="s">
        <v>30</v>
      </c>
      <c r="U13" s="22" t="s">
        <v>30</v>
      </c>
      <c r="V13" s="18" t="s">
        <v>30</v>
      </c>
      <c r="W13" s="18" t="s">
        <v>30</v>
      </c>
      <c r="X13" s="22" t="s">
        <v>30</v>
      </c>
      <c r="Y13" s="52" t="str">
        <f t="shared" si="0"/>
        <v>NC</v>
      </c>
      <c r="Z13" s="18" t="str">
        <f t="shared" si="1"/>
        <v>NC</v>
      </c>
      <c r="AA13" s="18" t="str">
        <f t="shared" si="2"/>
        <v>NC</v>
      </c>
      <c r="AB13" s="18" t="str">
        <f t="shared" si="3"/>
        <v>NC</v>
      </c>
      <c r="AC13" s="18" t="str">
        <f t="shared" si="4"/>
        <v>NC</v>
      </c>
      <c r="AD13" s="18" t="str">
        <f t="shared" si="5"/>
        <v>NC</v>
      </c>
      <c r="AE13" s="18" t="str">
        <f t="shared" si="6"/>
        <v>NC</v>
      </c>
      <c r="AG13" s="4" t="str">
        <f t="shared" si="7"/>
        <v>NC</v>
      </c>
      <c r="AH13" s="4" t="str">
        <f t="shared" si="8"/>
        <v>NC</v>
      </c>
      <c r="AI13" s="4" t="str">
        <f t="shared" si="9"/>
        <v>NC</v>
      </c>
      <c r="AJ13" s="4" t="str">
        <f t="shared" si="10"/>
        <v>NC</v>
      </c>
      <c r="AK13" s="4" t="str">
        <f t="shared" si="11"/>
        <v>NC</v>
      </c>
      <c r="AL13" s="4" t="str">
        <f t="shared" si="12"/>
        <v>NC</v>
      </c>
      <c r="AM13" s="4" t="str">
        <f t="shared" si="13"/>
        <v>NC</v>
      </c>
      <c r="AN13" s="24"/>
      <c r="AO13" s="46" t="e">
        <f t="shared" si="14"/>
        <v>#DIV/0!</v>
      </c>
      <c r="AP13" s="15"/>
      <c r="AR13" s="69" t="s">
        <v>643</v>
      </c>
      <c r="AS13" s="69" t="s">
        <v>643</v>
      </c>
      <c r="AU13" s="114" t="s">
        <v>1162</v>
      </c>
      <c r="AV13" s="114" t="s">
        <v>940</v>
      </c>
      <c r="AW13" s="114" t="s">
        <v>1173</v>
      </c>
    </row>
    <row r="14" spans="1:49" s="24" customFormat="1" ht="14.4" customHeight="1" x14ac:dyDescent="0.3">
      <c r="A14" s="123" t="s">
        <v>1669</v>
      </c>
      <c r="B14" s="123" t="s">
        <v>1543</v>
      </c>
      <c r="C14" s="123" t="s">
        <v>1552</v>
      </c>
      <c r="D14" s="123" t="s">
        <v>1577</v>
      </c>
      <c r="E14" s="4" t="s">
        <v>1596</v>
      </c>
      <c r="F14" s="2"/>
      <c r="G14" s="123" t="s">
        <v>1567</v>
      </c>
      <c r="H14" s="242">
        <v>43819</v>
      </c>
      <c r="I14" s="123" t="s">
        <v>1590</v>
      </c>
      <c r="J14" s="73" t="s">
        <v>30</v>
      </c>
      <c r="K14" s="38"/>
      <c r="L14" s="60"/>
      <c r="M14" s="78">
        <v>44927</v>
      </c>
      <c r="N14" s="98" t="s">
        <v>1022</v>
      </c>
      <c r="O14" s="16"/>
      <c r="P14" s="56" t="s">
        <v>596</v>
      </c>
      <c r="Q14" s="81"/>
      <c r="R14" s="18" t="s">
        <v>30</v>
      </c>
      <c r="S14" s="18" t="s">
        <v>30</v>
      </c>
      <c r="T14" s="18" t="s">
        <v>30</v>
      </c>
      <c r="U14" s="22" t="s">
        <v>30</v>
      </c>
      <c r="V14" s="18" t="s">
        <v>30</v>
      </c>
      <c r="W14" s="18" t="s">
        <v>30</v>
      </c>
      <c r="X14" s="22" t="s">
        <v>30</v>
      </c>
      <c r="Y14" s="52" t="str">
        <f t="shared" si="0"/>
        <v>NC</v>
      </c>
      <c r="Z14" s="18" t="str">
        <f t="shared" si="1"/>
        <v>NC</v>
      </c>
      <c r="AA14" s="18" t="str">
        <f t="shared" si="2"/>
        <v>NC</v>
      </c>
      <c r="AB14" s="18" t="str">
        <f t="shared" si="3"/>
        <v>NC</v>
      </c>
      <c r="AC14" s="18" t="str">
        <f t="shared" si="4"/>
        <v>NC</v>
      </c>
      <c r="AD14" s="18" t="str">
        <f t="shared" si="5"/>
        <v>NC</v>
      </c>
      <c r="AE14" s="18" t="str">
        <f t="shared" si="6"/>
        <v>NC</v>
      </c>
      <c r="AG14" s="4" t="str">
        <f t="shared" si="7"/>
        <v>NC</v>
      </c>
      <c r="AH14" s="4" t="str">
        <f t="shared" si="8"/>
        <v>NC</v>
      </c>
      <c r="AI14" s="4" t="str">
        <f t="shared" si="9"/>
        <v>NC</v>
      </c>
      <c r="AJ14" s="4" t="str">
        <f t="shared" si="10"/>
        <v>NC</v>
      </c>
      <c r="AK14" s="4" t="str">
        <f t="shared" si="11"/>
        <v>NC</v>
      </c>
      <c r="AL14" s="4" t="str">
        <f t="shared" si="12"/>
        <v>NC</v>
      </c>
      <c r="AM14" s="4" t="str">
        <f t="shared" si="13"/>
        <v>NC</v>
      </c>
      <c r="AO14" s="46" t="e">
        <f t="shared" si="14"/>
        <v>#DIV/0!</v>
      </c>
      <c r="AR14" s="69" t="s">
        <v>643</v>
      </c>
      <c r="AS14" s="69" t="s">
        <v>643</v>
      </c>
      <c r="AU14" s="115" t="s">
        <v>1162</v>
      </c>
      <c r="AV14" s="114" t="s">
        <v>940</v>
      </c>
      <c r="AW14" s="114" t="s">
        <v>1177</v>
      </c>
    </row>
    <row r="15" spans="1:49" s="24" customFormat="1" ht="14.4" customHeight="1" x14ac:dyDescent="0.3">
      <c r="A15" s="123" t="s">
        <v>1670</v>
      </c>
      <c r="B15" s="123" t="s">
        <v>1540</v>
      </c>
      <c r="C15" s="123" t="s">
        <v>1211</v>
      </c>
      <c r="D15" s="123" t="s">
        <v>1576</v>
      </c>
      <c r="E15" s="4" t="s">
        <v>1596</v>
      </c>
      <c r="F15" s="3"/>
      <c r="G15" s="265" t="s">
        <v>1557</v>
      </c>
      <c r="H15" s="266" t="s">
        <v>1595</v>
      </c>
      <c r="I15" s="123" t="s">
        <v>1581</v>
      </c>
      <c r="J15" s="73" t="s">
        <v>30</v>
      </c>
      <c r="K15" s="12"/>
      <c r="L15" s="61"/>
      <c r="M15" s="78"/>
      <c r="N15" s="87"/>
      <c r="O15" s="47"/>
      <c r="P15" s="56" t="s">
        <v>596</v>
      </c>
      <c r="Q15" s="80"/>
      <c r="R15" s="18" t="s">
        <v>30</v>
      </c>
      <c r="S15" s="18" t="s">
        <v>30</v>
      </c>
      <c r="T15" s="18" t="s">
        <v>30</v>
      </c>
      <c r="U15" s="22" t="s">
        <v>30</v>
      </c>
      <c r="V15" s="18" t="s">
        <v>30</v>
      </c>
      <c r="W15" s="18" t="s">
        <v>30</v>
      </c>
      <c r="X15" s="22" t="s">
        <v>30</v>
      </c>
      <c r="Y15" s="52" t="str">
        <f t="shared" si="0"/>
        <v>NC</v>
      </c>
      <c r="Z15" s="18" t="str">
        <f t="shared" si="1"/>
        <v>NC</v>
      </c>
      <c r="AA15" s="18" t="str">
        <f t="shared" si="2"/>
        <v>NC</v>
      </c>
      <c r="AB15" s="18" t="str">
        <f t="shared" si="3"/>
        <v>NC</v>
      </c>
      <c r="AC15" s="18" t="str">
        <f t="shared" si="4"/>
        <v>NC</v>
      </c>
      <c r="AD15" s="18" t="str">
        <f t="shared" si="5"/>
        <v>NC</v>
      </c>
      <c r="AE15" s="18" t="str">
        <f t="shared" si="6"/>
        <v>NC</v>
      </c>
      <c r="AF15"/>
      <c r="AG15" s="4" t="str">
        <f t="shared" si="7"/>
        <v>NC</v>
      </c>
      <c r="AH15" s="4" t="str">
        <f t="shared" si="8"/>
        <v>NC</v>
      </c>
      <c r="AI15" s="4" t="str">
        <f t="shared" si="9"/>
        <v>NC</v>
      </c>
      <c r="AJ15" s="4" t="str">
        <f t="shared" si="10"/>
        <v>NC</v>
      </c>
      <c r="AK15" s="4" t="str">
        <f t="shared" si="11"/>
        <v>NC</v>
      </c>
      <c r="AL15" s="4" t="str">
        <f t="shared" si="12"/>
        <v>NC</v>
      </c>
      <c r="AM15" s="4" t="str">
        <f t="shared" si="13"/>
        <v>NC</v>
      </c>
      <c r="AO15" s="46" t="e">
        <f t="shared" si="14"/>
        <v>#DIV/0!</v>
      </c>
      <c r="AP15" s="15"/>
      <c r="AQ15"/>
      <c r="AR15" s="69" t="s">
        <v>643</v>
      </c>
      <c r="AS15" s="69" t="s">
        <v>643</v>
      </c>
      <c r="AT15"/>
      <c r="AU15" s="114" t="s">
        <v>1160</v>
      </c>
      <c r="AV15" s="114" t="s">
        <v>940</v>
      </c>
      <c r="AW15" s="114" t="s">
        <v>941</v>
      </c>
    </row>
    <row r="16" spans="1:49" s="24" customFormat="1" ht="14.4" customHeight="1" x14ac:dyDescent="0.3">
      <c r="A16" s="123" t="s">
        <v>1671</v>
      </c>
      <c r="B16" s="123" t="s">
        <v>1542</v>
      </c>
      <c r="C16" s="123" t="s">
        <v>1551</v>
      </c>
      <c r="D16" s="123" t="s">
        <v>1578</v>
      </c>
      <c r="E16" s="4" t="s">
        <v>1596</v>
      </c>
      <c r="F16" s="3"/>
      <c r="G16" s="123" t="s">
        <v>1560</v>
      </c>
      <c r="H16" s="242">
        <v>44524</v>
      </c>
      <c r="I16" s="123" t="s">
        <v>1584</v>
      </c>
      <c r="J16" s="73" t="s">
        <v>30</v>
      </c>
      <c r="K16" s="13"/>
      <c r="L16" s="62"/>
      <c r="M16" s="78">
        <v>43983</v>
      </c>
      <c r="N16" s="87" t="s">
        <v>1022</v>
      </c>
      <c r="O16" s="47"/>
      <c r="P16" s="56" t="s">
        <v>596</v>
      </c>
      <c r="Q16" s="80">
        <v>46</v>
      </c>
      <c r="R16" s="18" t="s">
        <v>30</v>
      </c>
      <c r="S16" s="18" t="s">
        <v>30</v>
      </c>
      <c r="T16" s="18" t="s">
        <v>30</v>
      </c>
      <c r="U16" s="22" t="s">
        <v>30</v>
      </c>
      <c r="V16" s="18" t="s">
        <v>30</v>
      </c>
      <c r="W16" s="18" t="s">
        <v>30</v>
      </c>
      <c r="X16" s="22" t="s">
        <v>30</v>
      </c>
      <c r="Y16" s="52" t="str">
        <f t="shared" si="0"/>
        <v>NC</v>
      </c>
      <c r="Z16" s="18" t="str">
        <f t="shared" si="1"/>
        <v>NC</v>
      </c>
      <c r="AA16" s="18" t="str">
        <f t="shared" si="2"/>
        <v>NC</v>
      </c>
      <c r="AB16" s="18" t="str">
        <f t="shared" si="3"/>
        <v>NC</v>
      </c>
      <c r="AC16" s="18" t="str">
        <f t="shared" si="4"/>
        <v>NC</v>
      </c>
      <c r="AD16" s="18" t="str">
        <f t="shared" si="5"/>
        <v>NC</v>
      </c>
      <c r="AE16" s="18" t="str">
        <f t="shared" si="6"/>
        <v>NC</v>
      </c>
      <c r="AF16"/>
      <c r="AG16" s="4" t="str">
        <f t="shared" si="7"/>
        <v>NC</v>
      </c>
      <c r="AH16" s="4" t="str">
        <f t="shared" si="8"/>
        <v>NC</v>
      </c>
      <c r="AI16" s="4" t="str">
        <f t="shared" si="9"/>
        <v>NC</v>
      </c>
      <c r="AJ16" s="4" t="str">
        <f t="shared" si="10"/>
        <v>NC</v>
      </c>
      <c r="AK16" s="4" t="str">
        <f t="shared" si="11"/>
        <v>NC</v>
      </c>
      <c r="AL16" s="4" t="str">
        <f t="shared" si="12"/>
        <v>NC</v>
      </c>
      <c r="AM16" s="4" t="str">
        <f t="shared" si="13"/>
        <v>NC</v>
      </c>
      <c r="AO16" s="46" t="e">
        <f t="shared" si="14"/>
        <v>#DIV/0!</v>
      </c>
      <c r="AP16" s="15"/>
      <c r="AQ16"/>
      <c r="AR16" s="69" t="s">
        <v>643</v>
      </c>
      <c r="AS16" s="69" t="s">
        <v>643</v>
      </c>
      <c r="AT16"/>
      <c r="AU16" s="114" t="s">
        <v>1162</v>
      </c>
      <c r="AV16" s="114" t="s">
        <v>940</v>
      </c>
      <c r="AW16" s="114" t="s">
        <v>1174</v>
      </c>
    </row>
    <row r="17" spans="1:49" s="24" customFormat="1" ht="14.4" customHeight="1" x14ac:dyDescent="0.3">
      <c r="A17" s="123" t="s">
        <v>1672</v>
      </c>
      <c r="B17" s="123" t="s">
        <v>1542</v>
      </c>
      <c r="C17" s="123" t="s">
        <v>1551</v>
      </c>
      <c r="D17" s="123" t="s">
        <v>1576</v>
      </c>
      <c r="E17" s="4" t="s">
        <v>1596</v>
      </c>
      <c r="F17" s="3"/>
      <c r="G17" s="123" t="s">
        <v>1561</v>
      </c>
      <c r="H17" s="242">
        <v>44524</v>
      </c>
      <c r="I17" s="123" t="s">
        <v>1585</v>
      </c>
      <c r="J17" s="73" t="s">
        <v>30</v>
      </c>
      <c r="K17" s="13"/>
      <c r="L17" s="62"/>
      <c r="M17" s="78">
        <v>43983</v>
      </c>
      <c r="N17" s="87" t="s">
        <v>1022</v>
      </c>
      <c r="O17" s="47"/>
      <c r="P17" s="56" t="s">
        <v>596</v>
      </c>
      <c r="Q17" s="80">
        <v>477</v>
      </c>
      <c r="R17" s="18" t="s">
        <v>30</v>
      </c>
      <c r="S17" s="18" t="s">
        <v>30</v>
      </c>
      <c r="T17" s="18" t="s">
        <v>30</v>
      </c>
      <c r="U17" s="22" t="s">
        <v>30</v>
      </c>
      <c r="V17" s="18" t="s">
        <v>30</v>
      </c>
      <c r="W17" s="18" t="s">
        <v>30</v>
      </c>
      <c r="X17" s="22" t="s">
        <v>30</v>
      </c>
      <c r="Y17" s="52" t="str">
        <f t="shared" si="0"/>
        <v>NC</v>
      </c>
      <c r="Z17" s="18" t="str">
        <f t="shared" si="1"/>
        <v>NC</v>
      </c>
      <c r="AA17" s="18" t="str">
        <f t="shared" si="2"/>
        <v>NC</v>
      </c>
      <c r="AB17" s="18" t="str">
        <f t="shared" si="3"/>
        <v>NC</v>
      </c>
      <c r="AC17" s="18" t="str">
        <f t="shared" si="4"/>
        <v>NC</v>
      </c>
      <c r="AD17" s="18" t="str">
        <f t="shared" si="5"/>
        <v>NC</v>
      </c>
      <c r="AE17" s="18" t="str">
        <f t="shared" si="6"/>
        <v>NC</v>
      </c>
      <c r="AF17"/>
      <c r="AG17" s="4" t="str">
        <f t="shared" si="7"/>
        <v>NC</v>
      </c>
      <c r="AH17" s="4" t="str">
        <f t="shared" si="8"/>
        <v>NC</v>
      </c>
      <c r="AI17" s="4" t="str">
        <f t="shared" si="9"/>
        <v>NC</v>
      </c>
      <c r="AJ17" s="4" t="str">
        <f t="shared" si="10"/>
        <v>NC</v>
      </c>
      <c r="AK17" s="4" t="str">
        <f t="shared" si="11"/>
        <v>NC</v>
      </c>
      <c r="AL17" s="4" t="str">
        <f t="shared" si="12"/>
        <v>NC</v>
      </c>
      <c r="AM17" s="4" t="str">
        <f t="shared" si="13"/>
        <v>NC</v>
      </c>
      <c r="AO17" s="46" t="e">
        <f t="shared" si="14"/>
        <v>#DIV/0!</v>
      </c>
      <c r="AP17" s="15"/>
      <c r="AQ17"/>
      <c r="AR17" s="69" t="s">
        <v>643</v>
      </c>
      <c r="AS17" s="69" t="s">
        <v>643</v>
      </c>
      <c r="AT17"/>
      <c r="AU17" s="114" t="s">
        <v>1162</v>
      </c>
      <c r="AV17" s="114" t="s">
        <v>940</v>
      </c>
      <c r="AW17" s="114" t="s">
        <v>1174</v>
      </c>
    </row>
    <row r="18" spans="1:49" s="24" customFormat="1" ht="14.4" customHeight="1" x14ac:dyDescent="0.3">
      <c r="A18" s="123" t="s">
        <v>1673</v>
      </c>
      <c r="B18" s="123" t="s">
        <v>1542</v>
      </c>
      <c r="C18" s="123" t="s">
        <v>1551</v>
      </c>
      <c r="D18" s="123" t="s">
        <v>1579</v>
      </c>
      <c r="E18" s="4" t="s">
        <v>1596</v>
      </c>
      <c r="F18" s="2"/>
      <c r="G18" s="123" t="s">
        <v>1562</v>
      </c>
      <c r="H18" s="242">
        <v>42324</v>
      </c>
      <c r="I18" s="123" t="s">
        <v>1586</v>
      </c>
      <c r="J18" s="73" t="s">
        <v>30</v>
      </c>
      <c r="K18" s="38"/>
      <c r="L18" s="60"/>
      <c r="M18" s="78">
        <v>44896</v>
      </c>
      <c r="N18" s="98">
        <v>43952</v>
      </c>
      <c r="O18" s="16"/>
      <c r="P18" s="56" t="s">
        <v>596</v>
      </c>
      <c r="Q18" s="81">
        <v>17</v>
      </c>
      <c r="R18" s="18" t="s">
        <v>30</v>
      </c>
      <c r="S18" s="18" t="s">
        <v>30</v>
      </c>
      <c r="T18" s="18" t="s">
        <v>30</v>
      </c>
      <c r="U18" s="22" t="s">
        <v>30</v>
      </c>
      <c r="V18" s="18" t="s">
        <v>30</v>
      </c>
      <c r="W18" s="18" t="s">
        <v>30</v>
      </c>
      <c r="X18" s="22" t="s">
        <v>30</v>
      </c>
      <c r="Y18" s="52" t="str">
        <f t="shared" si="0"/>
        <v>NC</v>
      </c>
      <c r="Z18" s="18" t="str">
        <f t="shared" si="1"/>
        <v>NC</v>
      </c>
      <c r="AA18" s="18" t="str">
        <f t="shared" si="2"/>
        <v>NC</v>
      </c>
      <c r="AB18" s="18" t="str">
        <f t="shared" si="3"/>
        <v>NC</v>
      </c>
      <c r="AC18" s="18" t="str">
        <f t="shared" si="4"/>
        <v>NC</v>
      </c>
      <c r="AD18" s="18" t="str">
        <f t="shared" si="5"/>
        <v>NC</v>
      </c>
      <c r="AE18" s="18" t="str">
        <f t="shared" si="6"/>
        <v>NC</v>
      </c>
      <c r="AG18" s="4" t="str">
        <f t="shared" si="7"/>
        <v>NC</v>
      </c>
      <c r="AH18" s="4" t="str">
        <f t="shared" si="8"/>
        <v>NC</v>
      </c>
      <c r="AI18" s="4" t="str">
        <f t="shared" si="9"/>
        <v>NC</v>
      </c>
      <c r="AJ18" s="4" t="str">
        <f t="shared" si="10"/>
        <v>NC</v>
      </c>
      <c r="AK18" s="4" t="str">
        <f t="shared" si="11"/>
        <v>NC</v>
      </c>
      <c r="AL18" s="4" t="str">
        <f t="shared" si="12"/>
        <v>NC</v>
      </c>
      <c r="AM18" s="4" t="str">
        <f t="shared" si="13"/>
        <v>NC</v>
      </c>
      <c r="AO18" s="46" t="e">
        <f t="shared" si="14"/>
        <v>#DIV/0!</v>
      </c>
      <c r="AR18" s="69" t="s">
        <v>643</v>
      </c>
      <c r="AS18" s="69" t="s">
        <v>643</v>
      </c>
      <c r="AU18" s="115" t="s">
        <v>1170</v>
      </c>
      <c r="AV18" s="114" t="s">
        <v>940</v>
      </c>
      <c r="AW18" s="114" t="s">
        <v>1175</v>
      </c>
    </row>
    <row r="19" spans="1:49" s="24" customFormat="1" ht="14.4" customHeight="1" x14ac:dyDescent="0.3">
      <c r="A19" s="123" t="s">
        <v>1674</v>
      </c>
      <c r="B19" s="123" t="s">
        <v>1542</v>
      </c>
      <c r="C19" s="123" t="s">
        <v>1551</v>
      </c>
      <c r="D19" s="123" t="s">
        <v>1576</v>
      </c>
      <c r="E19" s="4" t="s">
        <v>1596</v>
      </c>
      <c r="F19" s="2"/>
      <c r="G19" s="123" t="s">
        <v>1563</v>
      </c>
      <c r="H19" s="242">
        <v>42324</v>
      </c>
      <c r="I19" s="123" t="s">
        <v>1587</v>
      </c>
      <c r="J19" s="73" t="s">
        <v>30</v>
      </c>
      <c r="K19" s="38"/>
      <c r="L19" s="60"/>
      <c r="M19" s="78">
        <v>44896</v>
      </c>
      <c r="N19" s="98">
        <v>43952</v>
      </c>
      <c r="O19" s="16"/>
      <c r="P19" s="56" t="s">
        <v>596</v>
      </c>
      <c r="Q19" s="81"/>
      <c r="R19" s="18" t="s">
        <v>30</v>
      </c>
      <c r="S19" s="18" t="s">
        <v>30</v>
      </c>
      <c r="T19" s="18" t="s">
        <v>30</v>
      </c>
      <c r="U19" s="22" t="s">
        <v>30</v>
      </c>
      <c r="V19" s="18" t="s">
        <v>30</v>
      </c>
      <c r="W19" s="18" t="s">
        <v>30</v>
      </c>
      <c r="X19" s="22" t="s">
        <v>30</v>
      </c>
      <c r="Y19" s="52" t="str">
        <f t="shared" si="0"/>
        <v>NC</v>
      </c>
      <c r="Z19" s="18" t="str">
        <f t="shared" si="1"/>
        <v>NC</v>
      </c>
      <c r="AA19" s="18" t="str">
        <f t="shared" si="2"/>
        <v>NC</v>
      </c>
      <c r="AB19" s="18" t="str">
        <f t="shared" si="3"/>
        <v>NC</v>
      </c>
      <c r="AC19" s="18" t="str">
        <f t="shared" si="4"/>
        <v>NC</v>
      </c>
      <c r="AD19" s="18" t="str">
        <f t="shared" si="5"/>
        <v>NC</v>
      </c>
      <c r="AE19" s="18" t="str">
        <f t="shared" si="6"/>
        <v>NC</v>
      </c>
      <c r="AG19" s="4" t="str">
        <f t="shared" si="7"/>
        <v>NC</v>
      </c>
      <c r="AH19" s="4" t="str">
        <f t="shared" si="8"/>
        <v>NC</v>
      </c>
      <c r="AI19" s="4" t="str">
        <f t="shared" si="9"/>
        <v>NC</v>
      </c>
      <c r="AJ19" s="4" t="str">
        <f t="shared" si="10"/>
        <v>NC</v>
      </c>
      <c r="AK19" s="4" t="str">
        <f t="shared" si="11"/>
        <v>NC</v>
      </c>
      <c r="AL19" s="4" t="str">
        <f t="shared" si="12"/>
        <v>NC</v>
      </c>
      <c r="AM19" s="4" t="str">
        <f t="shared" si="13"/>
        <v>NC</v>
      </c>
      <c r="AO19" s="46" t="e">
        <f t="shared" si="14"/>
        <v>#DIV/0!</v>
      </c>
      <c r="AR19" s="69" t="s">
        <v>643</v>
      </c>
      <c r="AS19" s="69" t="s">
        <v>643</v>
      </c>
      <c r="AU19" s="115" t="s">
        <v>1170</v>
      </c>
      <c r="AV19" s="114" t="s">
        <v>940</v>
      </c>
      <c r="AW19" s="114" t="s">
        <v>1176</v>
      </c>
    </row>
    <row r="20" spans="1:49" s="24" customFormat="1" ht="14.4" customHeight="1" x14ac:dyDescent="0.3">
      <c r="A20" s="123" t="s">
        <v>1675</v>
      </c>
      <c r="B20" s="123" t="s">
        <v>1542</v>
      </c>
      <c r="C20" s="123" t="s">
        <v>1551</v>
      </c>
      <c r="D20" s="123" t="s">
        <v>1576</v>
      </c>
      <c r="E20" s="4" t="s">
        <v>1596</v>
      </c>
      <c r="F20" s="2"/>
      <c r="G20" s="123" t="s">
        <v>1564</v>
      </c>
      <c r="H20" s="242">
        <v>42324</v>
      </c>
      <c r="I20" s="123" t="s">
        <v>1583</v>
      </c>
      <c r="J20" s="73" t="s">
        <v>30</v>
      </c>
      <c r="K20" s="38"/>
      <c r="L20" s="60"/>
      <c r="M20" s="83"/>
      <c r="N20" s="98" t="s">
        <v>1022</v>
      </c>
      <c r="O20" s="16"/>
      <c r="P20" s="84" t="s">
        <v>596</v>
      </c>
      <c r="Q20" s="16"/>
      <c r="R20" s="18" t="s">
        <v>30</v>
      </c>
      <c r="S20" s="18" t="s">
        <v>30</v>
      </c>
      <c r="T20" s="18" t="s">
        <v>30</v>
      </c>
      <c r="U20" s="22" t="s">
        <v>30</v>
      </c>
      <c r="V20" s="18" t="s">
        <v>30</v>
      </c>
      <c r="W20" s="18" t="s">
        <v>30</v>
      </c>
      <c r="X20" s="22" t="s">
        <v>30</v>
      </c>
      <c r="Y20" s="52" t="str">
        <f t="shared" si="0"/>
        <v>NC</v>
      </c>
      <c r="Z20" s="18" t="str">
        <f t="shared" si="1"/>
        <v>NC</v>
      </c>
      <c r="AA20" s="18" t="str">
        <f t="shared" si="2"/>
        <v>NC</v>
      </c>
      <c r="AB20" s="18" t="str">
        <f t="shared" si="3"/>
        <v>NC</v>
      </c>
      <c r="AC20" s="18" t="str">
        <f t="shared" si="4"/>
        <v>NC</v>
      </c>
      <c r="AD20" s="18" t="str">
        <f t="shared" si="5"/>
        <v>NC</v>
      </c>
      <c r="AE20" s="18" t="str">
        <f t="shared" si="6"/>
        <v>NC</v>
      </c>
      <c r="AG20" s="4" t="str">
        <f t="shared" si="7"/>
        <v>NC</v>
      </c>
      <c r="AH20" s="4" t="str">
        <f t="shared" si="8"/>
        <v>NC</v>
      </c>
      <c r="AI20" s="4" t="str">
        <f t="shared" si="9"/>
        <v>NC</v>
      </c>
      <c r="AJ20" s="4" t="str">
        <f t="shared" si="10"/>
        <v>NC</v>
      </c>
      <c r="AK20" s="4" t="str">
        <f t="shared" si="11"/>
        <v>NC</v>
      </c>
      <c r="AL20" s="4" t="str">
        <f t="shared" si="12"/>
        <v>NC</v>
      </c>
      <c r="AM20" s="4" t="str">
        <f t="shared" si="13"/>
        <v>NC</v>
      </c>
      <c r="AO20" s="58" t="e">
        <f t="shared" si="14"/>
        <v>#DIV/0!</v>
      </c>
      <c r="AR20" s="69" t="s">
        <v>643</v>
      </c>
      <c r="AS20" s="69" t="s">
        <v>643</v>
      </c>
      <c r="AU20" s="115" t="s">
        <v>1162</v>
      </c>
      <c r="AV20" s="114" t="s">
        <v>940</v>
      </c>
      <c r="AW20" s="114" t="s">
        <v>1173</v>
      </c>
    </row>
    <row r="21" spans="1:49" ht="14.4" customHeight="1" x14ac:dyDescent="0.3">
      <c r="A21" s="123" t="s">
        <v>1676</v>
      </c>
      <c r="B21" s="123" t="s">
        <v>1544</v>
      </c>
      <c r="C21" s="123" t="s">
        <v>1553</v>
      </c>
      <c r="D21" s="123" t="s">
        <v>1579</v>
      </c>
      <c r="E21" s="4" t="s">
        <v>1596</v>
      </c>
      <c r="F21" s="2"/>
      <c r="G21" s="123" t="s">
        <v>1568</v>
      </c>
      <c r="H21" s="242">
        <v>41774</v>
      </c>
      <c r="I21" s="123" t="s">
        <v>1577</v>
      </c>
      <c r="J21" s="73" t="s">
        <v>30</v>
      </c>
      <c r="K21" s="38"/>
      <c r="L21" s="60"/>
      <c r="M21" s="78">
        <v>44927</v>
      </c>
      <c r="N21" s="98" t="s">
        <v>1022</v>
      </c>
      <c r="O21" s="16"/>
      <c r="P21" s="56" t="s">
        <v>596</v>
      </c>
      <c r="Q21" s="81"/>
      <c r="R21" s="18" t="s">
        <v>30</v>
      </c>
      <c r="S21" s="18" t="s">
        <v>30</v>
      </c>
      <c r="T21" s="18" t="s">
        <v>30</v>
      </c>
      <c r="U21" s="22" t="s">
        <v>30</v>
      </c>
      <c r="V21" s="18" t="s">
        <v>30</v>
      </c>
      <c r="W21" s="18" t="s">
        <v>30</v>
      </c>
      <c r="X21" s="22" t="s">
        <v>30</v>
      </c>
      <c r="Y21" s="52" t="str">
        <f t="shared" si="0"/>
        <v>NC</v>
      </c>
      <c r="Z21" s="18" t="str">
        <f t="shared" si="1"/>
        <v>NC</v>
      </c>
      <c r="AA21" s="18" t="str">
        <f t="shared" si="2"/>
        <v>NC</v>
      </c>
      <c r="AB21" s="18" t="str">
        <f t="shared" si="3"/>
        <v>NC</v>
      </c>
      <c r="AC21" s="18" t="str">
        <f t="shared" si="4"/>
        <v>NC</v>
      </c>
      <c r="AD21" s="18" t="str">
        <f t="shared" si="5"/>
        <v>NC</v>
      </c>
      <c r="AE21" s="18" t="str">
        <f t="shared" si="6"/>
        <v>NC</v>
      </c>
      <c r="AF21" s="24"/>
      <c r="AG21" s="4" t="str">
        <f t="shared" si="7"/>
        <v>NC</v>
      </c>
      <c r="AH21" s="4" t="str">
        <f t="shared" si="8"/>
        <v>NC</v>
      </c>
      <c r="AI21" s="4" t="str">
        <f t="shared" si="9"/>
        <v>NC</v>
      </c>
      <c r="AJ21" s="4" t="str">
        <f t="shared" si="10"/>
        <v>NC</v>
      </c>
      <c r="AK21" s="4" t="str">
        <f t="shared" si="11"/>
        <v>NC</v>
      </c>
      <c r="AL21" s="4" t="str">
        <f t="shared" si="12"/>
        <v>NC</v>
      </c>
      <c r="AM21" s="4" t="str">
        <f t="shared" si="13"/>
        <v>NC</v>
      </c>
      <c r="AN21" s="24"/>
      <c r="AO21" s="46" t="e">
        <f t="shared" si="14"/>
        <v>#DIV/0!</v>
      </c>
      <c r="AP21" s="24"/>
      <c r="AQ21" s="24"/>
      <c r="AR21" s="69" t="s">
        <v>643</v>
      </c>
      <c r="AS21" s="69" t="s">
        <v>643</v>
      </c>
      <c r="AT21" s="24"/>
      <c r="AU21" s="115" t="s">
        <v>1162</v>
      </c>
      <c r="AV21" s="114" t="s">
        <v>940</v>
      </c>
      <c r="AW21" s="114" t="s">
        <v>1177</v>
      </c>
    </row>
    <row r="22" spans="1:49" ht="14.4" customHeight="1" x14ac:dyDescent="0.3">
      <c r="A22" s="123" t="s">
        <v>1677</v>
      </c>
      <c r="B22" s="123" t="s">
        <v>1543</v>
      </c>
      <c r="C22" s="123" t="s">
        <v>1552</v>
      </c>
      <c r="D22" s="123" t="s">
        <v>1577</v>
      </c>
      <c r="E22" s="4" t="s">
        <v>1596</v>
      </c>
      <c r="F22" s="2"/>
      <c r="G22" s="123" t="s">
        <v>1565</v>
      </c>
      <c r="H22" s="242">
        <v>43819</v>
      </c>
      <c r="I22" s="123" t="s">
        <v>1588</v>
      </c>
      <c r="J22" s="73" t="s">
        <v>30</v>
      </c>
      <c r="K22" s="38"/>
      <c r="L22" s="60"/>
      <c r="M22" s="78"/>
      <c r="N22" s="98" t="s">
        <v>1022</v>
      </c>
      <c r="O22" s="16"/>
      <c r="P22" s="56" t="s">
        <v>596</v>
      </c>
      <c r="Q22" s="81"/>
      <c r="R22" s="18" t="s">
        <v>30</v>
      </c>
      <c r="S22" s="18" t="s">
        <v>30</v>
      </c>
      <c r="T22" s="18" t="s">
        <v>30</v>
      </c>
      <c r="U22" s="22" t="s">
        <v>30</v>
      </c>
      <c r="V22" s="18" t="s">
        <v>30</v>
      </c>
      <c r="W22" s="18" t="s">
        <v>30</v>
      </c>
      <c r="X22" s="22" t="s">
        <v>30</v>
      </c>
      <c r="Y22" s="52" t="str">
        <f t="shared" si="0"/>
        <v>NC</v>
      </c>
      <c r="Z22" s="18" t="str">
        <f t="shared" si="1"/>
        <v>NC</v>
      </c>
      <c r="AA22" s="18" t="str">
        <f t="shared" si="2"/>
        <v>NC</v>
      </c>
      <c r="AB22" s="18" t="str">
        <f t="shared" si="3"/>
        <v>NC</v>
      </c>
      <c r="AC22" s="18" t="str">
        <f t="shared" si="4"/>
        <v>NC</v>
      </c>
      <c r="AD22" s="18" t="str">
        <f t="shared" si="5"/>
        <v>NC</v>
      </c>
      <c r="AE22" s="18" t="str">
        <f t="shared" si="6"/>
        <v>NC</v>
      </c>
      <c r="AF22" s="24"/>
      <c r="AG22" s="4" t="str">
        <f t="shared" si="7"/>
        <v>NC</v>
      </c>
      <c r="AH22" s="4" t="str">
        <f t="shared" si="8"/>
        <v>NC</v>
      </c>
      <c r="AI22" s="4" t="str">
        <f t="shared" si="9"/>
        <v>NC</v>
      </c>
      <c r="AJ22" s="4" t="str">
        <f t="shared" si="10"/>
        <v>NC</v>
      </c>
      <c r="AK22" s="4" t="str">
        <f t="shared" si="11"/>
        <v>NC</v>
      </c>
      <c r="AL22" s="4" t="str">
        <f t="shared" si="12"/>
        <v>NC</v>
      </c>
      <c r="AM22" s="4" t="str">
        <f t="shared" si="13"/>
        <v>NC</v>
      </c>
      <c r="AN22" s="24"/>
      <c r="AO22" s="46" t="e">
        <f t="shared" si="14"/>
        <v>#DIV/0!</v>
      </c>
      <c r="AP22" s="24"/>
      <c r="AQ22" s="24"/>
      <c r="AR22" s="69" t="s">
        <v>643</v>
      </c>
      <c r="AS22" s="69" t="s">
        <v>643</v>
      </c>
      <c r="AU22" s="114" t="s">
        <v>1170</v>
      </c>
      <c r="AV22" s="114" t="s">
        <v>940</v>
      </c>
      <c r="AW22" s="114" t="s">
        <v>1398</v>
      </c>
    </row>
    <row r="23" spans="1:49" ht="14.4" customHeight="1" x14ac:dyDescent="0.3">
      <c r="A23" s="123" t="s">
        <v>1678</v>
      </c>
      <c r="B23" s="123" t="s">
        <v>1543</v>
      </c>
      <c r="C23" s="123" t="s">
        <v>1552</v>
      </c>
      <c r="D23" s="123" t="s">
        <v>1577</v>
      </c>
      <c r="E23" s="4" t="s">
        <v>1596</v>
      </c>
      <c r="F23" s="2"/>
      <c r="G23" s="123" t="s">
        <v>1566</v>
      </c>
      <c r="H23" s="242">
        <v>43819</v>
      </c>
      <c r="I23" s="123" t="s">
        <v>1589</v>
      </c>
      <c r="J23" s="73" t="s">
        <v>30</v>
      </c>
      <c r="K23" s="38"/>
      <c r="L23" s="60"/>
      <c r="M23" s="78"/>
      <c r="N23" s="98" t="s">
        <v>1022</v>
      </c>
      <c r="O23" s="16"/>
      <c r="P23" s="56" t="s">
        <v>596</v>
      </c>
      <c r="Q23" s="81"/>
      <c r="R23" s="18" t="s">
        <v>30</v>
      </c>
      <c r="S23" s="18" t="s">
        <v>30</v>
      </c>
      <c r="T23" s="18" t="s">
        <v>30</v>
      </c>
      <c r="U23" s="22" t="s">
        <v>30</v>
      </c>
      <c r="V23" s="18" t="s">
        <v>30</v>
      </c>
      <c r="W23" s="18" t="s">
        <v>30</v>
      </c>
      <c r="X23" s="22" t="s">
        <v>30</v>
      </c>
      <c r="Y23" s="52" t="str">
        <f t="shared" si="0"/>
        <v>NC</v>
      </c>
      <c r="Z23" s="18" t="str">
        <f t="shared" si="1"/>
        <v>NC</v>
      </c>
      <c r="AA23" s="18" t="str">
        <f t="shared" si="2"/>
        <v>NC</v>
      </c>
      <c r="AB23" s="18" t="str">
        <f t="shared" si="3"/>
        <v>NC</v>
      </c>
      <c r="AC23" s="18" t="str">
        <f t="shared" si="4"/>
        <v>NC</v>
      </c>
      <c r="AD23" s="18" t="str">
        <f t="shared" si="5"/>
        <v>NC</v>
      </c>
      <c r="AE23" s="18" t="str">
        <f t="shared" si="6"/>
        <v>NC</v>
      </c>
      <c r="AF23" s="24"/>
      <c r="AG23" s="4" t="str">
        <f t="shared" si="7"/>
        <v>NC</v>
      </c>
      <c r="AH23" s="4" t="str">
        <f t="shared" si="8"/>
        <v>NC</v>
      </c>
      <c r="AI23" s="4" t="str">
        <f t="shared" si="9"/>
        <v>NC</v>
      </c>
      <c r="AJ23" s="4" t="str">
        <f t="shared" si="10"/>
        <v>NC</v>
      </c>
      <c r="AK23" s="4" t="str">
        <f t="shared" si="11"/>
        <v>NC</v>
      </c>
      <c r="AL23" s="4" t="str">
        <f t="shared" si="12"/>
        <v>NC</v>
      </c>
      <c r="AM23" s="4" t="str">
        <f t="shared" si="13"/>
        <v>NC</v>
      </c>
      <c r="AN23" s="24"/>
      <c r="AO23" s="46" t="e">
        <f t="shared" si="14"/>
        <v>#DIV/0!</v>
      </c>
      <c r="AP23" s="24"/>
      <c r="AQ23" s="24"/>
      <c r="AR23" s="69" t="s">
        <v>643</v>
      </c>
      <c r="AS23" s="69" t="s">
        <v>643</v>
      </c>
      <c r="AT23" s="24"/>
      <c r="AU23" s="115" t="s">
        <v>1170</v>
      </c>
      <c r="AV23" s="114" t="s">
        <v>940</v>
      </c>
      <c r="AW23" s="114" t="s">
        <v>1398</v>
      </c>
    </row>
    <row r="24" spans="1:49" s="24" customFormat="1" ht="14.4" customHeight="1" x14ac:dyDescent="0.3">
      <c r="A24" s="123" t="s">
        <v>1679</v>
      </c>
      <c r="B24" s="123" t="s">
        <v>1541</v>
      </c>
      <c r="C24" s="123" t="s">
        <v>1208</v>
      </c>
      <c r="D24" s="123" t="s">
        <v>1576</v>
      </c>
      <c r="E24" s="4" t="s">
        <v>1596</v>
      </c>
      <c r="F24" s="3"/>
      <c r="G24" s="123" t="s">
        <v>1558</v>
      </c>
      <c r="H24" s="242">
        <v>42819</v>
      </c>
      <c r="I24" s="123" t="s">
        <v>1582</v>
      </c>
      <c r="J24" s="73" t="s">
        <v>30</v>
      </c>
      <c r="K24" s="12"/>
      <c r="L24" s="61"/>
      <c r="M24" s="78"/>
      <c r="N24" s="87"/>
      <c r="O24" s="47"/>
      <c r="P24" s="56" t="s">
        <v>596</v>
      </c>
      <c r="Q24" s="80"/>
      <c r="R24" s="18" t="s">
        <v>30</v>
      </c>
      <c r="S24" s="18" t="s">
        <v>30</v>
      </c>
      <c r="T24" s="18" t="s">
        <v>30</v>
      </c>
      <c r="U24" s="22" t="s">
        <v>30</v>
      </c>
      <c r="V24" s="18" t="s">
        <v>30</v>
      </c>
      <c r="W24" s="18" t="s">
        <v>30</v>
      </c>
      <c r="X24" s="22" t="s">
        <v>30</v>
      </c>
      <c r="Y24" s="52" t="str">
        <f t="shared" si="0"/>
        <v>NC</v>
      </c>
      <c r="Z24" s="18" t="str">
        <f t="shared" si="1"/>
        <v>NC</v>
      </c>
      <c r="AA24" s="18" t="str">
        <f t="shared" si="2"/>
        <v>NC</v>
      </c>
      <c r="AB24" s="18" t="str">
        <f t="shared" si="3"/>
        <v>NC</v>
      </c>
      <c r="AC24" s="18" t="str">
        <f t="shared" si="4"/>
        <v>NC</v>
      </c>
      <c r="AD24" s="18" t="str">
        <f t="shared" si="5"/>
        <v>NC</v>
      </c>
      <c r="AE24" s="18" t="str">
        <f t="shared" si="6"/>
        <v>NC</v>
      </c>
      <c r="AF24"/>
      <c r="AG24" s="4" t="str">
        <f t="shared" si="7"/>
        <v>NC</v>
      </c>
      <c r="AH24" s="4" t="str">
        <f t="shared" si="8"/>
        <v>NC</v>
      </c>
      <c r="AI24" s="4" t="str">
        <f t="shared" si="9"/>
        <v>NC</v>
      </c>
      <c r="AJ24" s="4" t="str">
        <f t="shared" si="10"/>
        <v>NC</v>
      </c>
      <c r="AK24" s="4" t="str">
        <f t="shared" si="11"/>
        <v>NC</v>
      </c>
      <c r="AL24" s="4" t="str">
        <f t="shared" si="12"/>
        <v>NC</v>
      </c>
      <c r="AM24" s="4" t="str">
        <f t="shared" si="13"/>
        <v>NC</v>
      </c>
      <c r="AO24" s="46" t="e">
        <f t="shared" si="14"/>
        <v>#DIV/0!</v>
      </c>
      <c r="AP24" s="15"/>
      <c r="AQ24"/>
      <c r="AR24" s="69" t="s">
        <v>643</v>
      </c>
      <c r="AS24" s="69" t="s">
        <v>643</v>
      </c>
      <c r="AT24"/>
      <c r="AU24" s="114" t="s">
        <v>1161</v>
      </c>
      <c r="AV24" s="114" t="s">
        <v>940</v>
      </c>
      <c r="AW24" s="114" t="s">
        <v>942</v>
      </c>
    </row>
    <row r="25" spans="1:49" s="24" customFormat="1" ht="14.4" customHeight="1" x14ac:dyDescent="0.3">
      <c r="A25" s="123" t="s">
        <v>1680</v>
      </c>
      <c r="B25" s="123" t="s">
        <v>1548</v>
      </c>
      <c r="C25" s="123" t="s">
        <v>1208</v>
      </c>
      <c r="D25" s="123" t="s">
        <v>1577</v>
      </c>
      <c r="E25" s="4" t="s">
        <v>1596</v>
      </c>
      <c r="F25" s="3"/>
      <c r="G25" s="123" t="s">
        <v>1573</v>
      </c>
      <c r="H25" s="266"/>
      <c r="I25" s="123" t="s">
        <v>1588</v>
      </c>
      <c r="J25" s="73" t="s">
        <v>30</v>
      </c>
      <c r="K25" s="12"/>
      <c r="L25" s="61"/>
      <c r="M25" s="78"/>
      <c r="N25" s="87">
        <v>43983</v>
      </c>
      <c r="O25" s="47"/>
      <c r="P25" s="56" t="s">
        <v>596</v>
      </c>
      <c r="Q25" s="80"/>
      <c r="R25" s="18" t="s">
        <v>30</v>
      </c>
      <c r="S25" s="18" t="s">
        <v>30</v>
      </c>
      <c r="T25" s="18" t="s">
        <v>30</v>
      </c>
      <c r="U25" s="33">
        <v>42005</v>
      </c>
      <c r="V25" s="18" t="s">
        <v>30</v>
      </c>
      <c r="W25" s="18" t="s">
        <v>30</v>
      </c>
      <c r="X25" s="22" t="s">
        <v>30</v>
      </c>
      <c r="Y25" s="52" t="str">
        <f t="shared" si="0"/>
        <v>NC</v>
      </c>
      <c r="Z25" s="18" t="str">
        <f t="shared" si="1"/>
        <v>NC</v>
      </c>
      <c r="AA25" s="18" t="str">
        <f t="shared" si="2"/>
        <v>NC</v>
      </c>
      <c r="AB25" s="18">
        <f t="shared" si="3"/>
        <v>45655</v>
      </c>
      <c r="AC25" s="18" t="str">
        <f t="shared" si="4"/>
        <v>NC</v>
      </c>
      <c r="AD25" s="18" t="str">
        <f t="shared" si="5"/>
        <v>NC</v>
      </c>
      <c r="AE25" s="18" t="str">
        <f t="shared" si="6"/>
        <v>NC</v>
      </c>
      <c r="AF25"/>
      <c r="AG25" s="4" t="str">
        <f t="shared" si="7"/>
        <v>NC</v>
      </c>
      <c r="AH25" s="4" t="str">
        <f t="shared" si="8"/>
        <v>NC</v>
      </c>
      <c r="AI25" s="4" t="str">
        <f t="shared" si="9"/>
        <v>NC</v>
      </c>
      <c r="AJ25" s="4">
        <f t="shared" ca="1" si="10"/>
        <v>68</v>
      </c>
      <c r="AK25" s="4" t="str">
        <f t="shared" si="11"/>
        <v>NC</v>
      </c>
      <c r="AL25" s="4" t="str">
        <f t="shared" si="12"/>
        <v>NC</v>
      </c>
      <c r="AM25" s="4" t="str">
        <f t="shared" si="13"/>
        <v>NC</v>
      </c>
      <c r="AO25" s="46" t="e">
        <f t="shared" si="14"/>
        <v>#DIV/0!</v>
      </c>
      <c r="AP25" s="15"/>
      <c r="AQ25"/>
      <c r="AR25" s="69" t="s">
        <v>643</v>
      </c>
      <c r="AS25" s="69" t="s">
        <v>643</v>
      </c>
      <c r="AT25"/>
      <c r="AU25" s="114" t="s">
        <v>1164</v>
      </c>
      <c r="AV25" s="114" t="s">
        <v>943</v>
      </c>
      <c r="AW25" s="114" t="s">
        <v>1178</v>
      </c>
    </row>
    <row r="26" spans="1:49" s="24" customFormat="1" ht="14.4" customHeight="1" x14ac:dyDescent="0.3">
      <c r="A26" s="123" t="s">
        <v>1681</v>
      </c>
      <c r="B26" s="123" t="s">
        <v>1526</v>
      </c>
      <c r="C26" s="123" t="s">
        <v>1555</v>
      </c>
      <c r="D26" s="123" t="s">
        <v>1577</v>
      </c>
      <c r="E26" s="4" t="s">
        <v>1596</v>
      </c>
      <c r="F26" s="3"/>
      <c r="G26" s="123" t="s">
        <v>1574</v>
      </c>
      <c r="H26" s="266"/>
      <c r="I26" s="123" t="s">
        <v>1588</v>
      </c>
      <c r="J26" s="73" t="s">
        <v>30</v>
      </c>
      <c r="K26" s="12"/>
      <c r="L26" s="61"/>
      <c r="M26" s="78">
        <v>43800</v>
      </c>
      <c r="N26" s="87">
        <v>43983</v>
      </c>
      <c r="O26" s="47"/>
      <c r="P26" s="56" t="s">
        <v>596</v>
      </c>
      <c r="Q26" s="80"/>
      <c r="R26" s="18" t="s">
        <v>30</v>
      </c>
      <c r="S26" s="18" t="s">
        <v>30</v>
      </c>
      <c r="T26" s="18" t="s">
        <v>30</v>
      </c>
      <c r="U26" s="33">
        <v>41640</v>
      </c>
      <c r="V26" s="18" t="s">
        <v>30</v>
      </c>
      <c r="W26" s="18" t="s">
        <v>30</v>
      </c>
      <c r="X26" s="22" t="s">
        <v>30</v>
      </c>
      <c r="Y26" s="52" t="str">
        <f t="shared" si="0"/>
        <v>NC</v>
      </c>
      <c r="Z26" s="18" t="str">
        <f t="shared" si="1"/>
        <v>NC</v>
      </c>
      <c r="AA26" s="18" t="str">
        <f t="shared" si="2"/>
        <v>NC</v>
      </c>
      <c r="AB26" s="18">
        <f t="shared" si="3"/>
        <v>45290</v>
      </c>
      <c r="AC26" s="18" t="str">
        <f t="shared" si="4"/>
        <v>NC</v>
      </c>
      <c r="AD26" s="18" t="str">
        <f t="shared" si="5"/>
        <v>NC</v>
      </c>
      <c r="AE26" s="18" t="str">
        <f t="shared" si="6"/>
        <v>NC</v>
      </c>
      <c r="AF26"/>
      <c r="AG26" s="4" t="str">
        <f t="shared" si="7"/>
        <v>NC</v>
      </c>
      <c r="AH26" s="4" t="str">
        <f t="shared" si="8"/>
        <v>NC</v>
      </c>
      <c r="AI26" s="4" t="str">
        <f t="shared" si="9"/>
        <v>NC</v>
      </c>
      <c r="AJ26" s="4">
        <f t="shared" ca="1" si="10"/>
        <v>-297</v>
      </c>
      <c r="AK26" s="4" t="str">
        <f t="shared" si="11"/>
        <v>NC</v>
      </c>
      <c r="AL26" s="4" t="str">
        <f t="shared" si="12"/>
        <v>NC</v>
      </c>
      <c r="AM26" s="4" t="str">
        <f t="shared" si="13"/>
        <v>NC</v>
      </c>
      <c r="AO26" s="46" t="e">
        <f t="shared" si="14"/>
        <v>#DIV/0!</v>
      </c>
      <c r="AP26" s="15"/>
      <c r="AQ26"/>
      <c r="AR26" s="69" t="s">
        <v>643</v>
      </c>
      <c r="AS26" s="69" t="s">
        <v>643</v>
      </c>
      <c r="AT26"/>
      <c r="AU26" s="114" t="s">
        <v>1164</v>
      </c>
      <c r="AV26" s="114" t="s">
        <v>943</v>
      </c>
      <c r="AW26" s="114" t="s">
        <v>1179</v>
      </c>
    </row>
    <row r="27" spans="1:49" s="24" customFormat="1" ht="14.4" customHeight="1" x14ac:dyDescent="0.3">
      <c r="A27" s="16"/>
      <c r="B27" s="2"/>
      <c r="C27" s="2"/>
      <c r="D27" s="16"/>
      <c r="E27" s="16"/>
      <c r="F27" s="2"/>
      <c r="G27" s="60"/>
      <c r="H27" s="60"/>
      <c r="I27" s="60"/>
      <c r="J27" s="73" t="s">
        <v>30</v>
      </c>
      <c r="K27" s="38"/>
      <c r="L27" s="60"/>
      <c r="M27" s="83"/>
      <c r="N27" s="55" t="s">
        <v>1022</v>
      </c>
      <c r="O27" s="16"/>
      <c r="P27" s="84" t="s">
        <v>596</v>
      </c>
      <c r="Q27" s="16"/>
      <c r="R27" s="18" t="s">
        <v>30</v>
      </c>
      <c r="S27" s="18" t="s">
        <v>30</v>
      </c>
      <c r="T27" s="18" t="s">
        <v>30</v>
      </c>
      <c r="U27" s="33">
        <v>43101</v>
      </c>
      <c r="V27" s="18" t="s">
        <v>30</v>
      </c>
      <c r="W27" s="18" t="s">
        <v>30</v>
      </c>
      <c r="X27" s="22" t="s">
        <v>30</v>
      </c>
      <c r="Y27" s="52" t="str">
        <f t="shared" si="0"/>
        <v>NC</v>
      </c>
      <c r="Z27" s="18" t="str">
        <f t="shared" si="1"/>
        <v>NC</v>
      </c>
      <c r="AA27" s="18" t="str">
        <f t="shared" si="2"/>
        <v>NC</v>
      </c>
      <c r="AB27" s="18">
        <f t="shared" si="3"/>
        <v>46751</v>
      </c>
      <c r="AC27" s="18" t="str">
        <f t="shared" si="4"/>
        <v>NC</v>
      </c>
      <c r="AD27" s="18" t="str">
        <f t="shared" si="5"/>
        <v>NC</v>
      </c>
      <c r="AE27" s="18" t="str">
        <f t="shared" si="6"/>
        <v>NC</v>
      </c>
      <c r="AG27" s="4" t="str">
        <f t="shared" si="7"/>
        <v>NC</v>
      </c>
      <c r="AH27" s="4" t="str">
        <f t="shared" si="8"/>
        <v>NC</v>
      </c>
      <c r="AI27" s="4" t="str">
        <f t="shared" si="9"/>
        <v>NC</v>
      </c>
      <c r="AJ27" s="4">
        <f t="shared" ca="1" si="10"/>
        <v>1164</v>
      </c>
      <c r="AK27" s="4" t="str">
        <f t="shared" si="11"/>
        <v>NC</v>
      </c>
      <c r="AL27" s="4" t="str">
        <f t="shared" si="12"/>
        <v>NC</v>
      </c>
      <c r="AM27" s="4" t="str">
        <f t="shared" si="13"/>
        <v>NC</v>
      </c>
      <c r="AO27" s="46" t="e">
        <f t="shared" si="14"/>
        <v>#DIV/0!</v>
      </c>
      <c r="AR27" s="69" t="s">
        <v>643</v>
      </c>
      <c r="AS27" s="69" t="s">
        <v>643</v>
      </c>
      <c r="AU27" s="115" t="s">
        <v>1164</v>
      </c>
      <c r="AV27" s="114" t="s">
        <v>943</v>
      </c>
      <c r="AW27" s="114" t="s">
        <v>1180</v>
      </c>
    </row>
    <row r="28" spans="1:49" ht="14.4" customHeight="1" x14ac:dyDescent="0.3">
      <c r="A28" s="123" t="s">
        <v>1682</v>
      </c>
      <c r="B28" s="123" t="s">
        <v>1598</v>
      </c>
      <c r="C28" s="123" t="s">
        <v>1607</v>
      </c>
      <c r="D28" s="123" t="s">
        <v>1577</v>
      </c>
      <c r="E28" s="16" t="s">
        <v>1525</v>
      </c>
      <c r="F28" s="2"/>
      <c r="G28" s="123" t="s">
        <v>1613</v>
      </c>
      <c r="H28" s="242">
        <v>44348</v>
      </c>
      <c r="I28" s="123" t="s">
        <v>1624</v>
      </c>
      <c r="J28" s="73" t="s">
        <v>30</v>
      </c>
      <c r="K28" s="38"/>
      <c r="L28" s="60"/>
      <c r="M28" s="83"/>
      <c r="N28" s="104">
        <v>43952</v>
      </c>
      <c r="O28" s="16"/>
      <c r="P28" s="84" t="s">
        <v>596</v>
      </c>
      <c r="Q28" s="16"/>
      <c r="R28" s="18" t="s">
        <v>30</v>
      </c>
      <c r="S28" s="18" t="s">
        <v>30</v>
      </c>
      <c r="T28" s="18" t="s">
        <v>30</v>
      </c>
      <c r="U28" s="33">
        <v>43101</v>
      </c>
      <c r="V28" s="18" t="s">
        <v>30</v>
      </c>
      <c r="W28" s="18" t="s">
        <v>30</v>
      </c>
      <c r="X28" s="22" t="s">
        <v>30</v>
      </c>
      <c r="Y28" s="52" t="str">
        <f t="shared" si="0"/>
        <v>NC</v>
      </c>
      <c r="Z28" s="18" t="str">
        <f t="shared" si="1"/>
        <v>NC</v>
      </c>
      <c r="AA28" s="18" t="str">
        <f t="shared" si="2"/>
        <v>NC</v>
      </c>
      <c r="AB28" s="18">
        <f t="shared" si="3"/>
        <v>46751</v>
      </c>
      <c r="AC28" s="18" t="str">
        <f t="shared" si="4"/>
        <v>NC</v>
      </c>
      <c r="AD28" s="18" t="str">
        <f t="shared" si="5"/>
        <v>NC</v>
      </c>
      <c r="AE28" s="18" t="str">
        <f t="shared" si="6"/>
        <v>NC</v>
      </c>
      <c r="AF28" s="24"/>
      <c r="AG28" s="4" t="str">
        <f t="shared" si="7"/>
        <v>NC</v>
      </c>
      <c r="AH28" s="4" t="str">
        <f t="shared" si="8"/>
        <v>NC</v>
      </c>
      <c r="AI28" s="4" t="str">
        <f t="shared" si="9"/>
        <v>NC</v>
      </c>
      <c r="AJ28" s="4">
        <f t="shared" ca="1" si="10"/>
        <v>1164</v>
      </c>
      <c r="AK28" s="4" t="str">
        <f t="shared" si="11"/>
        <v>NC</v>
      </c>
      <c r="AL28" s="4" t="str">
        <f t="shared" si="12"/>
        <v>NC</v>
      </c>
      <c r="AM28" s="4" t="str">
        <f t="shared" si="13"/>
        <v>NC</v>
      </c>
      <c r="AN28" s="24"/>
      <c r="AO28" s="46" t="e">
        <f t="shared" si="14"/>
        <v>#DIV/0!</v>
      </c>
      <c r="AP28" s="24"/>
      <c r="AQ28" s="24"/>
      <c r="AR28" s="69" t="s">
        <v>643</v>
      </c>
      <c r="AS28" s="69" t="s">
        <v>643</v>
      </c>
      <c r="AT28" s="24"/>
      <c r="AU28" s="115" t="s">
        <v>1164</v>
      </c>
      <c r="AV28" s="114" t="s">
        <v>943</v>
      </c>
      <c r="AW28" s="114" t="s">
        <v>1180</v>
      </c>
    </row>
    <row r="29" spans="1:49" s="24" customFormat="1" ht="14.4" customHeight="1" x14ac:dyDescent="0.3">
      <c r="A29" s="123" t="s">
        <v>1683</v>
      </c>
      <c r="B29" s="123" t="s">
        <v>1598</v>
      </c>
      <c r="C29" s="123" t="s">
        <v>1607</v>
      </c>
      <c r="D29" s="123" t="s">
        <v>1623</v>
      </c>
      <c r="E29" s="16" t="s">
        <v>1525</v>
      </c>
      <c r="F29" s="2"/>
      <c r="G29" s="123" t="s">
        <v>1614</v>
      </c>
      <c r="H29" s="242">
        <v>44348</v>
      </c>
      <c r="I29" s="123" t="s">
        <v>1625</v>
      </c>
      <c r="J29" s="60" t="s">
        <v>30</v>
      </c>
      <c r="K29" s="38"/>
      <c r="L29" s="60"/>
      <c r="M29" s="83"/>
      <c r="N29" s="104">
        <v>43952</v>
      </c>
      <c r="O29" s="16"/>
      <c r="P29" s="84" t="s">
        <v>596</v>
      </c>
      <c r="Q29" s="16"/>
      <c r="R29" s="18" t="s">
        <v>30</v>
      </c>
      <c r="S29" s="18" t="s">
        <v>30</v>
      </c>
      <c r="T29" s="18" t="s">
        <v>30</v>
      </c>
      <c r="U29" s="33">
        <v>43466</v>
      </c>
      <c r="V29" s="18" t="s">
        <v>30</v>
      </c>
      <c r="W29" s="18" t="s">
        <v>30</v>
      </c>
      <c r="X29" s="22" t="s">
        <v>30</v>
      </c>
      <c r="Y29" s="52" t="str">
        <f t="shared" si="0"/>
        <v>NC</v>
      </c>
      <c r="Z29" s="18" t="str">
        <f t="shared" si="1"/>
        <v>NC</v>
      </c>
      <c r="AA29" s="18" t="str">
        <f t="shared" si="2"/>
        <v>NC</v>
      </c>
      <c r="AB29" s="18">
        <f t="shared" si="3"/>
        <v>47116</v>
      </c>
      <c r="AC29" s="18" t="str">
        <f t="shared" si="4"/>
        <v>NC</v>
      </c>
      <c r="AD29" s="18" t="str">
        <f t="shared" si="5"/>
        <v>NC</v>
      </c>
      <c r="AE29" s="18" t="str">
        <f t="shared" si="6"/>
        <v>NC</v>
      </c>
      <c r="AG29" s="4" t="str">
        <f t="shared" si="7"/>
        <v>NC</v>
      </c>
      <c r="AH29" s="4" t="str">
        <f t="shared" si="8"/>
        <v>NC</v>
      </c>
      <c r="AI29" s="4" t="str">
        <f t="shared" si="9"/>
        <v>NC</v>
      </c>
      <c r="AJ29" s="4">
        <f t="shared" ca="1" si="10"/>
        <v>1529</v>
      </c>
      <c r="AK29" s="4" t="str">
        <f t="shared" si="11"/>
        <v>NC</v>
      </c>
      <c r="AL29" s="4" t="str">
        <f t="shared" si="12"/>
        <v>NC</v>
      </c>
      <c r="AM29" s="4" t="str">
        <f t="shared" si="13"/>
        <v>NC</v>
      </c>
      <c r="AO29" s="46" t="e">
        <f t="shared" si="14"/>
        <v>#DIV/0!</v>
      </c>
      <c r="AR29" s="69" t="s">
        <v>643</v>
      </c>
      <c r="AS29" s="69" t="s">
        <v>643</v>
      </c>
      <c r="AU29" s="115" t="s">
        <v>1165</v>
      </c>
      <c r="AV29" s="114" t="s">
        <v>943</v>
      </c>
      <c r="AW29" s="114" t="s">
        <v>1181</v>
      </c>
    </row>
    <row r="30" spans="1:49" s="53" customFormat="1" ht="14.4" customHeight="1" x14ac:dyDescent="0.3">
      <c r="A30" s="123" t="s">
        <v>1684</v>
      </c>
      <c r="B30" s="123" t="s">
        <v>1599</v>
      </c>
      <c r="C30" s="123" t="s">
        <v>1608</v>
      </c>
      <c r="D30" s="123" t="s">
        <v>1577</v>
      </c>
      <c r="E30" s="16" t="s">
        <v>1525</v>
      </c>
      <c r="F30" s="3"/>
      <c r="G30" s="123" t="s">
        <v>1615</v>
      </c>
      <c r="H30" s="242">
        <v>44498</v>
      </c>
      <c r="I30" s="123" t="s">
        <v>1626</v>
      </c>
      <c r="J30" s="73" t="s">
        <v>30</v>
      </c>
      <c r="K30" s="12"/>
      <c r="L30" s="61"/>
      <c r="M30" s="78"/>
      <c r="N30" s="87"/>
      <c r="O30" s="47"/>
      <c r="P30" s="56" t="s">
        <v>596</v>
      </c>
      <c r="Q30" s="80"/>
      <c r="R30" s="18" t="s">
        <v>30</v>
      </c>
      <c r="S30" s="18" t="s">
        <v>30</v>
      </c>
      <c r="T30" s="18" t="s">
        <v>30</v>
      </c>
      <c r="U30" s="33">
        <v>41640</v>
      </c>
      <c r="V30" s="18" t="s">
        <v>30</v>
      </c>
      <c r="W30" s="18" t="s">
        <v>30</v>
      </c>
      <c r="X30" s="22" t="s">
        <v>30</v>
      </c>
      <c r="Y30" s="52" t="str">
        <f t="shared" si="0"/>
        <v>NC</v>
      </c>
      <c r="Z30" s="18" t="str">
        <f t="shared" si="1"/>
        <v>NC</v>
      </c>
      <c r="AA30" s="18" t="str">
        <f t="shared" si="2"/>
        <v>NC</v>
      </c>
      <c r="AB30" s="18">
        <f t="shared" si="3"/>
        <v>45290</v>
      </c>
      <c r="AC30" s="18" t="str">
        <f t="shared" si="4"/>
        <v>NC</v>
      </c>
      <c r="AD30" s="18" t="str">
        <f t="shared" si="5"/>
        <v>NC</v>
      </c>
      <c r="AE30" s="18" t="str">
        <f t="shared" si="6"/>
        <v>NC</v>
      </c>
      <c r="AF30"/>
      <c r="AG30" s="4" t="str">
        <f t="shared" si="7"/>
        <v>NC</v>
      </c>
      <c r="AH30" s="4" t="str">
        <f t="shared" si="8"/>
        <v>NC</v>
      </c>
      <c r="AI30" s="4" t="str">
        <f t="shared" si="9"/>
        <v>NC</v>
      </c>
      <c r="AJ30" s="4">
        <f t="shared" ca="1" si="10"/>
        <v>-297</v>
      </c>
      <c r="AK30" s="4" t="str">
        <f t="shared" si="11"/>
        <v>NC</v>
      </c>
      <c r="AL30" s="4" t="str">
        <f t="shared" si="12"/>
        <v>NC</v>
      </c>
      <c r="AM30" s="4" t="str">
        <f t="shared" si="13"/>
        <v>NC</v>
      </c>
      <c r="AN30" s="24"/>
      <c r="AO30" s="46" t="e">
        <f t="shared" si="14"/>
        <v>#DIV/0!</v>
      </c>
      <c r="AP30" s="15"/>
      <c r="AQ30"/>
      <c r="AR30" s="69" t="s">
        <v>643</v>
      </c>
      <c r="AS30" s="69" t="s">
        <v>643</v>
      </c>
      <c r="AT30"/>
      <c r="AU30" s="114" t="s">
        <v>1166</v>
      </c>
      <c r="AV30" s="114" t="s">
        <v>943</v>
      </c>
      <c r="AW30" s="114" t="s">
        <v>944</v>
      </c>
    </row>
    <row r="31" spans="1:49" s="24" customFormat="1" ht="14.4" customHeight="1" x14ac:dyDescent="0.3">
      <c r="A31" s="123" t="s">
        <v>1685</v>
      </c>
      <c r="B31" s="123" t="s">
        <v>1600</v>
      </c>
      <c r="C31" s="123" t="s">
        <v>1609</v>
      </c>
      <c r="D31" s="123" t="s">
        <v>1577</v>
      </c>
      <c r="E31" s="16" t="s">
        <v>1525</v>
      </c>
      <c r="F31" s="2"/>
      <c r="G31" s="123" t="s">
        <v>1616</v>
      </c>
      <c r="H31" s="242">
        <v>42313</v>
      </c>
      <c r="I31" s="123" t="s">
        <v>1588</v>
      </c>
      <c r="J31" s="73" t="s">
        <v>30</v>
      </c>
      <c r="K31" s="38"/>
      <c r="L31" s="60"/>
      <c r="M31" s="83"/>
      <c r="N31" s="104">
        <v>43983</v>
      </c>
      <c r="O31" s="16"/>
      <c r="P31" s="84" t="s">
        <v>596</v>
      </c>
      <c r="Q31" s="16"/>
      <c r="R31" s="18" t="s">
        <v>30</v>
      </c>
      <c r="S31" s="18" t="s">
        <v>30</v>
      </c>
      <c r="T31" s="18" t="s">
        <v>30</v>
      </c>
      <c r="U31" s="22" t="s">
        <v>30</v>
      </c>
      <c r="V31" s="18" t="s">
        <v>30</v>
      </c>
      <c r="W31" s="18" t="s">
        <v>30</v>
      </c>
      <c r="X31" s="22" t="s">
        <v>30</v>
      </c>
      <c r="Y31" s="52" t="str">
        <f t="shared" si="0"/>
        <v>NC</v>
      </c>
      <c r="Z31" s="18" t="str">
        <f t="shared" si="1"/>
        <v>NC</v>
      </c>
      <c r="AA31" s="18" t="str">
        <f t="shared" si="2"/>
        <v>NC</v>
      </c>
      <c r="AB31" s="18" t="str">
        <f t="shared" si="3"/>
        <v>NC</v>
      </c>
      <c r="AC31" s="18" t="str">
        <f t="shared" si="4"/>
        <v>NC</v>
      </c>
      <c r="AD31" s="18" t="str">
        <f t="shared" si="5"/>
        <v>NC</v>
      </c>
      <c r="AE31" s="18" t="str">
        <f t="shared" si="6"/>
        <v>NC</v>
      </c>
      <c r="AG31" s="4" t="str">
        <f t="shared" si="7"/>
        <v>NC</v>
      </c>
      <c r="AH31" s="4" t="str">
        <f t="shared" si="8"/>
        <v>NC</v>
      </c>
      <c r="AI31" s="4" t="str">
        <f t="shared" si="9"/>
        <v>NC</v>
      </c>
      <c r="AJ31" s="4" t="str">
        <f t="shared" si="10"/>
        <v>NC</v>
      </c>
      <c r="AK31" s="4" t="str">
        <f t="shared" si="11"/>
        <v>NC</v>
      </c>
      <c r="AL31" s="4" t="str">
        <f t="shared" si="12"/>
        <v>NC</v>
      </c>
      <c r="AM31" s="4" t="str">
        <f t="shared" si="13"/>
        <v>NC</v>
      </c>
      <c r="AO31" s="46" t="e">
        <f t="shared" si="14"/>
        <v>#DIV/0!</v>
      </c>
      <c r="AR31" s="69" t="s">
        <v>643</v>
      </c>
      <c r="AS31" s="69" t="s">
        <v>643</v>
      </c>
      <c r="AU31" s="115" t="s">
        <v>1167</v>
      </c>
      <c r="AV31" s="114" t="s">
        <v>1396</v>
      </c>
      <c r="AW31" s="114" t="s">
        <v>1182</v>
      </c>
    </row>
    <row r="32" spans="1:49" s="24" customFormat="1" ht="14.4" customHeight="1" x14ac:dyDescent="0.3">
      <c r="A32" s="123" t="s">
        <v>1686</v>
      </c>
      <c r="B32" s="123" t="s">
        <v>1601</v>
      </c>
      <c r="C32" s="123" t="s">
        <v>1208</v>
      </c>
      <c r="D32" s="123" t="s">
        <v>1577</v>
      </c>
      <c r="E32" s="16" t="s">
        <v>1525</v>
      </c>
      <c r="F32" s="2"/>
      <c r="G32" s="265" t="s">
        <v>1617</v>
      </c>
      <c r="H32" s="242">
        <v>41863</v>
      </c>
      <c r="I32" s="123" t="s">
        <v>1624</v>
      </c>
      <c r="J32" s="60" t="s">
        <v>30</v>
      </c>
      <c r="K32" s="38"/>
      <c r="L32" s="60"/>
      <c r="M32" s="83"/>
      <c r="N32" s="55" t="s">
        <v>1022</v>
      </c>
      <c r="O32" s="16"/>
      <c r="P32" s="84" t="s">
        <v>596</v>
      </c>
      <c r="Q32" s="16"/>
      <c r="R32" s="18" t="s">
        <v>30</v>
      </c>
      <c r="S32" s="18" t="s">
        <v>30</v>
      </c>
      <c r="T32" s="18" t="s">
        <v>30</v>
      </c>
      <c r="U32" s="22" t="s">
        <v>30</v>
      </c>
      <c r="V32" s="18" t="s">
        <v>30</v>
      </c>
      <c r="W32" s="18" t="s">
        <v>30</v>
      </c>
      <c r="X32" s="22" t="s">
        <v>30</v>
      </c>
      <c r="Y32" s="52" t="str">
        <f t="shared" si="0"/>
        <v>NC</v>
      </c>
      <c r="Z32" s="18" t="str">
        <f t="shared" si="1"/>
        <v>NC</v>
      </c>
      <c r="AA32" s="18" t="str">
        <f t="shared" si="2"/>
        <v>NC</v>
      </c>
      <c r="AB32" s="18" t="str">
        <f t="shared" si="3"/>
        <v>NC</v>
      </c>
      <c r="AC32" s="18" t="str">
        <f t="shared" si="4"/>
        <v>NC</v>
      </c>
      <c r="AD32" s="18" t="str">
        <f t="shared" si="5"/>
        <v>NC</v>
      </c>
      <c r="AE32" s="18" t="str">
        <f t="shared" si="6"/>
        <v>NC</v>
      </c>
      <c r="AG32" s="16" t="str">
        <f t="shared" si="7"/>
        <v>NC</v>
      </c>
      <c r="AH32" s="16" t="str">
        <f t="shared" si="8"/>
        <v>NC</v>
      </c>
      <c r="AI32" s="16" t="str">
        <f t="shared" si="9"/>
        <v>NC</v>
      </c>
      <c r="AJ32" s="16" t="str">
        <f t="shared" si="10"/>
        <v>NC</v>
      </c>
      <c r="AK32" s="16" t="str">
        <f t="shared" si="11"/>
        <v>NC</v>
      </c>
      <c r="AL32" s="16" t="str">
        <f t="shared" si="12"/>
        <v>NC</v>
      </c>
      <c r="AM32" s="16" t="str">
        <f t="shared" si="13"/>
        <v>NC</v>
      </c>
      <c r="AO32" s="58" t="e">
        <f t="shared" si="14"/>
        <v>#DIV/0!</v>
      </c>
      <c r="AR32" s="69" t="s">
        <v>643</v>
      </c>
      <c r="AS32" s="69" t="s">
        <v>643</v>
      </c>
      <c r="AU32" s="115" t="s">
        <v>1168</v>
      </c>
      <c r="AV32" s="115"/>
      <c r="AW32" s="115"/>
    </row>
    <row r="33" spans="1:49" ht="14.4" customHeight="1" x14ac:dyDescent="0.3">
      <c r="A33" s="123" t="s">
        <v>1687</v>
      </c>
      <c r="B33" s="123" t="s">
        <v>1602</v>
      </c>
      <c r="C33" s="123" t="s">
        <v>1550</v>
      </c>
      <c r="D33" s="123" t="s">
        <v>1577</v>
      </c>
      <c r="E33" s="16" t="s">
        <v>1525</v>
      </c>
      <c r="F33" s="3"/>
      <c r="G33" s="123" t="s">
        <v>1618</v>
      </c>
      <c r="H33" s="266"/>
      <c r="I33" s="123" t="s">
        <v>1627</v>
      </c>
      <c r="J33" s="73" t="s">
        <v>30</v>
      </c>
      <c r="K33" s="12"/>
      <c r="L33" s="61"/>
      <c r="M33" s="78">
        <v>45139</v>
      </c>
      <c r="N33" s="87">
        <v>43952</v>
      </c>
      <c r="O33" s="47"/>
      <c r="P33" s="56" t="s">
        <v>596</v>
      </c>
      <c r="Q33" s="80">
        <v>293</v>
      </c>
      <c r="R33" s="18" t="s">
        <v>30</v>
      </c>
      <c r="S33" s="20">
        <v>43818</v>
      </c>
      <c r="T33" s="20">
        <v>43881</v>
      </c>
      <c r="U33" s="21" t="s">
        <v>30</v>
      </c>
      <c r="V33" s="18" t="s">
        <v>30</v>
      </c>
      <c r="W33" s="18" t="s">
        <v>30</v>
      </c>
      <c r="X33" s="22" t="s">
        <v>30</v>
      </c>
      <c r="Y33" s="52" t="str">
        <f t="shared" si="0"/>
        <v>NC</v>
      </c>
      <c r="Z33" s="18">
        <f t="shared" si="1"/>
        <v>43999</v>
      </c>
      <c r="AA33" s="18">
        <f t="shared" si="2"/>
        <v>44246</v>
      </c>
      <c r="AB33" s="18" t="str">
        <f t="shared" si="3"/>
        <v>NC</v>
      </c>
      <c r="AC33" s="18" t="str">
        <f t="shared" si="4"/>
        <v>NC</v>
      </c>
      <c r="AD33" s="18" t="str">
        <f t="shared" si="5"/>
        <v>NC</v>
      </c>
      <c r="AE33" s="18" t="str">
        <f t="shared" si="6"/>
        <v>NC</v>
      </c>
      <c r="AG33" s="4" t="str">
        <f t="shared" si="7"/>
        <v>NC</v>
      </c>
      <c r="AH33" s="4">
        <f t="shared" ca="1" si="8"/>
        <v>-1588</v>
      </c>
      <c r="AI33" s="4">
        <f t="shared" ca="1" si="9"/>
        <v>-1341</v>
      </c>
      <c r="AJ33" s="4" t="str">
        <f t="shared" si="10"/>
        <v>NC</v>
      </c>
      <c r="AK33" s="4" t="str">
        <f t="shared" si="11"/>
        <v>NC</v>
      </c>
      <c r="AL33" s="4" t="str">
        <f t="shared" si="12"/>
        <v>NC</v>
      </c>
      <c r="AM33" s="4" t="str">
        <f t="shared" si="13"/>
        <v>NC</v>
      </c>
      <c r="AN33" s="24"/>
      <c r="AO33" s="46" t="e">
        <f t="shared" si="14"/>
        <v>#DIV/0!</v>
      </c>
      <c r="AP33" s="15"/>
      <c r="AR33" s="69" t="s">
        <v>643</v>
      </c>
      <c r="AS33" s="69" t="s">
        <v>643</v>
      </c>
      <c r="AU33" s="114" t="s">
        <v>1169</v>
      </c>
      <c r="AV33" s="114" t="s">
        <v>1183</v>
      </c>
      <c r="AW33" s="114" t="s">
        <v>1184</v>
      </c>
    </row>
    <row r="34" spans="1:49" s="24" customFormat="1" x14ac:dyDescent="0.3">
      <c r="A34" s="123" t="s">
        <v>1688</v>
      </c>
      <c r="B34" s="123" t="s">
        <v>1603</v>
      </c>
      <c r="C34" s="123" t="s">
        <v>1208</v>
      </c>
      <c r="D34" s="123" t="s">
        <v>1577</v>
      </c>
      <c r="E34" s="16" t="s">
        <v>1525</v>
      </c>
      <c r="F34" s="3"/>
      <c r="G34" s="123" t="s">
        <v>1619</v>
      </c>
      <c r="H34" s="242">
        <v>42355</v>
      </c>
      <c r="I34" s="123" t="s">
        <v>1624</v>
      </c>
      <c r="J34" s="73" t="s">
        <v>30</v>
      </c>
      <c r="K34" s="12"/>
      <c r="L34" s="61"/>
      <c r="M34" s="78">
        <v>45170</v>
      </c>
      <c r="N34" s="87">
        <v>43983</v>
      </c>
      <c r="O34" s="47"/>
      <c r="P34" s="56" t="s">
        <v>596</v>
      </c>
      <c r="Q34" s="80">
        <v>277</v>
      </c>
      <c r="R34" s="18" t="s">
        <v>30</v>
      </c>
      <c r="S34" s="20">
        <v>43844</v>
      </c>
      <c r="T34" s="20">
        <v>43704</v>
      </c>
      <c r="U34" s="21" t="s">
        <v>30</v>
      </c>
      <c r="V34" s="18" t="s">
        <v>30</v>
      </c>
      <c r="W34" s="18" t="s">
        <v>30</v>
      </c>
      <c r="X34" s="22" t="s">
        <v>30</v>
      </c>
      <c r="Y34" s="52" t="str">
        <f t="shared" si="0"/>
        <v>NC</v>
      </c>
      <c r="Z34" s="18">
        <f t="shared" si="1"/>
        <v>44025</v>
      </c>
      <c r="AA34" s="18">
        <f t="shared" si="2"/>
        <v>44069</v>
      </c>
      <c r="AB34" s="18" t="str">
        <f t="shared" si="3"/>
        <v>NC</v>
      </c>
      <c r="AC34" s="18" t="str">
        <f t="shared" si="4"/>
        <v>NC</v>
      </c>
      <c r="AD34" s="18" t="str">
        <f t="shared" si="5"/>
        <v>NC</v>
      </c>
      <c r="AE34" s="18" t="str">
        <f t="shared" si="6"/>
        <v>NC</v>
      </c>
      <c r="AF34"/>
      <c r="AG34" s="4" t="str">
        <f t="shared" si="7"/>
        <v>NC</v>
      </c>
      <c r="AH34" s="4">
        <f t="shared" ca="1" si="8"/>
        <v>-1562</v>
      </c>
      <c r="AI34" s="4">
        <f t="shared" ca="1" si="9"/>
        <v>-1518</v>
      </c>
      <c r="AJ34" s="4" t="str">
        <f t="shared" si="10"/>
        <v>NC</v>
      </c>
      <c r="AK34" s="4" t="str">
        <f t="shared" si="11"/>
        <v>NC</v>
      </c>
      <c r="AL34" s="4" t="str">
        <f t="shared" si="12"/>
        <v>NC</v>
      </c>
      <c r="AM34" s="4" t="str">
        <f t="shared" si="13"/>
        <v>NC</v>
      </c>
      <c r="AO34" s="46" t="e">
        <f t="shared" si="14"/>
        <v>#DIV/0!</v>
      </c>
      <c r="AP34" s="15"/>
      <c r="AQ34"/>
      <c r="AR34" s="69" t="s">
        <v>643</v>
      </c>
      <c r="AS34" s="69" t="s">
        <v>643</v>
      </c>
      <c r="AT34"/>
      <c r="AU34" s="114" t="s">
        <v>1169</v>
      </c>
      <c r="AV34" s="114" t="s">
        <v>1183</v>
      </c>
      <c r="AW34" s="114" t="s">
        <v>1184</v>
      </c>
    </row>
    <row r="35" spans="1:49" s="24" customFormat="1" ht="14.4" customHeight="1" x14ac:dyDescent="0.3">
      <c r="A35" s="123" t="s">
        <v>1689</v>
      </c>
      <c r="B35" s="123" t="s">
        <v>1604</v>
      </c>
      <c r="C35" s="123" t="s">
        <v>1610</v>
      </c>
      <c r="D35" s="123" t="s">
        <v>1577</v>
      </c>
      <c r="E35" s="16" t="s">
        <v>1525</v>
      </c>
      <c r="F35" s="3"/>
      <c r="G35" s="123" t="s">
        <v>1620</v>
      </c>
      <c r="H35" s="266"/>
      <c r="I35" s="123" t="s">
        <v>1588</v>
      </c>
      <c r="J35" s="73" t="s">
        <v>30</v>
      </c>
      <c r="K35" s="12"/>
      <c r="L35" s="61"/>
      <c r="M35" s="78">
        <v>44013</v>
      </c>
      <c r="N35" s="87">
        <v>43983</v>
      </c>
      <c r="O35" s="47"/>
      <c r="P35" s="56" t="s">
        <v>596</v>
      </c>
      <c r="Q35" s="80"/>
      <c r="R35" s="18" t="s">
        <v>30</v>
      </c>
      <c r="S35" s="19" t="s">
        <v>30</v>
      </c>
      <c r="T35" s="20">
        <v>43854</v>
      </c>
      <c r="U35" s="21" t="s">
        <v>30</v>
      </c>
      <c r="V35" s="18" t="s">
        <v>30</v>
      </c>
      <c r="W35" s="18" t="s">
        <v>30</v>
      </c>
      <c r="X35" s="22" t="s">
        <v>30</v>
      </c>
      <c r="Y35" s="52" t="str">
        <f t="shared" si="0"/>
        <v>NC</v>
      </c>
      <c r="Z35" s="18" t="str">
        <f t="shared" si="1"/>
        <v>NC</v>
      </c>
      <c r="AA35" s="18">
        <f t="shared" si="2"/>
        <v>44219</v>
      </c>
      <c r="AB35" s="18" t="str">
        <f t="shared" si="3"/>
        <v>NC</v>
      </c>
      <c r="AC35" s="18" t="str">
        <f t="shared" si="4"/>
        <v>NC</v>
      </c>
      <c r="AD35" s="18" t="str">
        <f t="shared" si="5"/>
        <v>NC</v>
      </c>
      <c r="AE35" s="18" t="str">
        <f t="shared" si="6"/>
        <v>NC</v>
      </c>
      <c r="AF35"/>
      <c r="AG35" s="4" t="str">
        <f t="shared" si="7"/>
        <v>NC</v>
      </c>
      <c r="AH35" s="4" t="str">
        <f t="shared" si="8"/>
        <v>NC</v>
      </c>
      <c r="AI35" s="4">
        <f t="shared" ca="1" si="9"/>
        <v>-1368</v>
      </c>
      <c r="AJ35" s="4" t="str">
        <f t="shared" si="10"/>
        <v>NC</v>
      </c>
      <c r="AK35" s="4" t="str">
        <f t="shared" si="11"/>
        <v>NC</v>
      </c>
      <c r="AL35" s="4" t="str">
        <f t="shared" si="12"/>
        <v>NC</v>
      </c>
      <c r="AM35" s="4" t="str">
        <f t="shared" si="13"/>
        <v>NC</v>
      </c>
      <c r="AO35" s="46" t="e">
        <f t="shared" si="14"/>
        <v>#DIV/0!</v>
      </c>
      <c r="AP35" s="15"/>
      <c r="AQ35"/>
      <c r="AR35" s="69" t="s">
        <v>643</v>
      </c>
      <c r="AS35" s="69" t="s">
        <v>643</v>
      </c>
      <c r="AT35"/>
      <c r="AU35" s="114" t="s">
        <v>1169</v>
      </c>
      <c r="AV35" s="114" t="s">
        <v>1183</v>
      </c>
      <c r="AW35" s="114" t="s">
        <v>1185</v>
      </c>
    </row>
    <row r="36" spans="1:49" x14ac:dyDescent="0.3">
      <c r="A36" s="123" t="s">
        <v>1690</v>
      </c>
      <c r="B36" s="123" t="s">
        <v>1605</v>
      </c>
      <c r="C36" s="123" t="s">
        <v>1611</v>
      </c>
      <c r="D36" s="123" t="s">
        <v>1577</v>
      </c>
      <c r="E36" s="16" t="s">
        <v>1525</v>
      </c>
      <c r="F36" s="2"/>
      <c r="G36" s="123" t="s">
        <v>1621</v>
      </c>
      <c r="H36" s="242">
        <v>42287</v>
      </c>
      <c r="I36" s="123" t="s">
        <v>1628</v>
      </c>
      <c r="J36" s="73" t="s">
        <v>30</v>
      </c>
      <c r="K36" s="12"/>
      <c r="L36" s="60"/>
      <c r="M36" s="83"/>
      <c r="N36" s="104">
        <v>44166</v>
      </c>
      <c r="O36" s="16"/>
      <c r="P36" s="84" t="s">
        <v>596</v>
      </c>
      <c r="Q36" s="16"/>
      <c r="R36" s="18" t="s">
        <v>30</v>
      </c>
      <c r="S36" s="20">
        <v>43886</v>
      </c>
      <c r="T36" s="20">
        <v>43714</v>
      </c>
      <c r="U36" s="22" t="s">
        <v>30</v>
      </c>
      <c r="V36" s="18" t="s">
        <v>30</v>
      </c>
      <c r="W36" s="18" t="s">
        <v>30</v>
      </c>
      <c r="X36" s="22" t="s">
        <v>30</v>
      </c>
      <c r="Y36" s="52" t="str">
        <f t="shared" si="0"/>
        <v>NC</v>
      </c>
      <c r="Z36" s="18">
        <f t="shared" si="1"/>
        <v>44067</v>
      </c>
      <c r="AA36" s="18">
        <f t="shared" si="2"/>
        <v>44079</v>
      </c>
      <c r="AB36" s="18" t="str">
        <f t="shared" si="3"/>
        <v>NC</v>
      </c>
      <c r="AC36" s="18" t="str">
        <f t="shared" si="4"/>
        <v>NC</v>
      </c>
      <c r="AD36" s="18" t="str">
        <f t="shared" si="5"/>
        <v>NC</v>
      </c>
      <c r="AE36" s="18" t="str">
        <f t="shared" si="6"/>
        <v>NC</v>
      </c>
      <c r="AF36" s="24"/>
      <c r="AG36" s="4" t="str">
        <f t="shared" si="7"/>
        <v>NC</v>
      </c>
      <c r="AH36" s="4">
        <f t="shared" ca="1" si="8"/>
        <v>-1520</v>
      </c>
      <c r="AI36" s="4">
        <f t="shared" ca="1" si="9"/>
        <v>-1508</v>
      </c>
      <c r="AJ36" s="4" t="str">
        <f t="shared" si="10"/>
        <v>NC</v>
      </c>
      <c r="AK36" s="4" t="str">
        <f t="shared" si="11"/>
        <v>NC</v>
      </c>
      <c r="AL36" s="4" t="str">
        <f t="shared" si="12"/>
        <v>NC</v>
      </c>
      <c r="AM36" s="4" t="str">
        <f t="shared" si="13"/>
        <v>NC</v>
      </c>
      <c r="AN36" s="24"/>
      <c r="AO36" s="46" t="e">
        <f t="shared" si="14"/>
        <v>#DIV/0!</v>
      </c>
      <c r="AP36" s="24"/>
      <c r="AQ36" s="24"/>
      <c r="AR36" s="69" t="s">
        <v>643</v>
      </c>
      <c r="AS36" s="69" t="s">
        <v>643</v>
      </c>
      <c r="AT36" s="24"/>
      <c r="AU36" s="115" t="s">
        <v>1169</v>
      </c>
      <c r="AV36" s="114" t="s">
        <v>1183</v>
      </c>
      <c r="AW36" s="114" t="s">
        <v>1186</v>
      </c>
    </row>
    <row r="37" spans="1:49" s="24" customFormat="1" ht="14.4" customHeight="1" x14ac:dyDescent="0.3">
      <c r="A37" s="123" t="s">
        <v>1691</v>
      </c>
      <c r="B37" s="123" t="s">
        <v>1606</v>
      </c>
      <c r="C37" s="123" t="s">
        <v>1612</v>
      </c>
      <c r="D37" s="123" t="s">
        <v>1577</v>
      </c>
      <c r="E37" s="16" t="s">
        <v>1525</v>
      </c>
      <c r="F37" s="3"/>
      <c r="G37" s="123" t="s">
        <v>1622</v>
      </c>
      <c r="H37" s="242">
        <v>43830</v>
      </c>
      <c r="I37" s="123" t="s">
        <v>1629</v>
      </c>
      <c r="J37" s="73" t="s">
        <v>30</v>
      </c>
      <c r="K37" s="12"/>
      <c r="L37" s="61"/>
      <c r="M37" s="78">
        <v>45139</v>
      </c>
      <c r="N37" s="87">
        <v>43922</v>
      </c>
      <c r="O37" s="47"/>
      <c r="P37" s="56" t="s">
        <v>596</v>
      </c>
      <c r="Q37" s="80">
        <v>548</v>
      </c>
      <c r="R37" s="18" t="s">
        <v>30</v>
      </c>
      <c r="S37" s="20">
        <v>43818</v>
      </c>
      <c r="T37" s="20">
        <v>43752</v>
      </c>
      <c r="U37" s="21" t="s">
        <v>30</v>
      </c>
      <c r="V37" s="18" t="s">
        <v>30</v>
      </c>
      <c r="W37" s="18" t="s">
        <v>30</v>
      </c>
      <c r="X37" s="22" t="s">
        <v>30</v>
      </c>
      <c r="Y37" s="52" t="str">
        <f t="shared" si="0"/>
        <v>NC</v>
      </c>
      <c r="Z37" s="18">
        <f t="shared" si="1"/>
        <v>43999</v>
      </c>
      <c r="AA37" s="18">
        <f t="shared" si="2"/>
        <v>44117</v>
      </c>
      <c r="AB37" s="18" t="str">
        <f t="shared" si="3"/>
        <v>NC</v>
      </c>
      <c r="AC37" s="18" t="str">
        <f t="shared" si="4"/>
        <v>NC</v>
      </c>
      <c r="AD37" s="18" t="str">
        <f t="shared" si="5"/>
        <v>NC</v>
      </c>
      <c r="AE37" s="18" t="str">
        <f t="shared" si="6"/>
        <v>NC</v>
      </c>
      <c r="AF37"/>
      <c r="AG37" s="4" t="str">
        <f t="shared" si="7"/>
        <v>NC</v>
      </c>
      <c r="AH37" s="4">
        <f t="shared" ca="1" si="8"/>
        <v>-1588</v>
      </c>
      <c r="AI37" s="4">
        <f t="shared" ca="1" si="9"/>
        <v>-1470</v>
      </c>
      <c r="AJ37" s="4" t="str">
        <f t="shared" si="10"/>
        <v>NC</v>
      </c>
      <c r="AK37" s="4" t="str">
        <f t="shared" si="11"/>
        <v>NC</v>
      </c>
      <c r="AL37" s="4" t="str">
        <f t="shared" si="12"/>
        <v>NC</v>
      </c>
      <c r="AM37" s="4" t="str">
        <f t="shared" si="13"/>
        <v>NC</v>
      </c>
      <c r="AO37" s="46" t="e">
        <f t="shared" si="14"/>
        <v>#DIV/0!</v>
      </c>
      <c r="AP37" s="15"/>
      <c r="AQ37"/>
      <c r="AR37" s="69" t="s">
        <v>643</v>
      </c>
      <c r="AS37" s="69" t="s">
        <v>643</v>
      </c>
      <c r="AT37"/>
      <c r="AU37" s="114" t="s">
        <v>1169</v>
      </c>
      <c r="AV37" s="114" t="s">
        <v>1187</v>
      </c>
      <c r="AW37" s="114" t="s">
        <v>1188</v>
      </c>
    </row>
    <row r="38" spans="1:49" ht="14.4" customHeight="1" x14ac:dyDescent="0.3">
      <c r="A38" s="2"/>
      <c r="B38" s="2"/>
      <c r="C38" s="3"/>
      <c r="D38" s="16"/>
      <c r="E38" s="16"/>
      <c r="F38" s="3"/>
      <c r="G38" s="60"/>
      <c r="H38" s="60"/>
      <c r="I38" s="60"/>
      <c r="J38" s="73" t="s">
        <v>30</v>
      </c>
      <c r="K38" s="12"/>
      <c r="L38" s="61"/>
      <c r="M38" s="78">
        <v>45292</v>
      </c>
      <c r="N38" s="87">
        <v>43952</v>
      </c>
      <c r="O38" s="38"/>
      <c r="P38" s="56" t="s">
        <v>596</v>
      </c>
      <c r="Q38" s="81">
        <v>21</v>
      </c>
      <c r="R38" s="18" t="s">
        <v>30</v>
      </c>
      <c r="S38" s="20">
        <v>43818</v>
      </c>
      <c r="T38" s="20">
        <v>43813</v>
      </c>
      <c r="U38" s="21" t="s">
        <v>30</v>
      </c>
      <c r="V38" s="18" t="s">
        <v>30</v>
      </c>
      <c r="W38" s="18" t="s">
        <v>30</v>
      </c>
      <c r="X38" s="22" t="s">
        <v>30</v>
      </c>
      <c r="Y38" s="52" t="str">
        <f t="shared" ref="Y38:Y69" si="15">IF(R38="NC","NC",IF(R38="","erreur",R38+365))</f>
        <v>NC</v>
      </c>
      <c r="Z38" s="18">
        <f t="shared" ref="Z38:Z69" si="16">IF(S38="NC","NC",IF(S38="","erreur",S38+181))</f>
        <v>43999</v>
      </c>
      <c r="AA38" s="18">
        <f t="shared" ref="AA38:AA69" si="17">IF(T38="NC","NC",IF(T38="","erreur",T38+365))</f>
        <v>44178</v>
      </c>
      <c r="AB38" s="18" t="str">
        <f t="shared" ref="AB38:AB69" si="18">IF(U38="NC","NC",IF(U38="","erreur",U38+3650))</f>
        <v>NC</v>
      </c>
      <c r="AC38" s="18" t="str">
        <f t="shared" ref="AC38:AC69" si="19">IF(V38="NC","NC",IF(V38="","erreur",V38+365))</f>
        <v>NC</v>
      </c>
      <c r="AD38" s="18" t="str">
        <f t="shared" ref="AD38:AD69" si="20">IF(W38="NC","NC",IF(W38="","erreur",W38+365))</f>
        <v>NC</v>
      </c>
      <c r="AE38" s="18" t="str">
        <f t="shared" ref="AE38:AE69" si="21">IF(X38="NC","NC",IF(X38="","erreur",X38+730))</f>
        <v>NC</v>
      </c>
      <c r="AG38" s="4" t="str">
        <f t="shared" ref="AG38:AG69" si="22">IF(Y38="NC","NC",IF(Y38="erreur","erreur",Y38-$F$3))</f>
        <v>NC</v>
      </c>
      <c r="AH38" s="4">
        <f t="shared" ref="AH38:AH69" ca="1" si="23">IF(Z38="NC","NC",IF(Z38="erreur","erreur",Z38-$F$3))</f>
        <v>-1588</v>
      </c>
      <c r="AI38" s="4">
        <f t="shared" ref="AI38:AI69" ca="1" si="24">IF(AA38="NC","NC",IF(AA38="erreur","erreur",AA38-$F$3))</f>
        <v>-1409</v>
      </c>
      <c r="AJ38" s="4" t="str">
        <f t="shared" ref="AJ38:AJ69" si="25">IF(AB38="NC","NC",IF(AB38="erreur","erreur",AB38-$F$3))</f>
        <v>NC</v>
      </c>
      <c r="AK38" s="4" t="str">
        <f t="shared" ref="AK38:AK69" si="26">IF(AC38="NC","NC",IF(AC38="erreur","erreur",AC38-$F$3))</f>
        <v>NC</v>
      </c>
      <c r="AL38" s="4" t="str">
        <f t="shared" ref="AL38:AL69" si="27">IF(AD38="NC","NC",IF(AD38="erreur","erreur",AD38-$F$3))</f>
        <v>NC</v>
      </c>
      <c r="AM38" s="4" t="str">
        <f t="shared" ref="AM38:AM69" si="28">IF(AE38="NC","NC",IF(AE38="erreur","erreur",AE38-$F$3))</f>
        <v>NC</v>
      </c>
      <c r="AN38" s="24"/>
      <c r="AO38" s="46" t="e">
        <f t="shared" ref="AO38:AO69" si="29">K38*($AO$3-L38)/$K$4</f>
        <v>#DIV/0!</v>
      </c>
      <c r="AP38" s="48"/>
      <c r="AR38" s="69" t="s">
        <v>643</v>
      </c>
      <c r="AS38" s="69" t="s">
        <v>643</v>
      </c>
      <c r="AU38" s="114" t="s">
        <v>1169</v>
      </c>
      <c r="AV38" s="114" t="s">
        <v>1187</v>
      </c>
      <c r="AW38" s="114" t="s">
        <v>1188</v>
      </c>
    </row>
    <row r="39" spans="1:49" s="24" customFormat="1" ht="14.4" customHeight="1" x14ac:dyDescent="0.3">
      <c r="A39" s="123" t="s">
        <v>1692</v>
      </c>
      <c r="B39" s="267" t="s">
        <v>1630</v>
      </c>
      <c r="C39" s="123" t="s">
        <v>1647</v>
      </c>
      <c r="D39" s="269"/>
      <c r="E39" s="4" t="s">
        <v>1524</v>
      </c>
      <c r="F39" s="3"/>
      <c r="G39" s="60"/>
      <c r="H39" s="268"/>
      <c r="I39" s="269"/>
      <c r="J39" s="73" t="s">
        <v>30</v>
      </c>
      <c r="K39" s="12"/>
      <c r="L39" s="61"/>
      <c r="M39" s="79" t="s">
        <v>609</v>
      </c>
      <c r="N39" s="87">
        <v>43952</v>
      </c>
      <c r="O39" s="47"/>
      <c r="P39" s="56" t="s">
        <v>596</v>
      </c>
      <c r="Q39" s="80">
        <v>7554</v>
      </c>
      <c r="R39" s="18" t="s">
        <v>30</v>
      </c>
      <c r="S39" s="20">
        <v>43851</v>
      </c>
      <c r="T39" s="20">
        <v>43725</v>
      </c>
      <c r="U39" s="21" t="s">
        <v>30</v>
      </c>
      <c r="V39" s="18" t="s">
        <v>30</v>
      </c>
      <c r="W39" s="18" t="s">
        <v>30</v>
      </c>
      <c r="X39" s="22" t="s">
        <v>30</v>
      </c>
      <c r="Y39" s="52" t="str">
        <f t="shared" si="15"/>
        <v>NC</v>
      </c>
      <c r="Z39" s="18">
        <f t="shared" si="16"/>
        <v>44032</v>
      </c>
      <c r="AA39" s="18">
        <f t="shared" si="17"/>
        <v>44090</v>
      </c>
      <c r="AB39" s="18" t="str">
        <f t="shared" si="18"/>
        <v>NC</v>
      </c>
      <c r="AC39" s="18" t="str">
        <f t="shared" si="19"/>
        <v>NC</v>
      </c>
      <c r="AD39" s="18" t="str">
        <f t="shared" si="20"/>
        <v>NC</v>
      </c>
      <c r="AE39" s="18" t="str">
        <f t="shared" si="21"/>
        <v>NC</v>
      </c>
      <c r="AF39"/>
      <c r="AG39" s="4" t="str">
        <f t="shared" si="22"/>
        <v>NC</v>
      </c>
      <c r="AH39" s="4">
        <f t="shared" ca="1" si="23"/>
        <v>-1555</v>
      </c>
      <c r="AI39" s="4">
        <f t="shared" ca="1" si="24"/>
        <v>-1497</v>
      </c>
      <c r="AJ39" s="4" t="str">
        <f t="shared" si="25"/>
        <v>NC</v>
      </c>
      <c r="AK39" s="4" t="str">
        <f t="shared" si="26"/>
        <v>NC</v>
      </c>
      <c r="AL39" s="4" t="str">
        <f t="shared" si="27"/>
        <v>NC</v>
      </c>
      <c r="AM39" s="4" t="str">
        <f t="shared" si="28"/>
        <v>NC</v>
      </c>
      <c r="AO39" s="46" t="e">
        <f t="shared" si="29"/>
        <v>#DIV/0!</v>
      </c>
      <c r="AP39" s="15"/>
      <c r="AQ39"/>
      <c r="AR39" s="69" t="s">
        <v>643</v>
      </c>
      <c r="AS39" s="69" t="s">
        <v>643</v>
      </c>
      <c r="AT39"/>
      <c r="AU39" s="114" t="s">
        <v>1169</v>
      </c>
      <c r="AV39" s="114" t="s">
        <v>1189</v>
      </c>
      <c r="AW39" s="114" t="s">
        <v>1190</v>
      </c>
    </row>
    <row r="40" spans="1:49" ht="14.4" customHeight="1" x14ac:dyDescent="0.3">
      <c r="A40" s="123" t="s">
        <v>1693</v>
      </c>
      <c r="B40" s="123" t="s">
        <v>1631</v>
      </c>
      <c r="C40" s="123" t="s">
        <v>1648</v>
      </c>
      <c r="D40" s="123" t="s">
        <v>1579</v>
      </c>
      <c r="E40" s="4" t="s">
        <v>1524</v>
      </c>
      <c r="F40" s="2"/>
      <c r="G40" s="60"/>
      <c r="H40" s="266">
        <v>2022</v>
      </c>
      <c r="I40" s="123" t="s">
        <v>1651</v>
      </c>
      <c r="J40" s="60" t="s">
        <v>30</v>
      </c>
      <c r="K40" s="12"/>
      <c r="L40" s="60"/>
      <c r="M40" s="83"/>
      <c r="N40" s="104">
        <v>43862</v>
      </c>
      <c r="O40" s="16"/>
      <c r="P40" s="84" t="s">
        <v>595</v>
      </c>
      <c r="Q40" s="16"/>
      <c r="R40" s="18" t="s">
        <v>30</v>
      </c>
      <c r="S40" s="18" t="s">
        <v>30</v>
      </c>
      <c r="T40" s="20">
        <v>43761</v>
      </c>
      <c r="U40" s="22" t="s">
        <v>30</v>
      </c>
      <c r="V40" s="18" t="s">
        <v>30</v>
      </c>
      <c r="W40" s="18" t="s">
        <v>30</v>
      </c>
      <c r="X40" s="22" t="s">
        <v>30</v>
      </c>
      <c r="Y40" s="52" t="str">
        <f t="shared" si="15"/>
        <v>NC</v>
      </c>
      <c r="Z40" s="18" t="str">
        <f t="shared" si="16"/>
        <v>NC</v>
      </c>
      <c r="AA40" s="18">
        <f t="shared" si="17"/>
        <v>44126</v>
      </c>
      <c r="AB40" s="18" t="str">
        <f t="shared" si="18"/>
        <v>NC</v>
      </c>
      <c r="AC40" s="18" t="str">
        <f t="shared" si="19"/>
        <v>NC</v>
      </c>
      <c r="AD40" s="18" t="str">
        <f t="shared" si="20"/>
        <v>NC</v>
      </c>
      <c r="AE40" s="18" t="str">
        <f t="shared" si="21"/>
        <v>NC</v>
      </c>
      <c r="AF40" s="24"/>
      <c r="AG40" s="4" t="str">
        <f t="shared" si="22"/>
        <v>NC</v>
      </c>
      <c r="AH40" s="4" t="str">
        <f t="shared" si="23"/>
        <v>NC</v>
      </c>
      <c r="AI40" s="4">
        <f t="shared" ca="1" si="24"/>
        <v>-1461</v>
      </c>
      <c r="AJ40" s="4" t="str">
        <f t="shared" si="25"/>
        <v>NC</v>
      </c>
      <c r="AK40" s="4" t="str">
        <f t="shared" si="26"/>
        <v>NC</v>
      </c>
      <c r="AL40" s="4" t="str">
        <f t="shared" si="27"/>
        <v>NC</v>
      </c>
      <c r="AM40" s="4" t="str">
        <f t="shared" si="28"/>
        <v>NC</v>
      </c>
      <c r="AN40" s="24"/>
      <c r="AO40" s="58" t="e">
        <f t="shared" si="29"/>
        <v>#DIV/0!</v>
      </c>
      <c r="AP40" s="24"/>
      <c r="AQ40" s="24"/>
      <c r="AR40" s="69" t="s">
        <v>643</v>
      </c>
      <c r="AS40" s="69" t="s">
        <v>643</v>
      </c>
      <c r="AT40" s="24"/>
      <c r="AU40" s="115" t="s">
        <v>1169</v>
      </c>
      <c r="AV40" s="114" t="s">
        <v>1189</v>
      </c>
      <c r="AW40" s="114" t="s">
        <v>1191</v>
      </c>
    </row>
    <row r="41" spans="1:49" ht="14.4" customHeight="1" x14ac:dyDescent="0.3">
      <c r="A41" s="123" t="s">
        <v>1694</v>
      </c>
      <c r="B41" s="123" t="s">
        <v>1632</v>
      </c>
      <c r="C41" s="123" t="s">
        <v>1647</v>
      </c>
      <c r="D41" s="123" t="s">
        <v>1759</v>
      </c>
      <c r="E41" s="4" t="s">
        <v>1524</v>
      </c>
      <c r="F41" s="3"/>
      <c r="G41" s="60"/>
      <c r="H41" s="266"/>
      <c r="I41" s="123" t="s">
        <v>1652</v>
      </c>
      <c r="J41" s="73" t="s">
        <v>30</v>
      </c>
      <c r="K41" s="13"/>
      <c r="L41" s="62"/>
      <c r="M41" s="78">
        <v>43678</v>
      </c>
      <c r="N41" s="87">
        <v>43952</v>
      </c>
      <c r="O41" s="12"/>
      <c r="P41" s="56" t="s">
        <v>596</v>
      </c>
      <c r="Q41" s="80">
        <v>4292</v>
      </c>
      <c r="R41" s="18" t="s">
        <v>30</v>
      </c>
      <c r="S41" s="20">
        <v>43844</v>
      </c>
      <c r="T41" s="20">
        <v>43535</v>
      </c>
      <c r="U41" s="22" t="s">
        <v>30</v>
      </c>
      <c r="V41" s="18" t="s">
        <v>30</v>
      </c>
      <c r="W41" s="18" t="s">
        <v>30</v>
      </c>
      <c r="X41" s="22" t="s">
        <v>30</v>
      </c>
      <c r="Y41" s="52" t="str">
        <f t="shared" si="15"/>
        <v>NC</v>
      </c>
      <c r="Z41" s="18">
        <f t="shared" si="16"/>
        <v>44025</v>
      </c>
      <c r="AA41" s="18">
        <f t="shared" si="17"/>
        <v>43900</v>
      </c>
      <c r="AB41" s="18" t="str">
        <f t="shared" si="18"/>
        <v>NC</v>
      </c>
      <c r="AC41" s="18" t="str">
        <f t="shared" si="19"/>
        <v>NC</v>
      </c>
      <c r="AD41" s="18" t="str">
        <f t="shared" si="20"/>
        <v>NC</v>
      </c>
      <c r="AE41" s="18" t="str">
        <f t="shared" si="21"/>
        <v>NC</v>
      </c>
      <c r="AG41" s="4" t="str">
        <f t="shared" si="22"/>
        <v>NC</v>
      </c>
      <c r="AH41" s="4">
        <f t="shared" ca="1" si="23"/>
        <v>-1562</v>
      </c>
      <c r="AI41" s="4">
        <f t="shared" ca="1" si="24"/>
        <v>-1687</v>
      </c>
      <c r="AJ41" s="4" t="str">
        <f t="shared" si="25"/>
        <v>NC</v>
      </c>
      <c r="AK41" s="4" t="str">
        <f t="shared" si="26"/>
        <v>NC</v>
      </c>
      <c r="AL41" s="4" t="str">
        <f t="shared" si="27"/>
        <v>NC</v>
      </c>
      <c r="AM41" s="4" t="str">
        <f t="shared" si="28"/>
        <v>NC</v>
      </c>
      <c r="AN41" s="24"/>
      <c r="AO41" s="46" t="e">
        <f t="shared" si="29"/>
        <v>#DIV/0!</v>
      </c>
      <c r="AP41" s="15"/>
      <c r="AR41" s="69" t="s">
        <v>643</v>
      </c>
      <c r="AS41" s="69" t="s">
        <v>643</v>
      </c>
      <c r="AT41" s="24"/>
      <c r="AU41" s="115" t="s">
        <v>1169</v>
      </c>
      <c r="AV41" s="114" t="s">
        <v>1189</v>
      </c>
      <c r="AW41" s="114" t="s">
        <v>1192</v>
      </c>
    </row>
    <row r="42" spans="1:49" s="24" customFormat="1" ht="14.4" customHeight="1" x14ac:dyDescent="0.3">
      <c r="A42" s="123" t="s">
        <v>1695</v>
      </c>
      <c r="B42" s="123" t="s">
        <v>1633</v>
      </c>
      <c r="C42" s="123" t="s">
        <v>1647</v>
      </c>
      <c r="D42" s="123" t="s">
        <v>1577</v>
      </c>
      <c r="E42" s="4" t="s">
        <v>1524</v>
      </c>
      <c r="F42" s="2"/>
      <c r="G42" s="60"/>
      <c r="H42" s="242">
        <v>42248</v>
      </c>
      <c r="I42" s="123" t="s">
        <v>1652</v>
      </c>
      <c r="J42" s="73" t="s">
        <v>30</v>
      </c>
      <c r="K42" s="12"/>
      <c r="L42" s="60"/>
      <c r="M42" s="78"/>
      <c r="N42" s="87">
        <v>44075</v>
      </c>
      <c r="O42" s="16"/>
      <c r="P42" s="56" t="s">
        <v>596</v>
      </c>
      <c r="Q42" s="81"/>
      <c r="R42" s="18" t="s">
        <v>30</v>
      </c>
      <c r="S42" s="20">
        <v>43731</v>
      </c>
      <c r="T42" s="20">
        <v>43762</v>
      </c>
      <c r="U42" s="22" t="s">
        <v>30</v>
      </c>
      <c r="V42" s="18" t="s">
        <v>30</v>
      </c>
      <c r="W42" s="18" t="s">
        <v>30</v>
      </c>
      <c r="X42" s="22" t="s">
        <v>30</v>
      </c>
      <c r="Y42" s="52" t="str">
        <f t="shared" si="15"/>
        <v>NC</v>
      </c>
      <c r="Z42" s="18">
        <f t="shared" si="16"/>
        <v>43912</v>
      </c>
      <c r="AA42" s="18">
        <f t="shared" si="17"/>
        <v>44127</v>
      </c>
      <c r="AB42" s="18" t="str">
        <f t="shared" si="18"/>
        <v>NC</v>
      </c>
      <c r="AC42" s="18" t="str">
        <f t="shared" si="19"/>
        <v>NC</v>
      </c>
      <c r="AD42" s="18" t="str">
        <f t="shared" si="20"/>
        <v>NC</v>
      </c>
      <c r="AE42" s="18" t="str">
        <f t="shared" si="21"/>
        <v>NC</v>
      </c>
      <c r="AG42" s="4" t="str">
        <f t="shared" si="22"/>
        <v>NC</v>
      </c>
      <c r="AH42" s="4">
        <f t="shared" ca="1" si="23"/>
        <v>-1675</v>
      </c>
      <c r="AI42" s="4">
        <f t="shared" ca="1" si="24"/>
        <v>-1460</v>
      </c>
      <c r="AJ42" s="4" t="str">
        <f t="shared" si="25"/>
        <v>NC</v>
      </c>
      <c r="AK42" s="4" t="str">
        <f t="shared" si="26"/>
        <v>NC</v>
      </c>
      <c r="AL42" s="4" t="str">
        <f t="shared" si="27"/>
        <v>NC</v>
      </c>
      <c r="AM42" s="4" t="str">
        <f t="shared" si="28"/>
        <v>NC</v>
      </c>
      <c r="AO42" s="46" t="e">
        <f t="shared" si="29"/>
        <v>#DIV/0!</v>
      </c>
      <c r="AR42" s="69" t="s">
        <v>643</v>
      </c>
      <c r="AS42" s="69" t="s">
        <v>643</v>
      </c>
      <c r="AT42"/>
      <c r="AU42" s="114" t="s">
        <v>1169</v>
      </c>
      <c r="AV42" s="114" t="s">
        <v>1189</v>
      </c>
      <c r="AW42" s="114" t="s">
        <v>1191</v>
      </c>
    </row>
    <row r="43" spans="1:49" ht="14.4" customHeight="1" x14ac:dyDescent="0.3">
      <c r="A43" s="123" t="s">
        <v>1696</v>
      </c>
      <c r="B43" s="123" t="s">
        <v>1634</v>
      </c>
      <c r="C43" s="123" t="s">
        <v>1647</v>
      </c>
      <c r="D43" s="123" t="s">
        <v>1577</v>
      </c>
      <c r="E43" s="4" t="s">
        <v>1524</v>
      </c>
      <c r="F43" s="2"/>
      <c r="G43" s="60"/>
      <c r="H43" s="266"/>
      <c r="I43" s="123" t="s">
        <v>1652</v>
      </c>
      <c r="J43" s="60" t="s">
        <v>30</v>
      </c>
      <c r="K43" s="12"/>
      <c r="L43" s="60"/>
      <c r="M43" s="83"/>
      <c r="N43" s="98">
        <v>43862</v>
      </c>
      <c r="O43" s="16"/>
      <c r="P43" s="84" t="s">
        <v>596</v>
      </c>
      <c r="Q43" s="81"/>
      <c r="R43" s="18" t="s">
        <v>30</v>
      </c>
      <c r="S43" s="20">
        <v>43735</v>
      </c>
      <c r="T43" s="20">
        <v>43757</v>
      </c>
      <c r="U43" s="22" t="s">
        <v>30</v>
      </c>
      <c r="V43" s="18" t="s">
        <v>30</v>
      </c>
      <c r="W43" s="18" t="s">
        <v>30</v>
      </c>
      <c r="X43" s="22" t="s">
        <v>30</v>
      </c>
      <c r="Y43" s="52" t="str">
        <f t="shared" si="15"/>
        <v>NC</v>
      </c>
      <c r="Z43" s="18">
        <f t="shared" si="16"/>
        <v>43916</v>
      </c>
      <c r="AA43" s="18">
        <f t="shared" si="17"/>
        <v>44122</v>
      </c>
      <c r="AB43" s="18" t="str">
        <f t="shared" si="18"/>
        <v>NC</v>
      </c>
      <c r="AC43" s="18" t="str">
        <f t="shared" si="19"/>
        <v>NC</v>
      </c>
      <c r="AD43" s="18" t="str">
        <f t="shared" si="20"/>
        <v>NC</v>
      </c>
      <c r="AE43" s="18" t="str">
        <f t="shared" si="21"/>
        <v>NC</v>
      </c>
      <c r="AF43" s="24"/>
      <c r="AG43" s="4" t="str">
        <f t="shared" si="22"/>
        <v>NC</v>
      </c>
      <c r="AH43" s="4">
        <f t="shared" ca="1" si="23"/>
        <v>-1671</v>
      </c>
      <c r="AI43" s="4">
        <f t="shared" ca="1" si="24"/>
        <v>-1465</v>
      </c>
      <c r="AJ43" s="4" t="str">
        <f t="shared" si="25"/>
        <v>NC</v>
      </c>
      <c r="AK43" s="4" t="str">
        <f t="shared" si="26"/>
        <v>NC</v>
      </c>
      <c r="AL43" s="4" t="str">
        <f t="shared" si="27"/>
        <v>NC</v>
      </c>
      <c r="AM43" s="4" t="str">
        <f t="shared" si="28"/>
        <v>NC</v>
      </c>
      <c r="AN43" s="24"/>
      <c r="AO43" s="58" t="e">
        <f t="shared" si="29"/>
        <v>#DIV/0!</v>
      </c>
      <c r="AP43" s="24"/>
      <c r="AQ43" s="24"/>
      <c r="AR43" s="69" t="s">
        <v>643</v>
      </c>
      <c r="AS43" s="69" t="s">
        <v>643</v>
      </c>
      <c r="AT43" s="24"/>
      <c r="AU43" s="115" t="s">
        <v>1169</v>
      </c>
      <c r="AV43" s="114" t="s">
        <v>1189</v>
      </c>
      <c r="AW43" s="114" t="s">
        <v>1193</v>
      </c>
    </row>
    <row r="44" spans="1:49" ht="14.4" customHeight="1" x14ac:dyDescent="0.3">
      <c r="A44" s="123" t="s">
        <v>1697</v>
      </c>
      <c r="B44" s="123" t="s">
        <v>1635</v>
      </c>
      <c r="C44" s="123" t="s">
        <v>1302</v>
      </c>
      <c r="D44" s="123" t="s">
        <v>1579</v>
      </c>
      <c r="E44" s="4" t="s">
        <v>1524</v>
      </c>
      <c r="F44" s="3"/>
      <c r="G44" s="60"/>
      <c r="H44" s="242">
        <v>42298</v>
      </c>
      <c r="I44" s="123" t="s">
        <v>1651</v>
      </c>
      <c r="J44" s="73" t="s">
        <v>30</v>
      </c>
      <c r="K44" s="12"/>
      <c r="L44" s="61"/>
      <c r="M44" s="78">
        <v>45231</v>
      </c>
      <c r="N44" s="87">
        <v>43831</v>
      </c>
      <c r="O44" s="47"/>
      <c r="P44" s="56" t="s">
        <v>596</v>
      </c>
      <c r="Q44" s="80">
        <v>251</v>
      </c>
      <c r="R44" s="39" t="s">
        <v>30</v>
      </c>
      <c r="S44" s="16" t="s">
        <v>30</v>
      </c>
      <c r="T44" s="40">
        <v>43707</v>
      </c>
      <c r="U44" s="41" t="s">
        <v>30</v>
      </c>
      <c r="V44" s="18" t="s">
        <v>30</v>
      </c>
      <c r="W44" s="18" t="s">
        <v>30</v>
      </c>
      <c r="X44" s="42" t="s">
        <v>30</v>
      </c>
      <c r="Y44" s="52" t="str">
        <f t="shared" si="15"/>
        <v>NC</v>
      </c>
      <c r="Z44" s="18" t="str">
        <f t="shared" si="16"/>
        <v>NC</v>
      </c>
      <c r="AA44" s="18">
        <f t="shared" si="17"/>
        <v>44072</v>
      </c>
      <c r="AB44" s="18" t="str">
        <f t="shared" si="18"/>
        <v>NC</v>
      </c>
      <c r="AC44" s="18" t="str">
        <f t="shared" si="19"/>
        <v>NC</v>
      </c>
      <c r="AD44" s="18" t="str">
        <f t="shared" si="20"/>
        <v>NC</v>
      </c>
      <c r="AE44" s="18" t="str">
        <f t="shared" si="21"/>
        <v>NC</v>
      </c>
      <c r="AG44" s="4" t="str">
        <f t="shared" si="22"/>
        <v>NC</v>
      </c>
      <c r="AH44" s="4" t="str">
        <f t="shared" si="23"/>
        <v>NC</v>
      </c>
      <c r="AI44" s="4">
        <f t="shared" ca="1" si="24"/>
        <v>-1515</v>
      </c>
      <c r="AJ44" s="4" t="str">
        <f t="shared" si="25"/>
        <v>NC</v>
      </c>
      <c r="AK44" s="4" t="str">
        <f t="shared" si="26"/>
        <v>NC</v>
      </c>
      <c r="AL44" s="4" t="str">
        <f t="shared" si="27"/>
        <v>NC</v>
      </c>
      <c r="AM44" s="4" t="str">
        <f t="shared" si="28"/>
        <v>NC</v>
      </c>
      <c r="AO44" s="46" t="e">
        <f t="shared" si="29"/>
        <v>#DIV/0!</v>
      </c>
      <c r="AP44" s="15"/>
      <c r="AR44" s="69" t="s">
        <v>643</v>
      </c>
      <c r="AS44" s="69" t="s">
        <v>643</v>
      </c>
      <c r="AU44" s="114" t="s">
        <v>1169</v>
      </c>
      <c r="AV44" s="114" t="s">
        <v>1189</v>
      </c>
      <c r="AW44" s="114" t="s">
        <v>1193</v>
      </c>
    </row>
    <row r="45" spans="1:49" s="53" customFormat="1" ht="14.4" customHeight="1" x14ac:dyDescent="0.3">
      <c r="A45" s="123" t="s">
        <v>1698</v>
      </c>
      <c r="B45" s="123" t="s">
        <v>1636</v>
      </c>
      <c r="C45" s="123" t="s">
        <v>1649</v>
      </c>
      <c r="D45" s="123" t="s">
        <v>1577</v>
      </c>
      <c r="E45" s="4" t="s">
        <v>1524</v>
      </c>
      <c r="F45" s="2"/>
      <c r="G45" s="60"/>
      <c r="H45" s="242">
        <v>42551</v>
      </c>
      <c r="I45" s="123" t="s">
        <v>1652</v>
      </c>
      <c r="J45" s="73" t="s">
        <v>30</v>
      </c>
      <c r="K45" s="38"/>
      <c r="L45" s="60"/>
      <c r="M45" s="83"/>
      <c r="N45" s="104">
        <v>43983</v>
      </c>
      <c r="O45" s="16"/>
      <c r="P45" s="84" t="s">
        <v>596</v>
      </c>
      <c r="Q45" s="16"/>
      <c r="R45" s="18" t="s">
        <v>30</v>
      </c>
      <c r="S45" s="20">
        <v>43796</v>
      </c>
      <c r="T45" s="20">
        <v>43626</v>
      </c>
      <c r="U45" s="22" t="s">
        <v>30</v>
      </c>
      <c r="V45" s="18" t="s">
        <v>30</v>
      </c>
      <c r="W45" s="18" t="s">
        <v>30</v>
      </c>
      <c r="X45" s="22" t="s">
        <v>30</v>
      </c>
      <c r="Y45" s="52" t="str">
        <f t="shared" si="15"/>
        <v>NC</v>
      </c>
      <c r="Z45" s="18">
        <f t="shared" si="16"/>
        <v>43977</v>
      </c>
      <c r="AA45" s="18">
        <f t="shared" si="17"/>
        <v>43991</v>
      </c>
      <c r="AB45" s="18" t="str">
        <f t="shared" si="18"/>
        <v>NC</v>
      </c>
      <c r="AC45" s="18" t="str">
        <f t="shared" si="19"/>
        <v>NC</v>
      </c>
      <c r="AD45" s="18" t="str">
        <f t="shared" si="20"/>
        <v>NC</v>
      </c>
      <c r="AE45" s="18" t="str">
        <f t="shared" si="21"/>
        <v>NC</v>
      </c>
      <c r="AF45" s="24"/>
      <c r="AG45" s="4" t="str">
        <f t="shared" si="22"/>
        <v>NC</v>
      </c>
      <c r="AH45" s="4">
        <f t="shared" ca="1" si="23"/>
        <v>-1610</v>
      </c>
      <c r="AI45" s="4">
        <f t="shared" ca="1" si="24"/>
        <v>-1596</v>
      </c>
      <c r="AJ45" s="4" t="str">
        <f t="shared" si="25"/>
        <v>NC</v>
      </c>
      <c r="AK45" s="4" t="str">
        <f t="shared" si="26"/>
        <v>NC</v>
      </c>
      <c r="AL45" s="4" t="str">
        <f t="shared" si="27"/>
        <v>NC</v>
      </c>
      <c r="AM45" s="4" t="str">
        <f t="shared" si="28"/>
        <v>NC</v>
      </c>
      <c r="AN45" s="24"/>
      <c r="AO45" s="58" t="e">
        <f t="shared" si="29"/>
        <v>#DIV/0!</v>
      </c>
      <c r="AP45" s="24"/>
      <c r="AQ45" s="24"/>
      <c r="AR45" s="69" t="s">
        <v>643</v>
      </c>
      <c r="AS45" s="69" t="s">
        <v>643</v>
      </c>
      <c r="AT45" s="24"/>
      <c r="AU45" s="115" t="s">
        <v>1169</v>
      </c>
      <c r="AV45" s="114" t="s">
        <v>1189</v>
      </c>
      <c r="AW45" s="114" t="s">
        <v>1194</v>
      </c>
    </row>
    <row r="46" spans="1:49" s="24" customFormat="1" ht="14.4" customHeight="1" x14ac:dyDescent="0.3">
      <c r="A46" s="123" t="s">
        <v>1699</v>
      </c>
      <c r="B46" s="123" t="s">
        <v>1637</v>
      </c>
      <c r="C46" s="123" t="s">
        <v>1302</v>
      </c>
      <c r="D46" s="266"/>
      <c r="E46" s="4" t="s">
        <v>1524</v>
      </c>
      <c r="F46" s="2"/>
      <c r="G46" s="60"/>
      <c r="H46" s="242">
        <v>43237</v>
      </c>
      <c r="I46" s="266"/>
      <c r="J46" s="73" t="s">
        <v>30</v>
      </c>
      <c r="K46" s="38"/>
      <c r="L46" s="60"/>
      <c r="M46" s="83"/>
      <c r="N46" s="104">
        <v>43952</v>
      </c>
      <c r="O46" s="16"/>
      <c r="P46" s="84" t="s">
        <v>596</v>
      </c>
      <c r="Q46" s="16"/>
      <c r="R46" s="18" t="s">
        <v>30</v>
      </c>
      <c r="S46" s="20">
        <v>43818</v>
      </c>
      <c r="T46" s="20">
        <v>43868</v>
      </c>
      <c r="U46" s="22" t="s">
        <v>30</v>
      </c>
      <c r="V46" s="18" t="s">
        <v>30</v>
      </c>
      <c r="W46" s="18" t="s">
        <v>30</v>
      </c>
      <c r="X46" s="22" t="s">
        <v>30</v>
      </c>
      <c r="Y46" s="52" t="str">
        <f t="shared" si="15"/>
        <v>NC</v>
      </c>
      <c r="Z46" s="18">
        <f t="shared" si="16"/>
        <v>43999</v>
      </c>
      <c r="AA46" s="18">
        <f t="shared" si="17"/>
        <v>44233</v>
      </c>
      <c r="AB46" s="18" t="str">
        <f t="shared" si="18"/>
        <v>NC</v>
      </c>
      <c r="AC46" s="18" t="str">
        <f t="shared" si="19"/>
        <v>NC</v>
      </c>
      <c r="AD46" s="18" t="str">
        <f t="shared" si="20"/>
        <v>NC</v>
      </c>
      <c r="AE46" s="18" t="str">
        <f t="shared" si="21"/>
        <v>NC</v>
      </c>
      <c r="AG46" s="4" t="str">
        <f t="shared" si="22"/>
        <v>NC</v>
      </c>
      <c r="AH46" s="4">
        <f t="shared" ca="1" si="23"/>
        <v>-1588</v>
      </c>
      <c r="AI46" s="4">
        <f t="shared" ca="1" si="24"/>
        <v>-1354</v>
      </c>
      <c r="AJ46" s="4" t="str">
        <f t="shared" si="25"/>
        <v>NC</v>
      </c>
      <c r="AK46" s="4" t="str">
        <f t="shared" si="26"/>
        <v>NC</v>
      </c>
      <c r="AL46" s="4" t="str">
        <f t="shared" si="27"/>
        <v>NC</v>
      </c>
      <c r="AM46" s="4" t="str">
        <f t="shared" si="28"/>
        <v>NC</v>
      </c>
      <c r="AO46" s="46" t="e">
        <f t="shared" si="29"/>
        <v>#DIV/0!</v>
      </c>
      <c r="AR46" s="69" t="s">
        <v>643</v>
      </c>
      <c r="AS46" s="69" t="s">
        <v>643</v>
      </c>
      <c r="AT46"/>
      <c r="AU46" s="114" t="s">
        <v>1169</v>
      </c>
      <c r="AV46" s="114" t="s">
        <v>1189</v>
      </c>
      <c r="AW46" s="114" t="s">
        <v>1195</v>
      </c>
    </row>
    <row r="47" spans="1:49" s="24" customFormat="1" ht="14.4" customHeight="1" x14ac:dyDescent="0.3">
      <c r="A47" s="123" t="s">
        <v>1700</v>
      </c>
      <c r="B47" s="123" t="s">
        <v>1638</v>
      </c>
      <c r="C47" s="123" t="s">
        <v>1647</v>
      </c>
      <c r="D47" s="123" t="s">
        <v>1577</v>
      </c>
      <c r="E47" s="4" t="s">
        <v>1524</v>
      </c>
      <c r="F47" s="2"/>
      <c r="G47" s="60"/>
      <c r="H47" s="266"/>
      <c r="I47" s="123" t="s">
        <v>1653</v>
      </c>
      <c r="J47" s="73" t="s">
        <v>30</v>
      </c>
      <c r="K47" s="38"/>
      <c r="L47" s="60"/>
      <c r="M47" s="83"/>
      <c r="N47" s="104">
        <v>43952</v>
      </c>
      <c r="O47" s="16"/>
      <c r="P47" s="84" t="s">
        <v>596</v>
      </c>
      <c r="Q47" s="16"/>
      <c r="R47" s="18" t="s">
        <v>30</v>
      </c>
      <c r="S47" s="20">
        <v>43818</v>
      </c>
      <c r="T47" s="20">
        <v>43844</v>
      </c>
      <c r="U47" s="22" t="s">
        <v>30</v>
      </c>
      <c r="V47" s="18" t="s">
        <v>30</v>
      </c>
      <c r="W47" s="18" t="s">
        <v>30</v>
      </c>
      <c r="X47" s="22" t="s">
        <v>30</v>
      </c>
      <c r="Y47" s="52" t="str">
        <f t="shared" si="15"/>
        <v>NC</v>
      </c>
      <c r="Z47" s="18">
        <f t="shared" si="16"/>
        <v>43999</v>
      </c>
      <c r="AA47" s="18">
        <f t="shared" si="17"/>
        <v>44209</v>
      </c>
      <c r="AB47" s="18" t="str">
        <f t="shared" si="18"/>
        <v>NC</v>
      </c>
      <c r="AC47" s="18" t="str">
        <f t="shared" si="19"/>
        <v>NC</v>
      </c>
      <c r="AD47" s="18" t="str">
        <f t="shared" si="20"/>
        <v>NC</v>
      </c>
      <c r="AE47" s="18" t="str">
        <f t="shared" si="21"/>
        <v>NC</v>
      </c>
      <c r="AG47" s="4" t="str">
        <f t="shared" si="22"/>
        <v>NC</v>
      </c>
      <c r="AH47" s="4">
        <f t="shared" ca="1" si="23"/>
        <v>-1588</v>
      </c>
      <c r="AI47" s="4">
        <f t="shared" ca="1" si="24"/>
        <v>-1378</v>
      </c>
      <c r="AJ47" s="4" t="str">
        <f t="shared" si="25"/>
        <v>NC</v>
      </c>
      <c r="AK47" s="4" t="str">
        <f t="shared" si="26"/>
        <v>NC</v>
      </c>
      <c r="AL47" s="4" t="str">
        <f t="shared" si="27"/>
        <v>NC</v>
      </c>
      <c r="AM47" s="4" t="str">
        <f t="shared" si="28"/>
        <v>NC</v>
      </c>
      <c r="AO47" s="46" t="e">
        <f t="shared" si="29"/>
        <v>#DIV/0!</v>
      </c>
      <c r="AR47" s="69" t="s">
        <v>643</v>
      </c>
      <c r="AS47" s="69" t="s">
        <v>643</v>
      </c>
      <c r="AT47"/>
      <c r="AU47" s="114" t="s">
        <v>1169</v>
      </c>
      <c r="AV47" s="114" t="s">
        <v>1189</v>
      </c>
      <c r="AW47" s="114" t="s">
        <v>1196</v>
      </c>
    </row>
    <row r="48" spans="1:49" s="24" customFormat="1" ht="14.4" customHeight="1" x14ac:dyDescent="0.3">
      <c r="A48" s="123" t="s">
        <v>1701</v>
      </c>
      <c r="B48" s="123" t="s">
        <v>1639</v>
      </c>
      <c r="C48" s="123" t="s">
        <v>1647</v>
      </c>
      <c r="D48" s="123" t="s">
        <v>1577</v>
      </c>
      <c r="E48" s="4" t="s">
        <v>1524</v>
      </c>
      <c r="F48" s="2"/>
      <c r="G48" s="60"/>
      <c r="H48" s="266"/>
      <c r="I48" s="123" t="s">
        <v>1654</v>
      </c>
      <c r="J48" s="73" t="s">
        <v>30</v>
      </c>
      <c r="K48" s="38"/>
      <c r="L48" s="60"/>
      <c r="M48" s="83"/>
      <c r="N48" s="104">
        <v>43983</v>
      </c>
      <c r="O48" s="16"/>
      <c r="P48" s="84" t="s">
        <v>596</v>
      </c>
      <c r="Q48" s="16"/>
      <c r="R48" s="18" t="s">
        <v>30</v>
      </c>
      <c r="S48" s="20">
        <v>43805</v>
      </c>
      <c r="T48" s="20">
        <v>43626</v>
      </c>
      <c r="U48" s="22" t="s">
        <v>30</v>
      </c>
      <c r="V48" s="18" t="s">
        <v>30</v>
      </c>
      <c r="W48" s="18" t="s">
        <v>30</v>
      </c>
      <c r="X48" s="22" t="s">
        <v>30</v>
      </c>
      <c r="Y48" s="52" t="str">
        <f t="shared" si="15"/>
        <v>NC</v>
      </c>
      <c r="Z48" s="18">
        <f t="shared" si="16"/>
        <v>43986</v>
      </c>
      <c r="AA48" s="18">
        <f t="shared" si="17"/>
        <v>43991</v>
      </c>
      <c r="AB48" s="18" t="str">
        <f t="shared" si="18"/>
        <v>NC</v>
      </c>
      <c r="AC48" s="18" t="str">
        <f t="shared" si="19"/>
        <v>NC</v>
      </c>
      <c r="AD48" s="18" t="str">
        <f t="shared" si="20"/>
        <v>NC</v>
      </c>
      <c r="AE48" s="18" t="str">
        <f t="shared" si="21"/>
        <v>NC</v>
      </c>
      <c r="AG48" s="4" t="str">
        <f t="shared" si="22"/>
        <v>NC</v>
      </c>
      <c r="AH48" s="4">
        <f t="shared" ca="1" si="23"/>
        <v>-1601</v>
      </c>
      <c r="AI48" s="4">
        <f t="shared" ca="1" si="24"/>
        <v>-1596</v>
      </c>
      <c r="AJ48" s="4" t="str">
        <f t="shared" si="25"/>
        <v>NC</v>
      </c>
      <c r="AK48" s="4" t="str">
        <f t="shared" si="26"/>
        <v>NC</v>
      </c>
      <c r="AL48" s="4" t="str">
        <f t="shared" si="27"/>
        <v>NC</v>
      </c>
      <c r="AM48" s="4" t="str">
        <f t="shared" si="28"/>
        <v>NC</v>
      </c>
      <c r="AO48" s="58" t="e">
        <f t="shared" si="29"/>
        <v>#DIV/0!</v>
      </c>
      <c r="AR48" s="69" t="s">
        <v>643</v>
      </c>
      <c r="AS48" s="69" t="s">
        <v>643</v>
      </c>
      <c r="AU48" s="115" t="s">
        <v>1169</v>
      </c>
      <c r="AV48" s="114" t="s">
        <v>1189</v>
      </c>
      <c r="AW48" s="114" t="s">
        <v>1194</v>
      </c>
    </row>
    <row r="49" spans="1:49" s="24" customFormat="1" ht="14.4" customHeight="1" x14ac:dyDescent="0.3">
      <c r="A49" s="123" t="s">
        <v>1702</v>
      </c>
      <c r="B49" s="123" t="s">
        <v>1640</v>
      </c>
      <c r="C49" s="123" t="s">
        <v>1647</v>
      </c>
      <c r="D49" s="123" t="s">
        <v>1579</v>
      </c>
      <c r="E49" s="4" t="s">
        <v>1524</v>
      </c>
      <c r="F49" s="3"/>
      <c r="G49" s="60"/>
      <c r="H49" s="266"/>
      <c r="I49" s="123" t="s">
        <v>1655</v>
      </c>
      <c r="J49" s="73" t="s">
        <v>30</v>
      </c>
      <c r="K49" s="12"/>
      <c r="L49" s="61"/>
      <c r="M49" s="79" t="s">
        <v>609</v>
      </c>
      <c r="N49" s="87" t="s">
        <v>1022</v>
      </c>
      <c r="O49" s="47"/>
      <c r="P49" s="56" t="s">
        <v>596</v>
      </c>
      <c r="Q49" s="80">
        <v>7199</v>
      </c>
      <c r="R49" s="18" t="s">
        <v>30</v>
      </c>
      <c r="S49" s="16" t="s">
        <v>30</v>
      </c>
      <c r="T49" s="20">
        <v>43722</v>
      </c>
      <c r="U49" s="21" t="s">
        <v>30</v>
      </c>
      <c r="V49" s="18" t="s">
        <v>30</v>
      </c>
      <c r="W49" s="18" t="s">
        <v>30</v>
      </c>
      <c r="X49" s="22" t="s">
        <v>30</v>
      </c>
      <c r="Y49" s="52" t="str">
        <f t="shared" si="15"/>
        <v>NC</v>
      </c>
      <c r="Z49" s="18" t="str">
        <f t="shared" si="16"/>
        <v>NC</v>
      </c>
      <c r="AA49" s="18">
        <f t="shared" si="17"/>
        <v>44087</v>
      </c>
      <c r="AB49" s="18" t="str">
        <f t="shared" si="18"/>
        <v>NC</v>
      </c>
      <c r="AC49" s="18" t="str">
        <f t="shared" si="19"/>
        <v>NC</v>
      </c>
      <c r="AD49" s="18" t="str">
        <f t="shared" si="20"/>
        <v>NC</v>
      </c>
      <c r="AE49" s="18" t="str">
        <f t="shared" si="21"/>
        <v>NC</v>
      </c>
      <c r="AF49"/>
      <c r="AG49" s="4" t="str">
        <f t="shared" si="22"/>
        <v>NC</v>
      </c>
      <c r="AH49" s="4" t="str">
        <f t="shared" si="23"/>
        <v>NC</v>
      </c>
      <c r="AI49" s="4">
        <f t="shared" ca="1" si="24"/>
        <v>-1500</v>
      </c>
      <c r="AJ49" s="4" t="str">
        <f t="shared" si="25"/>
        <v>NC</v>
      </c>
      <c r="AK49" s="4" t="str">
        <f t="shared" si="26"/>
        <v>NC</v>
      </c>
      <c r="AL49" s="4" t="str">
        <f t="shared" si="27"/>
        <v>NC</v>
      </c>
      <c r="AM49" s="4" t="str">
        <f t="shared" si="28"/>
        <v>NC</v>
      </c>
      <c r="AO49" s="93" t="e">
        <f t="shared" si="29"/>
        <v>#DIV/0!</v>
      </c>
      <c r="AP49" s="15"/>
      <c r="AQ49"/>
      <c r="AR49" s="69" t="s">
        <v>643</v>
      </c>
      <c r="AS49" s="69" t="s">
        <v>643</v>
      </c>
      <c r="AT49"/>
      <c r="AU49" s="114" t="s">
        <v>1169</v>
      </c>
      <c r="AV49" s="114" t="s">
        <v>1197</v>
      </c>
      <c r="AW49" s="114" t="s">
        <v>1198</v>
      </c>
    </row>
    <row r="50" spans="1:49" ht="14.4" customHeight="1" x14ac:dyDescent="0.3">
      <c r="A50" s="123" t="s">
        <v>1703</v>
      </c>
      <c r="B50" s="123" t="s">
        <v>1640</v>
      </c>
      <c r="C50" s="123" t="s">
        <v>1647</v>
      </c>
      <c r="D50" s="123" t="s">
        <v>1579</v>
      </c>
      <c r="E50" s="4" t="s">
        <v>1524</v>
      </c>
      <c r="F50" s="3"/>
      <c r="G50" s="60"/>
      <c r="H50" s="266"/>
      <c r="I50" s="123" t="s">
        <v>1656</v>
      </c>
      <c r="J50" s="73" t="s">
        <v>30</v>
      </c>
      <c r="K50" s="12"/>
      <c r="L50" s="61"/>
      <c r="M50" s="78">
        <v>44470</v>
      </c>
      <c r="N50" s="87">
        <v>43952</v>
      </c>
      <c r="O50" s="47"/>
      <c r="P50" s="56" t="s">
        <v>596</v>
      </c>
      <c r="Q50" s="80">
        <v>3935</v>
      </c>
      <c r="R50" s="18" t="s">
        <v>30</v>
      </c>
      <c r="S50" s="16" t="s">
        <v>30</v>
      </c>
      <c r="T50" s="20">
        <v>43663</v>
      </c>
      <c r="U50" s="21" t="s">
        <v>30</v>
      </c>
      <c r="V50" s="18" t="s">
        <v>30</v>
      </c>
      <c r="W50" s="18" t="s">
        <v>30</v>
      </c>
      <c r="X50" s="22" t="s">
        <v>30</v>
      </c>
      <c r="Y50" s="52" t="str">
        <f t="shared" si="15"/>
        <v>NC</v>
      </c>
      <c r="Z50" s="18" t="str">
        <f t="shared" si="16"/>
        <v>NC</v>
      </c>
      <c r="AA50" s="18">
        <f t="shared" si="17"/>
        <v>44028</v>
      </c>
      <c r="AB50" s="18" t="str">
        <f t="shared" si="18"/>
        <v>NC</v>
      </c>
      <c r="AC50" s="18" t="str">
        <f t="shared" si="19"/>
        <v>NC</v>
      </c>
      <c r="AD50" s="18" t="str">
        <f t="shared" si="20"/>
        <v>NC</v>
      </c>
      <c r="AE50" s="18" t="str">
        <f t="shared" si="21"/>
        <v>NC</v>
      </c>
      <c r="AG50" s="4" t="str">
        <f t="shared" si="22"/>
        <v>NC</v>
      </c>
      <c r="AH50" s="4" t="str">
        <f t="shared" si="23"/>
        <v>NC</v>
      </c>
      <c r="AI50" s="4">
        <f t="shared" ca="1" si="24"/>
        <v>-1559</v>
      </c>
      <c r="AJ50" s="4" t="str">
        <f t="shared" si="25"/>
        <v>NC</v>
      </c>
      <c r="AK50" s="4" t="str">
        <f t="shared" si="26"/>
        <v>NC</v>
      </c>
      <c r="AL50" s="4" t="str">
        <f t="shared" si="27"/>
        <v>NC</v>
      </c>
      <c r="AM50" s="4" t="str">
        <f t="shared" si="28"/>
        <v>NC</v>
      </c>
      <c r="AN50" s="24"/>
      <c r="AO50" s="46" t="e">
        <f t="shared" si="29"/>
        <v>#DIV/0!</v>
      </c>
      <c r="AP50" s="15"/>
      <c r="AR50" s="69" t="s">
        <v>643</v>
      </c>
      <c r="AS50" s="69" t="s">
        <v>643</v>
      </c>
      <c r="AU50" s="114" t="s">
        <v>1169</v>
      </c>
      <c r="AV50" s="114" t="s">
        <v>1197</v>
      </c>
      <c r="AW50" s="114" t="s">
        <v>1199</v>
      </c>
    </row>
    <row r="51" spans="1:49" s="24" customFormat="1" ht="14.4" customHeight="1" x14ac:dyDescent="0.3">
      <c r="A51" s="123" t="s">
        <v>1704</v>
      </c>
      <c r="B51" s="123" t="s">
        <v>1641</v>
      </c>
      <c r="C51" s="123" t="s">
        <v>1647</v>
      </c>
      <c r="D51" s="123" t="s">
        <v>1579</v>
      </c>
      <c r="E51" s="4" t="s">
        <v>1524</v>
      </c>
      <c r="F51" s="2"/>
      <c r="G51" s="60"/>
      <c r="H51" s="266"/>
      <c r="I51" s="123" t="s">
        <v>1657</v>
      </c>
      <c r="J51" s="73" t="s">
        <v>30</v>
      </c>
      <c r="K51" s="38"/>
      <c r="L51" s="60"/>
      <c r="M51" s="83"/>
      <c r="N51" s="104">
        <v>44166</v>
      </c>
      <c r="O51" s="16"/>
      <c r="P51" s="84" t="s">
        <v>596</v>
      </c>
      <c r="Q51" s="16"/>
      <c r="R51" s="18" t="s">
        <v>30</v>
      </c>
      <c r="S51" s="18" t="s">
        <v>30</v>
      </c>
      <c r="T51" s="20">
        <v>43677</v>
      </c>
      <c r="U51" s="22" t="s">
        <v>30</v>
      </c>
      <c r="V51" s="18" t="s">
        <v>30</v>
      </c>
      <c r="W51" s="18" t="s">
        <v>30</v>
      </c>
      <c r="X51" s="22" t="s">
        <v>30</v>
      </c>
      <c r="Y51" s="52" t="str">
        <f t="shared" si="15"/>
        <v>NC</v>
      </c>
      <c r="Z51" s="18" t="str">
        <f t="shared" si="16"/>
        <v>NC</v>
      </c>
      <c r="AA51" s="18">
        <f t="shared" si="17"/>
        <v>44042</v>
      </c>
      <c r="AB51" s="18" t="str">
        <f t="shared" si="18"/>
        <v>NC</v>
      </c>
      <c r="AC51" s="18" t="str">
        <f t="shared" si="19"/>
        <v>NC</v>
      </c>
      <c r="AD51" s="18" t="str">
        <f t="shared" si="20"/>
        <v>NC</v>
      </c>
      <c r="AE51" s="18" t="str">
        <f t="shared" si="21"/>
        <v>NC</v>
      </c>
      <c r="AG51" s="4" t="str">
        <f t="shared" si="22"/>
        <v>NC</v>
      </c>
      <c r="AH51" s="4" t="str">
        <f t="shared" si="23"/>
        <v>NC</v>
      </c>
      <c r="AI51" s="4">
        <f t="shared" ca="1" si="24"/>
        <v>-1545</v>
      </c>
      <c r="AJ51" s="4" t="str">
        <f t="shared" si="25"/>
        <v>NC</v>
      </c>
      <c r="AK51" s="4" t="str">
        <f t="shared" si="26"/>
        <v>NC</v>
      </c>
      <c r="AL51" s="4" t="str">
        <f t="shared" si="27"/>
        <v>NC</v>
      </c>
      <c r="AM51" s="4" t="str">
        <f t="shared" si="28"/>
        <v>NC</v>
      </c>
      <c r="AO51" s="58" t="e">
        <f t="shared" si="29"/>
        <v>#DIV/0!</v>
      </c>
      <c r="AR51" s="69" t="s">
        <v>643</v>
      </c>
      <c r="AS51" s="69" t="s">
        <v>643</v>
      </c>
      <c r="AU51" s="115" t="s">
        <v>1169</v>
      </c>
      <c r="AV51" s="114" t="s">
        <v>1197</v>
      </c>
      <c r="AW51" s="114" t="s">
        <v>1199</v>
      </c>
    </row>
    <row r="52" spans="1:49" ht="14.4" customHeight="1" x14ac:dyDescent="0.3">
      <c r="A52" s="123" t="s">
        <v>1705</v>
      </c>
      <c r="B52" s="123" t="s">
        <v>1642</v>
      </c>
      <c r="C52" s="123" t="s">
        <v>1647</v>
      </c>
      <c r="D52" s="123" t="s">
        <v>1577</v>
      </c>
      <c r="E52" s="4" t="s">
        <v>1524</v>
      </c>
      <c r="F52" s="2"/>
      <c r="G52" s="60"/>
      <c r="H52" s="242">
        <v>41617</v>
      </c>
      <c r="I52" s="123" t="s">
        <v>1658</v>
      </c>
      <c r="J52" s="73" t="s">
        <v>30</v>
      </c>
      <c r="K52" s="38"/>
      <c r="L52" s="60"/>
      <c r="M52" s="83"/>
      <c r="N52" s="55" t="s">
        <v>1022</v>
      </c>
      <c r="O52" s="16"/>
      <c r="P52" s="84" t="s">
        <v>596</v>
      </c>
      <c r="Q52" s="16"/>
      <c r="R52" s="18" t="s">
        <v>30</v>
      </c>
      <c r="S52" s="18" t="s">
        <v>30</v>
      </c>
      <c r="T52" s="20">
        <v>43787</v>
      </c>
      <c r="U52" s="22" t="s">
        <v>30</v>
      </c>
      <c r="V52" s="18" t="s">
        <v>30</v>
      </c>
      <c r="W52" s="18" t="s">
        <v>30</v>
      </c>
      <c r="X52" s="22" t="s">
        <v>30</v>
      </c>
      <c r="Y52" s="52" t="str">
        <f t="shared" si="15"/>
        <v>NC</v>
      </c>
      <c r="Z52" s="18" t="str">
        <f t="shared" si="16"/>
        <v>NC</v>
      </c>
      <c r="AA52" s="18">
        <f t="shared" si="17"/>
        <v>44152</v>
      </c>
      <c r="AB52" s="18" t="str">
        <f t="shared" si="18"/>
        <v>NC</v>
      </c>
      <c r="AC52" s="18" t="str">
        <f t="shared" si="19"/>
        <v>NC</v>
      </c>
      <c r="AD52" s="18" t="str">
        <f t="shared" si="20"/>
        <v>NC</v>
      </c>
      <c r="AE52" s="18" t="str">
        <f t="shared" si="21"/>
        <v>NC</v>
      </c>
      <c r="AF52" s="24"/>
      <c r="AG52" s="4" t="str">
        <f t="shared" si="22"/>
        <v>NC</v>
      </c>
      <c r="AH52" s="4" t="str">
        <f t="shared" si="23"/>
        <v>NC</v>
      </c>
      <c r="AI52" s="4">
        <f t="shared" ca="1" si="24"/>
        <v>-1435</v>
      </c>
      <c r="AJ52" s="4" t="str">
        <f t="shared" si="25"/>
        <v>NC</v>
      </c>
      <c r="AK52" s="4" t="str">
        <f t="shared" si="26"/>
        <v>NC</v>
      </c>
      <c r="AL52" s="4" t="str">
        <f t="shared" si="27"/>
        <v>NC</v>
      </c>
      <c r="AM52" s="4" t="str">
        <f t="shared" si="28"/>
        <v>NC</v>
      </c>
      <c r="AN52" s="24"/>
      <c r="AO52" s="46" t="e">
        <f t="shared" si="29"/>
        <v>#DIV/0!</v>
      </c>
      <c r="AP52" s="24"/>
      <c r="AQ52" s="24"/>
      <c r="AR52" s="69" t="s">
        <v>643</v>
      </c>
      <c r="AS52" s="69" t="s">
        <v>643</v>
      </c>
      <c r="AT52" s="24"/>
      <c r="AU52" s="115" t="s">
        <v>1169</v>
      </c>
      <c r="AV52" s="114" t="s">
        <v>1197</v>
      </c>
      <c r="AW52" s="114" t="s">
        <v>1198</v>
      </c>
    </row>
    <row r="53" spans="1:49" ht="14.4" customHeight="1" x14ac:dyDescent="0.3">
      <c r="A53" s="123" t="s">
        <v>1706</v>
      </c>
      <c r="B53" s="123" t="s">
        <v>1643</v>
      </c>
      <c r="C53" s="123" t="s">
        <v>1647</v>
      </c>
      <c r="D53" s="123" t="s">
        <v>1577</v>
      </c>
      <c r="E53" s="4" t="s">
        <v>1524</v>
      </c>
      <c r="F53" s="2"/>
      <c r="G53" s="60"/>
      <c r="H53" s="266"/>
      <c r="I53" s="123" t="s">
        <v>1659</v>
      </c>
      <c r="J53" s="73" t="s">
        <v>30</v>
      </c>
      <c r="K53" s="38"/>
      <c r="L53" s="60"/>
      <c r="M53" s="83"/>
      <c r="N53" s="55" t="s">
        <v>1022</v>
      </c>
      <c r="O53" s="16"/>
      <c r="P53" s="84" t="s">
        <v>596</v>
      </c>
      <c r="Q53" s="16"/>
      <c r="R53" s="18" t="s">
        <v>30</v>
      </c>
      <c r="S53" s="18" t="s">
        <v>30</v>
      </c>
      <c r="T53" s="20">
        <v>43768</v>
      </c>
      <c r="U53" s="22" t="s">
        <v>30</v>
      </c>
      <c r="V53" s="18" t="s">
        <v>30</v>
      </c>
      <c r="W53" s="18" t="s">
        <v>30</v>
      </c>
      <c r="X53" s="22" t="s">
        <v>30</v>
      </c>
      <c r="Y53" s="52" t="str">
        <f t="shared" si="15"/>
        <v>NC</v>
      </c>
      <c r="Z53" s="18" t="str">
        <f t="shared" si="16"/>
        <v>NC</v>
      </c>
      <c r="AA53" s="18">
        <f t="shared" si="17"/>
        <v>44133</v>
      </c>
      <c r="AB53" s="18" t="str">
        <f t="shared" si="18"/>
        <v>NC</v>
      </c>
      <c r="AC53" s="18" t="str">
        <f t="shared" si="19"/>
        <v>NC</v>
      </c>
      <c r="AD53" s="18" t="str">
        <f t="shared" si="20"/>
        <v>NC</v>
      </c>
      <c r="AE53" s="18" t="str">
        <f t="shared" si="21"/>
        <v>NC</v>
      </c>
      <c r="AF53" s="24"/>
      <c r="AG53" s="4" t="str">
        <f t="shared" si="22"/>
        <v>NC</v>
      </c>
      <c r="AH53" s="4" t="str">
        <f t="shared" si="23"/>
        <v>NC</v>
      </c>
      <c r="AI53" s="4">
        <f t="shared" ca="1" si="24"/>
        <v>-1454</v>
      </c>
      <c r="AJ53" s="4" t="str">
        <f t="shared" si="25"/>
        <v>NC</v>
      </c>
      <c r="AK53" s="4" t="str">
        <f t="shared" si="26"/>
        <v>NC</v>
      </c>
      <c r="AL53" s="4" t="str">
        <f t="shared" si="27"/>
        <v>NC</v>
      </c>
      <c r="AM53" s="4" t="str">
        <f t="shared" si="28"/>
        <v>NC</v>
      </c>
      <c r="AN53" s="24"/>
      <c r="AO53" s="46" t="e">
        <f t="shared" si="29"/>
        <v>#DIV/0!</v>
      </c>
      <c r="AP53" s="24"/>
      <c r="AQ53" s="24"/>
      <c r="AR53" s="69" t="s">
        <v>643</v>
      </c>
      <c r="AS53" s="69" t="s">
        <v>643</v>
      </c>
      <c r="AU53" s="114" t="s">
        <v>1169</v>
      </c>
      <c r="AV53" s="114" t="s">
        <v>1197</v>
      </c>
      <c r="AW53" s="114" t="s">
        <v>1200</v>
      </c>
    </row>
    <row r="54" spans="1:49" s="54" customFormat="1" ht="14.4" customHeight="1" x14ac:dyDescent="0.3">
      <c r="A54" s="123" t="s">
        <v>1707</v>
      </c>
      <c r="B54" s="123" t="s">
        <v>1644</v>
      </c>
      <c r="C54" s="123" t="s">
        <v>1650</v>
      </c>
      <c r="D54" s="123" t="s">
        <v>1577</v>
      </c>
      <c r="E54" s="4" t="s">
        <v>1524</v>
      </c>
      <c r="F54" s="2"/>
      <c r="G54" s="60"/>
      <c r="H54" s="266"/>
      <c r="I54" s="123" t="s">
        <v>1659</v>
      </c>
      <c r="J54" s="73" t="s">
        <v>30</v>
      </c>
      <c r="K54" s="38"/>
      <c r="L54" s="60"/>
      <c r="M54" s="83"/>
      <c r="N54" s="104">
        <v>43952</v>
      </c>
      <c r="O54" s="16"/>
      <c r="P54" s="84" t="s">
        <v>595</v>
      </c>
      <c r="Q54" s="16"/>
      <c r="R54" s="18" t="s">
        <v>30</v>
      </c>
      <c r="S54" s="18" t="s">
        <v>30</v>
      </c>
      <c r="T54" s="20">
        <v>43724</v>
      </c>
      <c r="U54" s="22" t="s">
        <v>30</v>
      </c>
      <c r="V54" s="18" t="s">
        <v>30</v>
      </c>
      <c r="W54" s="18" t="s">
        <v>30</v>
      </c>
      <c r="X54" s="22" t="s">
        <v>30</v>
      </c>
      <c r="Y54" s="52" t="str">
        <f t="shared" si="15"/>
        <v>NC</v>
      </c>
      <c r="Z54" s="18" t="str">
        <f t="shared" si="16"/>
        <v>NC</v>
      </c>
      <c r="AA54" s="18">
        <f t="shared" si="17"/>
        <v>44089</v>
      </c>
      <c r="AB54" s="18" t="str">
        <f t="shared" si="18"/>
        <v>NC</v>
      </c>
      <c r="AC54" s="18" t="str">
        <f t="shared" si="19"/>
        <v>NC</v>
      </c>
      <c r="AD54" s="18" t="str">
        <f t="shared" si="20"/>
        <v>NC</v>
      </c>
      <c r="AE54" s="18" t="str">
        <f t="shared" si="21"/>
        <v>NC</v>
      </c>
      <c r="AF54" s="24"/>
      <c r="AG54" s="4" t="str">
        <f t="shared" si="22"/>
        <v>NC</v>
      </c>
      <c r="AH54" s="4" t="str">
        <f t="shared" si="23"/>
        <v>NC</v>
      </c>
      <c r="AI54" s="4">
        <f t="shared" ca="1" si="24"/>
        <v>-1498</v>
      </c>
      <c r="AJ54" s="4" t="str">
        <f t="shared" si="25"/>
        <v>NC</v>
      </c>
      <c r="AK54" s="4" t="str">
        <f t="shared" si="26"/>
        <v>NC</v>
      </c>
      <c r="AL54" s="4" t="str">
        <f t="shared" si="27"/>
        <v>NC</v>
      </c>
      <c r="AM54" s="4" t="str">
        <f t="shared" si="28"/>
        <v>NC</v>
      </c>
      <c r="AN54" s="24"/>
      <c r="AO54" s="58" t="e">
        <f t="shared" si="29"/>
        <v>#DIV/0!</v>
      </c>
      <c r="AP54" s="24"/>
      <c r="AQ54" s="24"/>
      <c r="AR54" s="69" t="s">
        <v>643</v>
      </c>
      <c r="AS54" s="69" t="s">
        <v>643</v>
      </c>
      <c r="AT54" s="24"/>
      <c r="AU54" s="115" t="s">
        <v>1169</v>
      </c>
      <c r="AV54" s="114" t="s">
        <v>1197</v>
      </c>
      <c r="AW54" s="114" t="s">
        <v>1201</v>
      </c>
    </row>
    <row r="55" spans="1:49" s="24" customFormat="1" ht="14.4" customHeight="1" x14ac:dyDescent="0.3">
      <c r="A55" s="123" t="s">
        <v>1708</v>
      </c>
      <c r="B55" s="123" t="s">
        <v>1645</v>
      </c>
      <c r="C55" s="123" t="s">
        <v>1647</v>
      </c>
      <c r="D55" s="123" t="s">
        <v>1577</v>
      </c>
      <c r="E55" s="4" t="s">
        <v>1524</v>
      </c>
      <c r="F55" s="2"/>
      <c r="G55" s="60"/>
      <c r="H55" s="266"/>
      <c r="I55" s="123" t="s">
        <v>1660</v>
      </c>
      <c r="J55" s="73" t="s">
        <v>30</v>
      </c>
      <c r="K55" s="13"/>
      <c r="L55" s="62"/>
      <c r="M55" s="78"/>
      <c r="N55" s="98">
        <v>43831</v>
      </c>
      <c r="O55" s="55" t="s">
        <v>1020</v>
      </c>
      <c r="P55" s="56" t="s">
        <v>596</v>
      </c>
      <c r="Q55" s="81">
        <v>2679</v>
      </c>
      <c r="R55" s="18" t="s">
        <v>30</v>
      </c>
      <c r="S55" s="18" t="s">
        <v>30</v>
      </c>
      <c r="T55" s="20">
        <v>43714</v>
      </c>
      <c r="U55" s="22" t="s">
        <v>30</v>
      </c>
      <c r="V55" s="18" t="s">
        <v>30</v>
      </c>
      <c r="W55" s="18" t="s">
        <v>30</v>
      </c>
      <c r="X55" s="22" t="s">
        <v>30</v>
      </c>
      <c r="Y55" s="52" t="str">
        <f t="shared" si="15"/>
        <v>NC</v>
      </c>
      <c r="Z55" s="18" t="str">
        <f t="shared" si="16"/>
        <v>NC</v>
      </c>
      <c r="AA55" s="18">
        <f t="shared" si="17"/>
        <v>44079</v>
      </c>
      <c r="AB55" s="18" t="str">
        <f t="shared" si="18"/>
        <v>NC</v>
      </c>
      <c r="AC55" s="18" t="str">
        <f t="shared" si="19"/>
        <v>NC</v>
      </c>
      <c r="AD55" s="18" t="str">
        <f t="shared" si="20"/>
        <v>NC</v>
      </c>
      <c r="AE55" s="18" t="str">
        <f t="shared" si="21"/>
        <v>NC</v>
      </c>
      <c r="AG55" s="4" t="str">
        <f t="shared" si="22"/>
        <v>NC</v>
      </c>
      <c r="AH55" s="4" t="str">
        <f t="shared" si="23"/>
        <v>NC</v>
      </c>
      <c r="AI55" s="4">
        <f t="shared" ca="1" si="24"/>
        <v>-1508</v>
      </c>
      <c r="AJ55" s="4" t="str">
        <f t="shared" si="25"/>
        <v>NC</v>
      </c>
      <c r="AK55" s="4" t="str">
        <f t="shared" si="26"/>
        <v>NC</v>
      </c>
      <c r="AL55" s="4" t="str">
        <f t="shared" si="27"/>
        <v>NC</v>
      </c>
      <c r="AM55" s="4" t="str">
        <f t="shared" si="28"/>
        <v>NC</v>
      </c>
      <c r="AO55" s="46" t="e">
        <f t="shared" si="29"/>
        <v>#DIV/0!</v>
      </c>
      <c r="AR55" s="69" t="s">
        <v>643</v>
      </c>
      <c r="AS55" s="69" t="s">
        <v>643</v>
      </c>
      <c r="AU55" s="115" t="s">
        <v>1169</v>
      </c>
      <c r="AV55" s="114" t="s">
        <v>1202</v>
      </c>
      <c r="AW55" s="114" t="s">
        <v>1203</v>
      </c>
    </row>
    <row r="56" spans="1:49" s="24" customFormat="1" ht="14.4" customHeight="1" x14ac:dyDescent="0.3">
      <c r="A56" s="123" t="s">
        <v>1709</v>
      </c>
      <c r="B56" s="123" t="s">
        <v>1646</v>
      </c>
      <c r="C56" s="123" t="s">
        <v>1647</v>
      </c>
      <c r="D56" s="123" t="s">
        <v>1577</v>
      </c>
      <c r="E56" s="4" t="s">
        <v>1524</v>
      </c>
      <c r="F56" s="3"/>
      <c r="G56" s="60"/>
      <c r="H56" s="266"/>
      <c r="I56" s="123" t="s">
        <v>1652</v>
      </c>
      <c r="J56" s="73" t="s">
        <v>30</v>
      </c>
      <c r="K56" s="13"/>
      <c r="L56" s="62"/>
      <c r="M56" s="78">
        <v>43983</v>
      </c>
      <c r="N56" s="87">
        <v>43983</v>
      </c>
      <c r="O56" s="47"/>
      <c r="P56" s="56" t="s">
        <v>596</v>
      </c>
      <c r="Q56" s="80">
        <v>5833</v>
      </c>
      <c r="R56" s="18" t="s">
        <v>30</v>
      </c>
      <c r="S56" s="18" t="s">
        <v>30</v>
      </c>
      <c r="T56" s="20">
        <v>43853</v>
      </c>
      <c r="U56" s="21" t="s">
        <v>30</v>
      </c>
      <c r="V56" s="18" t="s">
        <v>30</v>
      </c>
      <c r="W56" s="18" t="s">
        <v>30</v>
      </c>
      <c r="X56" s="22" t="s">
        <v>30</v>
      </c>
      <c r="Y56" s="52" t="str">
        <f t="shared" si="15"/>
        <v>NC</v>
      </c>
      <c r="Z56" s="18" t="str">
        <f t="shared" si="16"/>
        <v>NC</v>
      </c>
      <c r="AA56" s="18">
        <f t="shared" si="17"/>
        <v>44218</v>
      </c>
      <c r="AB56" s="18" t="str">
        <f t="shared" si="18"/>
        <v>NC</v>
      </c>
      <c r="AC56" s="18" t="str">
        <f t="shared" si="19"/>
        <v>NC</v>
      </c>
      <c r="AD56" s="18" t="str">
        <f t="shared" si="20"/>
        <v>NC</v>
      </c>
      <c r="AE56" s="18" t="str">
        <f t="shared" si="21"/>
        <v>NC</v>
      </c>
      <c r="AF56"/>
      <c r="AG56" s="4" t="str">
        <f t="shared" si="22"/>
        <v>NC</v>
      </c>
      <c r="AH56" s="4" t="str">
        <f t="shared" si="23"/>
        <v>NC</v>
      </c>
      <c r="AI56" s="4">
        <f t="shared" ca="1" si="24"/>
        <v>-1369</v>
      </c>
      <c r="AJ56" s="4" t="str">
        <f t="shared" si="25"/>
        <v>NC</v>
      </c>
      <c r="AK56" s="4" t="str">
        <f t="shared" si="26"/>
        <v>NC</v>
      </c>
      <c r="AL56" s="4" t="str">
        <f t="shared" si="27"/>
        <v>NC</v>
      </c>
      <c r="AM56" s="4" t="str">
        <f t="shared" si="28"/>
        <v>NC</v>
      </c>
      <c r="AO56" s="93" t="e">
        <f t="shared" si="29"/>
        <v>#DIV/0!</v>
      </c>
      <c r="AP56" s="15"/>
      <c r="AQ56"/>
      <c r="AR56" s="69" t="s">
        <v>643</v>
      </c>
      <c r="AS56" s="69" t="s">
        <v>643</v>
      </c>
      <c r="AT56"/>
      <c r="AU56" s="114" t="s">
        <v>1169</v>
      </c>
      <c r="AV56" s="114" t="s">
        <v>1202</v>
      </c>
      <c r="AW56" s="114" t="s">
        <v>1203</v>
      </c>
    </row>
    <row r="57" spans="1:49" ht="14.4" customHeight="1" x14ac:dyDescent="0.3">
      <c r="A57" s="3"/>
      <c r="B57" s="2"/>
      <c r="C57" s="3"/>
      <c r="D57" s="4"/>
      <c r="E57" s="4"/>
      <c r="F57" s="3"/>
      <c r="G57" s="60"/>
      <c r="H57" s="60"/>
      <c r="I57" s="60"/>
      <c r="J57" s="73" t="s">
        <v>30</v>
      </c>
      <c r="K57" s="13"/>
      <c r="L57" s="62"/>
      <c r="M57" s="79" t="s">
        <v>609</v>
      </c>
      <c r="N57" s="87">
        <v>43952</v>
      </c>
      <c r="O57" s="47"/>
      <c r="P57" s="56" t="s">
        <v>596</v>
      </c>
      <c r="Q57" s="80">
        <v>7774</v>
      </c>
      <c r="R57" s="18" t="s">
        <v>30</v>
      </c>
      <c r="S57" s="18" t="s">
        <v>30</v>
      </c>
      <c r="T57" s="20">
        <v>43876</v>
      </c>
      <c r="U57" s="21" t="s">
        <v>30</v>
      </c>
      <c r="V57" s="18" t="s">
        <v>30</v>
      </c>
      <c r="W57" s="18" t="s">
        <v>30</v>
      </c>
      <c r="X57" s="22" t="s">
        <v>30</v>
      </c>
      <c r="Y57" s="52" t="str">
        <f t="shared" si="15"/>
        <v>NC</v>
      </c>
      <c r="Z57" s="18" t="str">
        <f t="shared" si="16"/>
        <v>NC</v>
      </c>
      <c r="AA57" s="18">
        <f t="shared" si="17"/>
        <v>44241</v>
      </c>
      <c r="AB57" s="18" t="str">
        <f t="shared" si="18"/>
        <v>NC</v>
      </c>
      <c r="AC57" s="18" t="str">
        <f t="shared" si="19"/>
        <v>NC</v>
      </c>
      <c r="AD57" s="18" t="str">
        <f t="shared" si="20"/>
        <v>NC</v>
      </c>
      <c r="AE57" s="18" t="str">
        <f t="shared" si="21"/>
        <v>NC</v>
      </c>
      <c r="AG57" s="4" t="str">
        <f t="shared" si="22"/>
        <v>NC</v>
      </c>
      <c r="AH57" s="4" t="str">
        <f t="shared" si="23"/>
        <v>NC</v>
      </c>
      <c r="AI57" s="4">
        <f t="shared" ca="1" si="24"/>
        <v>-1346</v>
      </c>
      <c r="AJ57" s="4" t="str">
        <f t="shared" si="25"/>
        <v>NC</v>
      </c>
      <c r="AK57" s="4" t="str">
        <f t="shared" si="26"/>
        <v>NC</v>
      </c>
      <c r="AL57" s="4" t="str">
        <f t="shared" si="27"/>
        <v>NC</v>
      </c>
      <c r="AM57" s="4" t="str">
        <f t="shared" si="28"/>
        <v>NC</v>
      </c>
      <c r="AN57" s="24"/>
      <c r="AO57" s="93" t="e">
        <f t="shared" si="29"/>
        <v>#DIV/0!</v>
      </c>
      <c r="AP57" s="15"/>
      <c r="AR57" s="69" t="s">
        <v>643</v>
      </c>
      <c r="AS57" s="69" t="s">
        <v>643</v>
      </c>
      <c r="AU57" s="114" t="s">
        <v>1169</v>
      </c>
      <c r="AV57" s="114" t="s">
        <v>1204</v>
      </c>
      <c r="AW57" s="114" t="s">
        <v>1205</v>
      </c>
    </row>
    <row r="58" spans="1:49" ht="14.4" customHeight="1" x14ac:dyDescent="0.3">
      <c r="A58" s="123" t="s">
        <v>1727</v>
      </c>
      <c r="B58" s="123" t="s">
        <v>1710</v>
      </c>
      <c r="C58" s="123" t="s">
        <v>1715</v>
      </c>
      <c r="D58" s="123" t="s">
        <v>1577</v>
      </c>
      <c r="E58" s="123" t="s">
        <v>1725</v>
      </c>
      <c r="F58" s="2"/>
      <c r="G58" s="60"/>
      <c r="H58" s="60"/>
      <c r="I58" s="60"/>
      <c r="J58" s="60" t="s">
        <v>30</v>
      </c>
      <c r="K58" s="43"/>
      <c r="L58" s="63"/>
      <c r="M58" s="83"/>
      <c r="N58" s="77" t="s">
        <v>1022</v>
      </c>
      <c r="O58" s="84"/>
      <c r="P58" s="84" t="s">
        <v>596</v>
      </c>
      <c r="Q58" s="84"/>
      <c r="R58" s="18" t="s">
        <v>30</v>
      </c>
      <c r="S58" s="18" t="s">
        <v>30</v>
      </c>
      <c r="T58" s="20">
        <v>43864</v>
      </c>
      <c r="U58" s="21" t="s">
        <v>30</v>
      </c>
      <c r="V58" s="18" t="s">
        <v>30</v>
      </c>
      <c r="W58" s="18" t="s">
        <v>30</v>
      </c>
      <c r="X58" s="22" t="s">
        <v>30</v>
      </c>
      <c r="Y58" s="52" t="str">
        <f t="shared" si="15"/>
        <v>NC</v>
      </c>
      <c r="Z58" s="18" t="str">
        <f t="shared" si="16"/>
        <v>NC</v>
      </c>
      <c r="AA58" s="18">
        <f t="shared" si="17"/>
        <v>44229</v>
      </c>
      <c r="AB58" s="18" t="str">
        <f t="shared" si="18"/>
        <v>NC</v>
      </c>
      <c r="AC58" s="18" t="str">
        <f t="shared" si="19"/>
        <v>NC</v>
      </c>
      <c r="AD58" s="18" t="str">
        <f t="shared" si="20"/>
        <v>NC</v>
      </c>
      <c r="AE58" s="18" t="str">
        <f t="shared" si="21"/>
        <v>NC</v>
      </c>
      <c r="AF58" s="24"/>
      <c r="AG58" s="4" t="str">
        <f t="shared" si="22"/>
        <v>NC</v>
      </c>
      <c r="AH58" s="4" t="str">
        <f t="shared" si="23"/>
        <v>NC</v>
      </c>
      <c r="AI58" s="4">
        <f t="shared" ca="1" si="24"/>
        <v>-1358</v>
      </c>
      <c r="AJ58" s="4" t="str">
        <f t="shared" si="25"/>
        <v>NC</v>
      </c>
      <c r="AK58" s="4" t="str">
        <f t="shared" si="26"/>
        <v>NC</v>
      </c>
      <c r="AL58" s="4" t="str">
        <f t="shared" si="27"/>
        <v>NC</v>
      </c>
      <c r="AM58" s="4" t="str">
        <f t="shared" si="28"/>
        <v>NC</v>
      </c>
      <c r="AN58" s="24"/>
      <c r="AO58" s="93" t="e">
        <f t="shared" si="29"/>
        <v>#DIV/0!</v>
      </c>
      <c r="AP58" s="48"/>
      <c r="AQ58" s="24"/>
      <c r="AR58" s="69" t="s">
        <v>643</v>
      </c>
      <c r="AS58" s="69" t="s">
        <v>643</v>
      </c>
      <c r="AT58" s="24"/>
      <c r="AU58" s="115" t="s">
        <v>1169</v>
      </c>
      <c r="AV58" s="114" t="s">
        <v>1204</v>
      </c>
      <c r="AW58" s="114" t="s">
        <v>1205</v>
      </c>
    </row>
    <row r="59" spans="1:49" ht="14.4" customHeight="1" x14ac:dyDescent="0.3">
      <c r="A59" s="123" t="s">
        <v>1728</v>
      </c>
      <c r="B59" s="123" t="s">
        <v>1710</v>
      </c>
      <c r="C59" s="123" t="s">
        <v>1715</v>
      </c>
      <c r="D59" s="123" t="s">
        <v>1577</v>
      </c>
      <c r="E59" s="123" t="s">
        <v>1725</v>
      </c>
      <c r="F59" s="3"/>
      <c r="G59" s="105"/>
      <c r="H59" s="105"/>
      <c r="I59" s="105"/>
      <c r="J59" s="73" t="s">
        <v>30</v>
      </c>
      <c r="K59" s="13"/>
      <c r="L59" s="62"/>
      <c r="M59" s="78">
        <v>44409</v>
      </c>
      <c r="N59" s="87">
        <v>43952</v>
      </c>
      <c r="O59" s="47"/>
      <c r="P59" s="56" t="s">
        <v>596</v>
      </c>
      <c r="Q59" s="80">
        <v>4960</v>
      </c>
      <c r="R59" s="18" t="s">
        <v>30</v>
      </c>
      <c r="S59" s="18" t="s">
        <v>30</v>
      </c>
      <c r="T59" s="20">
        <v>43670</v>
      </c>
      <c r="U59" s="21" t="s">
        <v>30</v>
      </c>
      <c r="V59" s="18" t="s">
        <v>30</v>
      </c>
      <c r="W59" s="18" t="s">
        <v>30</v>
      </c>
      <c r="X59" s="22" t="s">
        <v>30</v>
      </c>
      <c r="Y59" s="52" t="str">
        <f t="shared" si="15"/>
        <v>NC</v>
      </c>
      <c r="Z59" s="18" t="str">
        <f t="shared" si="16"/>
        <v>NC</v>
      </c>
      <c r="AA59" s="18">
        <f t="shared" si="17"/>
        <v>44035</v>
      </c>
      <c r="AB59" s="18" t="str">
        <f t="shared" si="18"/>
        <v>NC</v>
      </c>
      <c r="AC59" s="18" t="str">
        <f t="shared" si="19"/>
        <v>NC</v>
      </c>
      <c r="AD59" s="18" t="str">
        <f t="shared" si="20"/>
        <v>NC</v>
      </c>
      <c r="AE59" s="18" t="str">
        <f t="shared" si="21"/>
        <v>NC</v>
      </c>
      <c r="AG59" s="4" t="str">
        <f t="shared" si="22"/>
        <v>NC</v>
      </c>
      <c r="AH59" s="4" t="str">
        <f t="shared" si="23"/>
        <v>NC</v>
      </c>
      <c r="AI59" s="4">
        <f t="shared" ca="1" si="24"/>
        <v>-1552</v>
      </c>
      <c r="AJ59" s="4" t="str">
        <f t="shared" si="25"/>
        <v>NC</v>
      </c>
      <c r="AK59" s="4" t="str">
        <f t="shared" si="26"/>
        <v>NC</v>
      </c>
      <c r="AL59" s="4" t="str">
        <f t="shared" si="27"/>
        <v>NC</v>
      </c>
      <c r="AM59" s="4" t="str">
        <f t="shared" si="28"/>
        <v>NC</v>
      </c>
      <c r="AN59" s="24"/>
      <c r="AO59" s="46" t="e">
        <f t="shared" si="29"/>
        <v>#DIV/0!</v>
      </c>
      <c r="AP59" s="15"/>
      <c r="AR59" s="69" t="s">
        <v>643</v>
      </c>
      <c r="AS59" s="69" t="s">
        <v>643</v>
      </c>
      <c r="AU59" s="114" t="s">
        <v>1169</v>
      </c>
      <c r="AV59" s="114" t="s">
        <v>1204</v>
      </c>
      <c r="AW59" s="114" t="s">
        <v>1206</v>
      </c>
    </row>
    <row r="60" spans="1:49" ht="14.4" customHeight="1" x14ac:dyDescent="0.3">
      <c r="A60" s="123" t="s">
        <v>1729</v>
      </c>
      <c r="B60" s="123" t="s">
        <v>1528</v>
      </c>
      <c r="C60" s="123" t="s">
        <v>1715</v>
      </c>
      <c r="D60" s="123" t="s">
        <v>1577</v>
      </c>
      <c r="E60" s="123" t="s">
        <v>1725</v>
      </c>
      <c r="F60" s="3"/>
      <c r="J60" s="73" t="s">
        <v>30</v>
      </c>
      <c r="K60" s="13"/>
      <c r="L60" s="63"/>
      <c r="M60" s="78">
        <v>44136</v>
      </c>
      <c r="N60" s="87">
        <v>44166</v>
      </c>
      <c r="O60" s="38"/>
      <c r="P60" s="56" t="s">
        <v>596</v>
      </c>
      <c r="Q60" s="81">
        <v>5946</v>
      </c>
      <c r="R60" s="18" t="s">
        <v>30</v>
      </c>
      <c r="S60" s="18" t="s">
        <v>30</v>
      </c>
      <c r="T60" s="20">
        <v>43696</v>
      </c>
      <c r="U60" s="21" t="s">
        <v>30</v>
      </c>
      <c r="V60" s="18" t="s">
        <v>30</v>
      </c>
      <c r="W60" s="18" t="s">
        <v>30</v>
      </c>
      <c r="X60" s="22" t="s">
        <v>30</v>
      </c>
      <c r="Y60" s="52" t="str">
        <f t="shared" si="15"/>
        <v>NC</v>
      </c>
      <c r="Z60" s="18" t="str">
        <f t="shared" si="16"/>
        <v>NC</v>
      </c>
      <c r="AA60" s="18">
        <f t="shared" si="17"/>
        <v>44061</v>
      </c>
      <c r="AB60" s="18" t="str">
        <f t="shared" si="18"/>
        <v>NC</v>
      </c>
      <c r="AC60" s="18" t="str">
        <f t="shared" si="19"/>
        <v>NC</v>
      </c>
      <c r="AD60" s="18" t="str">
        <f t="shared" si="20"/>
        <v>NC</v>
      </c>
      <c r="AE60" s="18" t="str">
        <f t="shared" si="21"/>
        <v>NC</v>
      </c>
      <c r="AG60" s="4" t="str">
        <f t="shared" si="22"/>
        <v>NC</v>
      </c>
      <c r="AH60" s="4" t="str">
        <f t="shared" si="23"/>
        <v>NC</v>
      </c>
      <c r="AI60" s="4">
        <f t="shared" ca="1" si="24"/>
        <v>-1526</v>
      </c>
      <c r="AJ60" s="4" t="str">
        <f t="shared" si="25"/>
        <v>NC</v>
      </c>
      <c r="AK60" s="4" t="str">
        <f t="shared" si="26"/>
        <v>NC</v>
      </c>
      <c r="AL60" s="4" t="str">
        <f t="shared" si="27"/>
        <v>NC</v>
      </c>
      <c r="AM60" s="4" t="str">
        <f t="shared" si="28"/>
        <v>NC</v>
      </c>
      <c r="AN60" s="24"/>
      <c r="AO60" s="46" t="e">
        <f t="shared" si="29"/>
        <v>#DIV/0!</v>
      </c>
      <c r="AP60" s="15"/>
      <c r="AR60" s="69" t="s">
        <v>643</v>
      </c>
      <c r="AS60" s="69" t="s">
        <v>643</v>
      </c>
      <c r="AT60" s="54"/>
      <c r="AU60" s="114" t="s">
        <v>1169</v>
      </c>
      <c r="AV60" s="114" t="s">
        <v>1204</v>
      </c>
      <c r="AW60" s="114" t="s">
        <v>1206</v>
      </c>
    </row>
    <row r="61" spans="1:49" s="124" customFormat="1" ht="14.4" customHeight="1" x14ac:dyDescent="0.3">
      <c r="A61" s="123" t="s">
        <v>1730</v>
      </c>
      <c r="B61" s="123" t="s">
        <v>1528</v>
      </c>
      <c r="C61" s="123" t="s">
        <v>1715</v>
      </c>
      <c r="D61" s="123" t="s">
        <v>1577</v>
      </c>
      <c r="E61" s="123" t="s">
        <v>1725</v>
      </c>
      <c r="F61" s="117"/>
      <c r="G61" s="120"/>
      <c r="H61" s="120"/>
      <c r="I61" s="120"/>
      <c r="J61" s="120" t="s">
        <v>30</v>
      </c>
      <c r="K61" s="130"/>
      <c r="L61" s="131"/>
      <c r="M61" s="132"/>
      <c r="N61" s="133"/>
      <c r="O61" s="134"/>
      <c r="P61" s="135" t="s">
        <v>595</v>
      </c>
      <c r="Q61" s="136"/>
      <c r="R61" s="57" t="s">
        <v>30</v>
      </c>
      <c r="S61" s="57" t="s">
        <v>30</v>
      </c>
      <c r="T61" s="57" t="s">
        <v>30</v>
      </c>
      <c r="U61" s="118" t="s">
        <v>30</v>
      </c>
      <c r="V61" s="57" t="s">
        <v>30</v>
      </c>
      <c r="W61" s="57" t="s">
        <v>30</v>
      </c>
      <c r="X61" s="34" t="s">
        <v>30</v>
      </c>
      <c r="Y61" s="137" t="str">
        <f t="shared" si="15"/>
        <v>NC</v>
      </c>
      <c r="Z61" s="57" t="str">
        <f t="shared" si="16"/>
        <v>NC</v>
      </c>
      <c r="AA61" s="57" t="str">
        <f t="shared" si="17"/>
        <v>NC</v>
      </c>
      <c r="AB61" s="57" t="str">
        <f t="shared" si="18"/>
        <v>NC</v>
      </c>
      <c r="AC61" s="57" t="str">
        <f t="shared" si="19"/>
        <v>NC</v>
      </c>
      <c r="AD61" s="57" t="str">
        <f t="shared" si="20"/>
        <v>NC</v>
      </c>
      <c r="AE61" s="57" t="str">
        <f t="shared" si="21"/>
        <v>NC</v>
      </c>
      <c r="AF61" s="138"/>
      <c r="AG61" s="123" t="str">
        <f t="shared" si="22"/>
        <v>NC</v>
      </c>
      <c r="AH61" s="123" t="str">
        <f t="shared" si="23"/>
        <v>NC</v>
      </c>
      <c r="AI61" s="123" t="str">
        <f t="shared" si="24"/>
        <v>NC</v>
      </c>
      <c r="AJ61" s="123" t="str">
        <f t="shared" si="25"/>
        <v>NC</v>
      </c>
      <c r="AK61" s="123" t="str">
        <f t="shared" si="26"/>
        <v>NC</v>
      </c>
      <c r="AL61" s="123" t="str">
        <f t="shared" si="27"/>
        <v>NC</v>
      </c>
      <c r="AM61" s="123" t="str">
        <f t="shared" si="28"/>
        <v>NC</v>
      </c>
      <c r="AN61" s="138"/>
      <c r="AO61" s="139" t="e">
        <f t="shared" si="29"/>
        <v>#DIV/0!</v>
      </c>
      <c r="AP61" s="140"/>
      <c r="AQ61" s="138"/>
      <c r="AR61" s="141" t="s">
        <v>643</v>
      </c>
      <c r="AS61" s="141" t="s">
        <v>643</v>
      </c>
      <c r="AT61" s="138"/>
      <c r="AU61" s="142" t="s">
        <v>1405</v>
      </c>
      <c r="AV61" s="143" t="s">
        <v>777</v>
      </c>
      <c r="AW61" s="143" t="s">
        <v>1406</v>
      </c>
    </row>
    <row r="62" spans="1:49" s="124" customFormat="1" ht="14.4" customHeight="1" x14ac:dyDescent="0.3">
      <c r="A62" s="123" t="s">
        <v>1731</v>
      </c>
      <c r="B62" s="123" t="s">
        <v>1529</v>
      </c>
      <c r="C62" s="123" t="s">
        <v>1716</v>
      </c>
      <c r="D62" s="123" t="s">
        <v>1577</v>
      </c>
      <c r="E62" s="123" t="s">
        <v>1725</v>
      </c>
      <c r="F62" s="117"/>
      <c r="G62" s="99"/>
      <c r="H62" s="99"/>
      <c r="I62" s="99"/>
      <c r="J62" s="144">
        <v>43830</v>
      </c>
      <c r="K62" s="145"/>
      <c r="L62" s="146"/>
      <c r="M62" s="147" t="s">
        <v>609</v>
      </c>
      <c r="N62" s="133">
        <v>43983</v>
      </c>
      <c r="O62" s="148"/>
      <c r="P62" s="149" t="s">
        <v>596</v>
      </c>
      <c r="Q62" s="150"/>
      <c r="R62" s="57">
        <v>43551</v>
      </c>
      <c r="S62" s="116" t="s">
        <v>30</v>
      </c>
      <c r="T62" s="116" t="s">
        <v>30</v>
      </c>
      <c r="U62" s="34" t="s">
        <v>30</v>
      </c>
      <c r="V62" s="57" t="s">
        <v>30</v>
      </c>
      <c r="W62" s="57" t="s">
        <v>30</v>
      </c>
      <c r="X62" s="34" t="s">
        <v>30</v>
      </c>
      <c r="Y62" s="137">
        <f t="shared" si="15"/>
        <v>43916</v>
      </c>
      <c r="Z62" s="57" t="str">
        <f t="shared" si="16"/>
        <v>NC</v>
      </c>
      <c r="AA62" s="57" t="str">
        <f t="shared" si="17"/>
        <v>NC</v>
      </c>
      <c r="AB62" s="57" t="str">
        <f t="shared" si="18"/>
        <v>NC</v>
      </c>
      <c r="AC62" s="57" t="str">
        <f t="shared" si="19"/>
        <v>NC</v>
      </c>
      <c r="AD62" s="57" t="str">
        <f t="shared" si="20"/>
        <v>NC</v>
      </c>
      <c r="AE62" s="57" t="str">
        <f t="shared" si="21"/>
        <v>NC</v>
      </c>
      <c r="AG62" s="123">
        <f t="shared" ca="1" si="22"/>
        <v>-1671</v>
      </c>
      <c r="AH62" s="123" t="str">
        <f t="shared" si="23"/>
        <v>NC</v>
      </c>
      <c r="AI62" s="123" t="str">
        <f t="shared" si="24"/>
        <v>NC</v>
      </c>
      <c r="AJ62" s="123" t="str">
        <f t="shared" si="25"/>
        <v>NC</v>
      </c>
      <c r="AK62" s="123" t="str">
        <f t="shared" si="26"/>
        <v>NC</v>
      </c>
      <c r="AL62" s="123" t="str">
        <f t="shared" si="27"/>
        <v>NC</v>
      </c>
      <c r="AM62" s="123" t="str">
        <f t="shared" si="28"/>
        <v>NC</v>
      </c>
      <c r="AN62" s="138"/>
      <c r="AO62" s="151" t="e">
        <f t="shared" si="29"/>
        <v>#DIV/0!</v>
      </c>
      <c r="AP62" s="152"/>
      <c r="AR62" s="124" t="s">
        <v>469</v>
      </c>
      <c r="AS62" s="141" t="s">
        <v>643</v>
      </c>
      <c r="AT62" s="138" t="s">
        <v>603</v>
      </c>
      <c r="AU62" s="142" t="s">
        <v>1208</v>
      </c>
      <c r="AV62" s="143" t="s">
        <v>1209</v>
      </c>
      <c r="AW62" s="143" t="s">
        <v>1210</v>
      </c>
    </row>
    <row r="63" spans="1:49" s="124" customFormat="1" ht="14.4" customHeight="1" x14ac:dyDescent="0.3">
      <c r="A63" s="123" t="s">
        <v>1732</v>
      </c>
      <c r="B63" s="123" t="s">
        <v>1711</v>
      </c>
      <c r="C63" s="123" t="s">
        <v>1717</v>
      </c>
      <c r="D63" s="123" t="s">
        <v>1577</v>
      </c>
      <c r="E63" s="123" t="s">
        <v>1725</v>
      </c>
      <c r="F63" s="117"/>
      <c r="G63" s="99"/>
      <c r="H63" s="99"/>
      <c r="I63" s="99"/>
      <c r="J63" s="144">
        <v>43830</v>
      </c>
      <c r="K63" s="145"/>
      <c r="L63" s="146"/>
      <c r="M63" s="147" t="s">
        <v>609</v>
      </c>
      <c r="N63" s="133">
        <v>43983</v>
      </c>
      <c r="O63" s="148"/>
      <c r="P63" s="149" t="s">
        <v>596</v>
      </c>
      <c r="Q63" s="150"/>
      <c r="R63" s="57">
        <v>43853</v>
      </c>
      <c r="S63" s="57" t="s">
        <v>30</v>
      </c>
      <c r="T63" s="57" t="s">
        <v>30</v>
      </c>
      <c r="U63" s="34" t="s">
        <v>30</v>
      </c>
      <c r="V63" s="57" t="s">
        <v>30</v>
      </c>
      <c r="W63" s="57" t="s">
        <v>30</v>
      </c>
      <c r="X63" s="34" t="s">
        <v>30</v>
      </c>
      <c r="Y63" s="137">
        <f t="shared" si="15"/>
        <v>44218</v>
      </c>
      <c r="Z63" s="57" t="str">
        <f t="shared" si="16"/>
        <v>NC</v>
      </c>
      <c r="AA63" s="57" t="str">
        <f t="shared" si="17"/>
        <v>NC</v>
      </c>
      <c r="AB63" s="57" t="str">
        <f t="shared" si="18"/>
        <v>NC</v>
      </c>
      <c r="AC63" s="57" t="str">
        <f t="shared" si="19"/>
        <v>NC</v>
      </c>
      <c r="AD63" s="57" t="str">
        <f t="shared" si="20"/>
        <v>NC</v>
      </c>
      <c r="AE63" s="57" t="str">
        <f t="shared" si="21"/>
        <v>NC</v>
      </c>
      <c r="AG63" s="123">
        <f t="shared" ca="1" si="22"/>
        <v>-1369</v>
      </c>
      <c r="AH63" s="123" t="str">
        <f t="shared" si="23"/>
        <v>NC</v>
      </c>
      <c r="AI63" s="123" t="str">
        <f t="shared" si="24"/>
        <v>NC</v>
      </c>
      <c r="AJ63" s="123" t="str">
        <f t="shared" si="25"/>
        <v>NC</v>
      </c>
      <c r="AK63" s="123" t="str">
        <f t="shared" si="26"/>
        <v>NC</v>
      </c>
      <c r="AL63" s="123" t="str">
        <f t="shared" si="27"/>
        <v>NC</v>
      </c>
      <c r="AM63" s="123" t="str">
        <f t="shared" si="28"/>
        <v>NC</v>
      </c>
      <c r="AN63" s="138"/>
      <c r="AO63" s="151" t="e">
        <f t="shared" si="29"/>
        <v>#DIV/0!</v>
      </c>
      <c r="AP63" s="152"/>
      <c r="AR63" s="124" t="s">
        <v>469</v>
      </c>
      <c r="AS63" s="141" t="s">
        <v>643</v>
      </c>
      <c r="AT63" s="124" t="s">
        <v>604</v>
      </c>
      <c r="AU63" s="143" t="s">
        <v>1208</v>
      </c>
      <c r="AV63" s="143" t="s">
        <v>827</v>
      </c>
      <c r="AW63" s="143" t="s">
        <v>1228</v>
      </c>
    </row>
    <row r="64" spans="1:49" s="124" customFormat="1" ht="14.4" customHeight="1" x14ac:dyDescent="0.3">
      <c r="A64" s="123" t="s">
        <v>1733</v>
      </c>
      <c r="B64" s="123" t="s">
        <v>1637</v>
      </c>
      <c r="C64" s="123" t="s">
        <v>1302</v>
      </c>
      <c r="D64" s="123" t="s">
        <v>1577</v>
      </c>
      <c r="E64" s="123" t="s">
        <v>1725</v>
      </c>
      <c r="F64" s="117"/>
      <c r="G64" s="99"/>
      <c r="H64" s="99"/>
      <c r="I64" s="99"/>
      <c r="J64" s="144">
        <v>43830</v>
      </c>
      <c r="K64" s="145"/>
      <c r="L64" s="146"/>
      <c r="M64" s="147" t="s">
        <v>609</v>
      </c>
      <c r="N64" s="133">
        <v>44166</v>
      </c>
      <c r="O64" s="148"/>
      <c r="P64" s="149" t="s">
        <v>596</v>
      </c>
      <c r="Q64" s="150">
        <v>105378</v>
      </c>
      <c r="R64" s="57">
        <v>43889</v>
      </c>
      <c r="S64" s="57" t="s">
        <v>30</v>
      </c>
      <c r="T64" s="57" t="s">
        <v>30</v>
      </c>
      <c r="U64" s="34" t="s">
        <v>30</v>
      </c>
      <c r="V64" s="57" t="s">
        <v>30</v>
      </c>
      <c r="W64" s="57" t="s">
        <v>30</v>
      </c>
      <c r="X64" s="34" t="s">
        <v>30</v>
      </c>
      <c r="Y64" s="137">
        <f t="shared" si="15"/>
        <v>44254</v>
      </c>
      <c r="Z64" s="57" t="str">
        <f t="shared" si="16"/>
        <v>NC</v>
      </c>
      <c r="AA64" s="57" t="str">
        <f t="shared" si="17"/>
        <v>NC</v>
      </c>
      <c r="AB64" s="57" t="str">
        <f t="shared" si="18"/>
        <v>NC</v>
      </c>
      <c r="AC64" s="57" t="str">
        <f t="shared" si="19"/>
        <v>NC</v>
      </c>
      <c r="AD64" s="57" t="str">
        <f t="shared" si="20"/>
        <v>NC</v>
      </c>
      <c r="AE64" s="57" t="str">
        <f t="shared" si="21"/>
        <v>NC</v>
      </c>
      <c r="AG64" s="123">
        <f t="shared" ca="1" si="22"/>
        <v>-1333</v>
      </c>
      <c r="AH64" s="123" t="str">
        <f t="shared" si="23"/>
        <v>NC</v>
      </c>
      <c r="AI64" s="123" t="str">
        <f t="shared" si="24"/>
        <v>NC</v>
      </c>
      <c r="AJ64" s="123" t="str">
        <f t="shared" si="25"/>
        <v>NC</v>
      </c>
      <c r="AK64" s="123" t="str">
        <f t="shared" si="26"/>
        <v>NC</v>
      </c>
      <c r="AL64" s="123" t="str">
        <f t="shared" si="27"/>
        <v>NC</v>
      </c>
      <c r="AM64" s="123" t="str">
        <f t="shared" si="28"/>
        <v>NC</v>
      </c>
      <c r="AN64" s="138"/>
      <c r="AO64" s="151" t="e">
        <f t="shared" si="29"/>
        <v>#DIV/0!</v>
      </c>
      <c r="AP64" s="152"/>
      <c r="AR64" s="138" t="s">
        <v>469</v>
      </c>
      <c r="AS64" s="141" t="s">
        <v>643</v>
      </c>
      <c r="AT64" s="124" t="s">
        <v>743</v>
      </c>
      <c r="AU64" s="143" t="s">
        <v>1208</v>
      </c>
      <c r="AV64" s="143" t="s">
        <v>827</v>
      </c>
      <c r="AW64" s="143" t="s">
        <v>1229</v>
      </c>
    </row>
    <row r="65" spans="1:49" s="124" customFormat="1" ht="14.4" customHeight="1" x14ac:dyDescent="0.3">
      <c r="A65" s="123" t="s">
        <v>1734</v>
      </c>
      <c r="B65" s="123" t="s">
        <v>1530</v>
      </c>
      <c r="C65" s="123" t="s">
        <v>1718</v>
      </c>
      <c r="D65" s="123" t="s">
        <v>1577</v>
      </c>
      <c r="E65" s="123" t="s">
        <v>1725</v>
      </c>
      <c r="F65" s="117"/>
      <c r="G65" s="99"/>
      <c r="H65" s="99"/>
      <c r="I65" s="99"/>
      <c r="J65" s="144">
        <v>43830</v>
      </c>
      <c r="K65" s="145"/>
      <c r="L65" s="146"/>
      <c r="M65" s="147" t="s">
        <v>609</v>
      </c>
      <c r="N65" s="133">
        <v>43952</v>
      </c>
      <c r="O65" s="148"/>
      <c r="P65" s="149" t="s">
        <v>596</v>
      </c>
      <c r="Q65" s="150"/>
      <c r="R65" s="57">
        <v>43847</v>
      </c>
      <c r="S65" s="57" t="s">
        <v>30</v>
      </c>
      <c r="T65" s="57" t="s">
        <v>30</v>
      </c>
      <c r="U65" s="34" t="s">
        <v>30</v>
      </c>
      <c r="V65" s="57" t="s">
        <v>30</v>
      </c>
      <c r="W65" s="57" t="s">
        <v>30</v>
      </c>
      <c r="X65" s="57" t="s">
        <v>30</v>
      </c>
      <c r="Y65" s="137">
        <f t="shared" si="15"/>
        <v>44212</v>
      </c>
      <c r="Z65" s="57" t="str">
        <f t="shared" si="16"/>
        <v>NC</v>
      </c>
      <c r="AA65" s="57" t="str">
        <f t="shared" si="17"/>
        <v>NC</v>
      </c>
      <c r="AB65" s="57" t="str">
        <f t="shared" si="18"/>
        <v>NC</v>
      </c>
      <c r="AC65" s="57" t="str">
        <f t="shared" si="19"/>
        <v>NC</v>
      </c>
      <c r="AD65" s="57" t="str">
        <f t="shared" si="20"/>
        <v>NC</v>
      </c>
      <c r="AE65" s="57" t="str">
        <f t="shared" si="21"/>
        <v>NC</v>
      </c>
      <c r="AG65" s="123">
        <f t="shared" ca="1" si="22"/>
        <v>-1375</v>
      </c>
      <c r="AH65" s="123" t="str">
        <f t="shared" si="23"/>
        <v>NC</v>
      </c>
      <c r="AI65" s="123" t="str">
        <f t="shared" si="24"/>
        <v>NC</v>
      </c>
      <c r="AJ65" s="123" t="str">
        <f t="shared" si="25"/>
        <v>NC</v>
      </c>
      <c r="AK65" s="123" t="str">
        <f t="shared" si="26"/>
        <v>NC</v>
      </c>
      <c r="AL65" s="123" t="str">
        <f t="shared" si="27"/>
        <v>NC</v>
      </c>
      <c r="AM65" s="123" t="str">
        <f t="shared" si="28"/>
        <v>NC</v>
      </c>
      <c r="AN65" s="138"/>
      <c r="AO65" s="151" t="e">
        <f t="shared" si="29"/>
        <v>#DIV/0!</v>
      </c>
      <c r="AP65" s="152"/>
      <c r="AR65" s="138" t="s">
        <v>469</v>
      </c>
      <c r="AS65" s="141" t="s">
        <v>643</v>
      </c>
      <c r="AT65" s="124" t="s">
        <v>753</v>
      </c>
      <c r="AU65" s="143" t="s">
        <v>1208</v>
      </c>
      <c r="AV65" s="143" t="s">
        <v>827</v>
      </c>
      <c r="AW65" s="143" t="s">
        <v>1230</v>
      </c>
    </row>
    <row r="66" spans="1:49" s="124" customFormat="1" ht="14.4" customHeight="1" x14ac:dyDescent="0.3">
      <c r="A66" s="123" t="s">
        <v>1735</v>
      </c>
      <c r="B66" s="123" t="s">
        <v>1531</v>
      </c>
      <c r="C66" s="123"/>
      <c r="D66" s="123" t="s">
        <v>1577</v>
      </c>
      <c r="E66" s="123" t="s">
        <v>1725</v>
      </c>
      <c r="F66" s="117"/>
      <c r="G66" s="99"/>
      <c r="H66" s="99"/>
      <c r="I66" s="99"/>
      <c r="J66" s="144">
        <v>43830</v>
      </c>
      <c r="K66" s="153"/>
      <c r="L66" s="146"/>
      <c r="M66" s="154">
        <v>43647</v>
      </c>
      <c r="N66" s="133">
        <v>44166</v>
      </c>
      <c r="O66" s="148"/>
      <c r="P66" s="149" t="s">
        <v>596</v>
      </c>
      <c r="Q66" s="150"/>
      <c r="R66" s="57">
        <v>43672</v>
      </c>
      <c r="S66" s="57" t="s">
        <v>30</v>
      </c>
      <c r="T66" s="57" t="s">
        <v>30</v>
      </c>
      <c r="U66" s="34" t="s">
        <v>30</v>
      </c>
      <c r="V66" s="57" t="s">
        <v>30</v>
      </c>
      <c r="W66" s="57" t="s">
        <v>30</v>
      </c>
      <c r="X66" s="57" t="s">
        <v>30</v>
      </c>
      <c r="Y66" s="137">
        <f t="shared" si="15"/>
        <v>44037</v>
      </c>
      <c r="Z66" s="57" t="str">
        <f t="shared" si="16"/>
        <v>NC</v>
      </c>
      <c r="AA66" s="57" t="str">
        <f t="shared" si="17"/>
        <v>NC</v>
      </c>
      <c r="AB66" s="57" t="str">
        <f t="shared" si="18"/>
        <v>NC</v>
      </c>
      <c r="AC66" s="57" t="str">
        <f t="shared" si="19"/>
        <v>NC</v>
      </c>
      <c r="AD66" s="57" t="str">
        <f t="shared" si="20"/>
        <v>NC</v>
      </c>
      <c r="AE66" s="57" t="str">
        <f t="shared" si="21"/>
        <v>NC</v>
      </c>
      <c r="AG66" s="123">
        <f t="shared" ca="1" si="22"/>
        <v>-1550</v>
      </c>
      <c r="AH66" s="123" t="str">
        <f t="shared" si="23"/>
        <v>NC</v>
      </c>
      <c r="AI66" s="123" t="str">
        <f t="shared" si="24"/>
        <v>NC</v>
      </c>
      <c r="AJ66" s="123" t="str">
        <f t="shared" si="25"/>
        <v>NC</v>
      </c>
      <c r="AK66" s="123" t="str">
        <f t="shared" si="26"/>
        <v>NC</v>
      </c>
      <c r="AL66" s="123" t="str">
        <f t="shared" si="27"/>
        <v>NC</v>
      </c>
      <c r="AM66" s="123" t="str">
        <f t="shared" si="28"/>
        <v>NC</v>
      </c>
      <c r="AN66" s="138"/>
      <c r="AO66" s="151" t="e">
        <f t="shared" si="29"/>
        <v>#DIV/0!</v>
      </c>
      <c r="AP66" s="152"/>
      <c r="AR66" s="124" t="s">
        <v>469</v>
      </c>
      <c r="AS66" s="141" t="s">
        <v>643</v>
      </c>
      <c r="AT66" s="124" t="s">
        <v>740</v>
      </c>
      <c r="AU66" s="143" t="s">
        <v>1211</v>
      </c>
      <c r="AV66" s="143" t="s">
        <v>1212</v>
      </c>
      <c r="AW66" s="143" t="s">
        <v>1413</v>
      </c>
    </row>
    <row r="67" spans="1:49" s="124" customFormat="1" ht="14.4" customHeight="1" x14ac:dyDescent="0.3">
      <c r="A67" s="123" t="s">
        <v>1736</v>
      </c>
      <c r="B67" s="123" t="s">
        <v>1531</v>
      </c>
      <c r="C67" s="123"/>
      <c r="D67" s="123" t="s">
        <v>1577</v>
      </c>
      <c r="E67" s="123" t="s">
        <v>1725</v>
      </c>
      <c r="F67" s="117"/>
      <c r="G67" s="99"/>
      <c r="H67" s="99"/>
      <c r="I67" s="99"/>
      <c r="J67" s="144">
        <v>43830</v>
      </c>
      <c r="K67" s="145"/>
      <c r="L67" s="146"/>
      <c r="M67" s="154">
        <v>43862</v>
      </c>
      <c r="N67" s="133">
        <v>43983</v>
      </c>
      <c r="O67" s="148"/>
      <c r="P67" s="149" t="s">
        <v>596</v>
      </c>
      <c r="Q67" s="150"/>
      <c r="R67" s="57">
        <v>43803</v>
      </c>
      <c r="S67" s="57" t="s">
        <v>30</v>
      </c>
      <c r="T67" s="57" t="s">
        <v>30</v>
      </c>
      <c r="U67" s="34" t="s">
        <v>30</v>
      </c>
      <c r="V67" s="57" t="s">
        <v>30</v>
      </c>
      <c r="W67" s="57" t="s">
        <v>30</v>
      </c>
      <c r="X67" s="57" t="s">
        <v>30</v>
      </c>
      <c r="Y67" s="137">
        <f t="shared" si="15"/>
        <v>44168</v>
      </c>
      <c r="Z67" s="57" t="str">
        <f t="shared" si="16"/>
        <v>NC</v>
      </c>
      <c r="AA67" s="57" t="str">
        <f t="shared" si="17"/>
        <v>NC</v>
      </c>
      <c r="AB67" s="57" t="str">
        <f t="shared" si="18"/>
        <v>NC</v>
      </c>
      <c r="AC67" s="57" t="str">
        <f t="shared" si="19"/>
        <v>NC</v>
      </c>
      <c r="AD67" s="57" t="str">
        <f t="shared" si="20"/>
        <v>NC</v>
      </c>
      <c r="AE67" s="57" t="str">
        <f t="shared" si="21"/>
        <v>NC</v>
      </c>
      <c r="AG67" s="123">
        <f t="shared" ca="1" si="22"/>
        <v>-1419</v>
      </c>
      <c r="AH67" s="123" t="str">
        <f t="shared" si="23"/>
        <v>NC</v>
      </c>
      <c r="AI67" s="123" t="str">
        <f t="shared" si="24"/>
        <v>NC</v>
      </c>
      <c r="AJ67" s="123" t="str">
        <f t="shared" si="25"/>
        <v>NC</v>
      </c>
      <c r="AK67" s="123" t="str">
        <f t="shared" si="26"/>
        <v>NC</v>
      </c>
      <c r="AL67" s="123" t="str">
        <f t="shared" si="27"/>
        <v>NC</v>
      </c>
      <c r="AM67" s="123" t="str">
        <f t="shared" si="28"/>
        <v>NC</v>
      </c>
      <c r="AN67" s="138"/>
      <c r="AO67" s="151" t="e">
        <f t="shared" si="29"/>
        <v>#DIV/0!</v>
      </c>
      <c r="AP67" s="152"/>
      <c r="AR67" s="138" t="s">
        <v>469</v>
      </c>
      <c r="AS67" s="141" t="s">
        <v>643</v>
      </c>
      <c r="AT67" s="124" t="s">
        <v>1048</v>
      </c>
      <c r="AU67" s="143" t="s">
        <v>1208</v>
      </c>
      <c r="AV67" s="143" t="s">
        <v>827</v>
      </c>
      <c r="AW67" s="143" t="s">
        <v>1229</v>
      </c>
    </row>
    <row r="68" spans="1:49" s="124" customFormat="1" ht="14.4" customHeight="1" x14ac:dyDescent="0.3">
      <c r="A68" s="123" t="s">
        <v>1737</v>
      </c>
      <c r="B68" s="123" t="s">
        <v>1531</v>
      </c>
      <c r="C68" s="123"/>
      <c r="D68" s="123" t="s">
        <v>1577</v>
      </c>
      <c r="E68" s="123" t="s">
        <v>1725</v>
      </c>
      <c r="F68" s="117"/>
      <c r="G68" s="99"/>
      <c r="H68" s="99"/>
      <c r="I68" s="99"/>
      <c r="J68" s="144">
        <v>43830</v>
      </c>
      <c r="K68" s="145"/>
      <c r="L68" s="146"/>
      <c r="M68" s="154">
        <v>43922</v>
      </c>
      <c r="N68" s="133">
        <v>43983</v>
      </c>
      <c r="O68" s="148"/>
      <c r="P68" s="149" t="s">
        <v>596</v>
      </c>
      <c r="Q68" s="150"/>
      <c r="R68" s="57">
        <v>43546</v>
      </c>
      <c r="S68" s="57" t="s">
        <v>30</v>
      </c>
      <c r="T68" s="57" t="s">
        <v>30</v>
      </c>
      <c r="U68" s="34" t="s">
        <v>30</v>
      </c>
      <c r="V68" s="57" t="s">
        <v>30</v>
      </c>
      <c r="W68" s="57" t="s">
        <v>30</v>
      </c>
      <c r="X68" s="57" t="s">
        <v>30</v>
      </c>
      <c r="Y68" s="137">
        <f t="shared" si="15"/>
        <v>43911</v>
      </c>
      <c r="Z68" s="57" t="str">
        <f t="shared" si="16"/>
        <v>NC</v>
      </c>
      <c r="AA68" s="57" t="str">
        <f t="shared" si="17"/>
        <v>NC</v>
      </c>
      <c r="AB68" s="57" t="str">
        <f t="shared" si="18"/>
        <v>NC</v>
      </c>
      <c r="AC68" s="57" t="str">
        <f t="shared" si="19"/>
        <v>NC</v>
      </c>
      <c r="AD68" s="57" t="str">
        <f t="shared" si="20"/>
        <v>NC</v>
      </c>
      <c r="AE68" s="57" t="str">
        <f t="shared" si="21"/>
        <v>NC</v>
      </c>
      <c r="AG68" s="123">
        <f t="shared" ca="1" si="22"/>
        <v>-1676</v>
      </c>
      <c r="AH68" s="123" t="str">
        <f t="shared" si="23"/>
        <v>NC</v>
      </c>
      <c r="AI68" s="123" t="str">
        <f t="shared" si="24"/>
        <v>NC</v>
      </c>
      <c r="AJ68" s="123" t="str">
        <f t="shared" si="25"/>
        <v>NC</v>
      </c>
      <c r="AK68" s="123" t="str">
        <f t="shared" si="26"/>
        <v>NC</v>
      </c>
      <c r="AL68" s="123" t="str">
        <f t="shared" si="27"/>
        <v>NC</v>
      </c>
      <c r="AM68" s="123" t="str">
        <f t="shared" si="28"/>
        <v>NC</v>
      </c>
      <c r="AN68" s="138"/>
      <c r="AO68" s="151" t="e">
        <f t="shared" si="29"/>
        <v>#DIV/0!</v>
      </c>
      <c r="AP68" s="152"/>
      <c r="AR68" s="138" t="s">
        <v>469</v>
      </c>
      <c r="AS68" s="141" t="s">
        <v>643</v>
      </c>
      <c r="AT68" s="124" t="s">
        <v>749</v>
      </c>
      <c r="AU68" s="143" t="s">
        <v>1208</v>
      </c>
      <c r="AV68" s="143" t="s">
        <v>1407</v>
      </c>
      <c r="AW68" s="143" t="s">
        <v>1214</v>
      </c>
    </row>
    <row r="69" spans="1:49" s="138" customFormat="1" ht="14.4" customHeight="1" x14ac:dyDescent="0.3">
      <c r="A69" s="123" t="s">
        <v>1738</v>
      </c>
      <c r="B69" s="123" t="s">
        <v>1449</v>
      </c>
      <c r="C69" s="123" t="s">
        <v>1719</v>
      </c>
      <c r="D69" s="123" t="s">
        <v>1577</v>
      </c>
      <c r="E69" s="123" t="s">
        <v>1725</v>
      </c>
      <c r="F69" s="117"/>
      <c r="G69" s="99"/>
      <c r="H69" s="99"/>
      <c r="I69" s="99"/>
      <c r="J69" s="144">
        <v>43830</v>
      </c>
      <c r="K69" s="145"/>
      <c r="L69" s="146"/>
      <c r="M69" s="154">
        <v>43922</v>
      </c>
      <c r="N69" s="133">
        <v>43983</v>
      </c>
      <c r="O69" s="148"/>
      <c r="P69" s="149" t="s">
        <v>596</v>
      </c>
      <c r="Q69" s="150"/>
      <c r="R69" s="57">
        <v>43544</v>
      </c>
      <c r="S69" s="57" t="s">
        <v>30</v>
      </c>
      <c r="T69" s="57" t="s">
        <v>30</v>
      </c>
      <c r="U69" s="34" t="s">
        <v>30</v>
      </c>
      <c r="V69" s="57" t="s">
        <v>30</v>
      </c>
      <c r="W69" s="57" t="s">
        <v>30</v>
      </c>
      <c r="X69" s="57" t="s">
        <v>30</v>
      </c>
      <c r="Y69" s="137">
        <f t="shared" si="15"/>
        <v>43909</v>
      </c>
      <c r="Z69" s="57" t="str">
        <f t="shared" si="16"/>
        <v>NC</v>
      </c>
      <c r="AA69" s="57" t="str">
        <f t="shared" si="17"/>
        <v>NC</v>
      </c>
      <c r="AB69" s="57" t="str">
        <f t="shared" si="18"/>
        <v>NC</v>
      </c>
      <c r="AC69" s="57" t="str">
        <f t="shared" si="19"/>
        <v>NC</v>
      </c>
      <c r="AD69" s="57" t="str">
        <f t="shared" si="20"/>
        <v>NC</v>
      </c>
      <c r="AE69" s="57" t="str">
        <f t="shared" si="21"/>
        <v>NC</v>
      </c>
      <c r="AF69" s="124"/>
      <c r="AG69" s="123">
        <f t="shared" ca="1" si="22"/>
        <v>-1678</v>
      </c>
      <c r="AH69" s="123" t="str">
        <f t="shared" si="23"/>
        <v>NC</v>
      </c>
      <c r="AI69" s="123" t="str">
        <f t="shared" si="24"/>
        <v>NC</v>
      </c>
      <c r="AJ69" s="123" t="str">
        <f t="shared" si="25"/>
        <v>NC</v>
      </c>
      <c r="AK69" s="123" t="str">
        <f t="shared" si="26"/>
        <v>NC</v>
      </c>
      <c r="AL69" s="123" t="str">
        <f t="shared" si="27"/>
        <v>NC</v>
      </c>
      <c r="AM69" s="123" t="str">
        <f t="shared" si="28"/>
        <v>NC</v>
      </c>
      <c r="AO69" s="151" t="e">
        <f t="shared" si="29"/>
        <v>#DIV/0!</v>
      </c>
      <c r="AP69" s="152"/>
      <c r="AQ69" s="124"/>
      <c r="AR69" s="138" t="s">
        <v>469</v>
      </c>
      <c r="AS69" s="141" t="s">
        <v>643</v>
      </c>
      <c r="AT69" s="124" t="s">
        <v>754</v>
      </c>
      <c r="AU69" s="143" t="s">
        <v>1208</v>
      </c>
      <c r="AV69" s="143" t="s">
        <v>1407</v>
      </c>
      <c r="AW69" s="143" t="s">
        <v>1214</v>
      </c>
    </row>
    <row r="70" spans="1:49" s="155" customFormat="1" ht="14.4" customHeight="1" x14ac:dyDescent="0.3">
      <c r="A70" s="123" t="s">
        <v>1739</v>
      </c>
      <c r="B70" s="123" t="s">
        <v>1449</v>
      </c>
      <c r="C70" s="123"/>
      <c r="D70" s="123" t="s">
        <v>1726</v>
      </c>
      <c r="E70" s="123" t="s">
        <v>1725</v>
      </c>
      <c r="F70" s="117"/>
      <c r="G70" s="99"/>
      <c r="H70" s="99"/>
      <c r="I70" s="99"/>
      <c r="J70" s="144">
        <v>43830</v>
      </c>
      <c r="K70" s="153"/>
      <c r="L70" s="146"/>
      <c r="M70" s="154">
        <v>44317</v>
      </c>
      <c r="N70" s="133">
        <v>44166</v>
      </c>
      <c r="O70" s="148"/>
      <c r="P70" s="149" t="s">
        <v>596</v>
      </c>
      <c r="Q70" s="150"/>
      <c r="R70" s="57">
        <v>43566</v>
      </c>
      <c r="S70" s="57" t="s">
        <v>30</v>
      </c>
      <c r="T70" s="57" t="s">
        <v>30</v>
      </c>
      <c r="U70" s="34" t="s">
        <v>30</v>
      </c>
      <c r="V70" s="57" t="s">
        <v>30</v>
      </c>
      <c r="W70" s="57" t="s">
        <v>30</v>
      </c>
      <c r="X70" s="57" t="s">
        <v>30</v>
      </c>
      <c r="Y70" s="137">
        <f t="shared" ref="Y70:Y101" si="30">IF(R70="NC","NC",IF(R70="","erreur",R70+365))</f>
        <v>43931</v>
      </c>
      <c r="Z70" s="57" t="str">
        <f t="shared" ref="Z70:Z101" si="31">IF(S70="NC","NC",IF(S70="","erreur",S70+181))</f>
        <v>NC</v>
      </c>
      <c r="AA70" s="57" t="str">
        <f t="shared" ref="AA70:AA101" si="32">IF(T70="NC","NC",IF(T70="","erreur",T70+365))</f>
        <v>NC</v>
      </c>
      <c r="AB70" s="57" t="str">
        <f t="shared" ref="AB70:AB101" si="33">IF(U70="NC","NC",IF(U70="","erreur",U70+3650))</f>
        <v>NC</v>
      </c>
      <c r="AC70" s="57" t="str">
        <f t="shared" ref="AC70:AC101" si="34">IF(V70="NC","NC",IF(V70="","erreur",V70+365))</f>
        <v>NC</v>
      </c>
      <c r="AD70" s="57" t="str">
        <f t="shared" ref="AD70:AD101" si="35">IF(W70="NC","NC",IF(W70="","erreur",W70+365))</f>
        <v>NC</v>
      </c>
      <c r="AE70" s="57" t="str">
        <f t="shared" ref="AE70:AE101" si="36">IF(X70="NC","NC",IF(X70="","erreur",X70+730))</f>
        <v>NC</v>
      </c>
      <c r="AF70" s="124"/>
      <c r="AG70" s="123">
        <f t="shared" ref="AG70:AG101" ca="1" si="37">IF(Y70="NC","NC",IF(Y70="erreur","erreur",Y70-$F$3))</f>
        <v>-1656</v>
      </c>
      <c r="AH70" s="123" t="str">
        <f t="shared" ref="AH70:AH101" si="38">IF(Z70="NC","NC",IF(Z70="erreur","erreur",Z70-$F$3))</f>
        <v>NC</v>
      </c>
      <c r="AI70" s="123" t="str">
        <f t="shared" ref="AI70:AI101" si="39">IF(AA70="NC","NC",IF(AA70="erreur","erreur",AA70-$F$3))</f>
        <v>NC</v>
      </c>
      <c r="AJ70" s="123" t="str">
        <f t="shared" ref="AJ70:AJ101" si="40">IF(AB70="NC","NC",IF(AB70="erreur","erreur",AB70-$F$3))</f>
        <v>NC</v>
      </c>
      <c r="AK70" s="123" t="str">
        <f t="shared" ref="AK70:AK101" si="41">IF(AC70="NC","NC",IF(AC70="erreur","erreur",AC70-$F$3))</f>
        <v>NC</v>
      </c>
      <c r="AL70" s="123" t="str">
        <f t="shared" ref="AL70:AL101" si="42">IF(AD70="NC","NC",IF(AD70="erreur","erreur",AD70-$F$3))</f>
        <v>NC</v>
      </c>
      <c r="AM70" s="123" t="str">
        <f t="shared" ref="AM70:AM101" si="43">IF(AE70="NC","NC",IF(AE70="erreur","erreur",AE70-$F$3))</f>
        <v>NC</v>
      </c>
      <c r="AN70" s="138"/>
      <c r="AO70" s="151" t="e">
        <f t="shared" ref="AO70:AO101" si="44">K70*($AO$3-L70)/$K$4</f>
        <v>#DIV/0!</v>
      </c>
      <c r="AP70" s="152"/>
      <c r="AQ70" s="124" t="s">
        <v>395</v>
      </c>
      <c r="AR70" s="138" t="s">
        <v>583</v>
      </c>
      <c r="AS70" s="141" t="s">
        <v>643</v>
      </c>
      <c r="AT70" s="124" t="s">
        <v>744</v>
      </c>
      <c r="AU70" s="143" t="s">
        <v>1215</v>
      </c>
      <c r="AV70" s="143" t="s">
        <v>1216</v>
      </c>
      <c r="AW70" s="143" t="s">
        <v>1217</v>
      </c>
    </row>
    <row r="71" spans="1:49" s="124" customFormat="1" ht="14.4" customHeight="1" x14ac:dyDescent="0.3">
      <c r="A71" s="123" t="s">
        <v>1740</v>
      </c>
      <c r="B71" s="123" t="s">
        <v>1449</v>
      </c>
      <c r="C71" s="123"/>
      <c r="D71" s="123" t="s">
        <v>1726</v>
      </c>
      <c r="E71" s="123" t="s">
        <v>1725</v>
      </c>
      <c r="F71" s="117"/>
      <c r="G71" s="99"/>
      <c r="H71" s="99"/>
      <c r="I71" s="99"/>
      <c r="J71" s="144">
        <v>43830</v>
      </c>
      <c r="K71" s="145"/>
      <c r="L71" s="146"/>
      <c r="M71" s="154">
        <v>44317</v>
      </c>
      <c r="N71" s="133">
        <v>44166</v>
      </c>
      <c r="O71" s="148" t="s">
        <v>614</v>
      </c>
      <c r="P71" s="149" t="s">
        <v>596</v>
      </c>
      <c r="Q71" s="150"/>
      <c r="R71" s="57">
        <v>43566</v>
      </c>
      <c r="S71" s="57" t="s">
        <v>30</v>
      </c>
      <c r="T71" s="57" t="s">
        <v>30</v>
      </c>
      <c r="U71" s="34" t="s">
        <v>30</v>
      </c>
      <c r="V71" s="57" t="s">
        <v>30</v>
      </c>
      <c r="W71" s="57" t="s">
        <v>30</v>
      </c>
      <c r="X71" s="57" t="s">
        <v>30</v>
      </c>
      <c r="Y71" s="137">
        <f t="shared" si="30"/>
        <v>43931</v>
      </c>
      <c r="Z71" s="57" t="str">
        <f t="shared" si="31"/>
        <v>NC</v>
      </c>
      <c r="AA71" s="57" t="str">
        <f t="shared" si="32"/>
        <v>NC</v>
      </c>
      <c r="AB71" s="57" t="str">
        <f t="shared" si="33"/>
        <v>NC</v>
      </c>
      <c r="AC71" s="57" t="str">
        <f t="shared" si="34"/>
        <v>NC</v>
      </c>
      <c r="AD71" s="57" t="str">
        <f t="shared" si="35"/>
        <v>NC</v>
      </c>
      <c r="AE71" s="57" t="str">
        <f t="shared" si="36"/>
        <v>NC</v>
      </c>
      <c r="AG71" s="123">
        <f t="shared" ca="1" si="37"/>
        <v>-1656</v>
      </c>
      <c r="AH71" s="123" t="str">
        <f t="shared" si="38"/>
        <v>NC</v>
      </c>
      <c r="AI71" s="123" t="str">
        <f t="shared" si="39"/>
        <v>NC</v>
      </c>
      <c r="AJ71" s="123" t="str">
        <f t="shared" si="40"/>
        <v>NC</v>
      </c>
      <c r="AK71" s="123" t="str">
        <f t="shared" si="41"/>
        <v>NC</v>
      </c>
      <c r="AL71" s="123" t="str">
        <f t="shared" si="42"/>
        <v>NC</v>
      </c>
      <c r="AM71" s="123" t="str">
        <f t="shared" si="43"/>
        <v>NC</v>
      </c>
      <c r="AN71" s="138"/>
      <c r="AO71" s="151" t="e">
        <f t="shared" si="44"/>
        <v>#DIV/0!</v>
      </c>
      <c r="AP71" s="152"/>
      <c r="AR71" s="138" t="s">
        <v>583</v>
      </c>
      <c r="AS71" s="141" t="s">
        <v>643</v>
      </c>
      <c r="AT71" s="124" t="s">
        <v>690</v>
      </c>
      <c r="AU71" s="143" t="s">
        <v>1218</v>
      </c>
      <c r="AV71" s="143" t="s">
        <v>1219</v>
      </c>
      <c r="AW71" s="143" t="s">
        <v>1220</v>
      </c>
    </row>
    <row r="72" spans="1:49" s="124" customFormat="1" ht="14.4" customHeight="1" x14ac:dyDescent="0.3">
      <c r="A72" s="123" t="s">
        <v>1741</v>
      </c>
      <c r="B72" s="123" t="s">
        <v>873</v>
      </c>
      <c r="C72" s="123"/>
      <c r="D72" s="123" t="s">
        <v>1577</v>
      </c>
      <c r="E72" s="123" t="s">
        <v>1725</v>
      </c>
      <c r="F72" s="117"/>
      <c r="G72" s="99"/>
      <c r="H72" s="99"/>
      <c r="I72" s="99"/>
      <c r="J72" s="144">
        <v>43830</v>
      </c>
      <c r="K72" s="145"/>
      <c r="L72" s="146"/>
      <c r="M72" s="154">
        <v>44378</v>
      </c>
      <c r="N72" s="133">
        <v>44166</v>
      </c>
      <c r="O72" s="148"/>
      <c r="P72" s="149" t="s">
        <v>596</v>
      </c>
      <c r="Q72" s="150"/>
      <c r="R72" s="57">
        <v>43650</v>
      </c>
      <c r="S72" s="57" t="s">
        <v>30</v>
      </c>
      <c r="T72" s="57" t="s">
        <v>30</v>
      </c>
      <c r="U72" s="34" t="s">
        <v>30</v>
      </c>
      <c r="V72" s="57" t="s">
        <v>30</v>
      </c>
      <c r="W72" s="57" t="s">
        <v>30</v>
      </c>
      <c r="X72" s="57" t="s">
        <v>30</v>
      </c>
      <c r="Y72" s="137">
        <f t="shared" si="30"/>
        <v>44015</v>
      </c>
      <c r="Z72" s="57" t="str">
        <f t="shared" si="31"/>
        <v>NC</v>
      </c>
      <c r="AA72" s="57" t="str">
        <f t="shared" si="32"/>
        <v>NC</v>
      </c>
      <c r="AB72" s="57" t="str">
        <f t="shared" si="33"/>
        <v>NC</v>
      </c>
      <c r="AC72" s="57" t="str">
        <f t="shared" si="34"/>
        <v>NC</v>
      </c>
      <c r="AD72" s="57" t="str">
        <f t="shared" si="35"/>
        <v>NC</v>
      </c>
      <c r="AE72" s="57" t="str">
        <f t="shared" si="36"/>
        <v>NC</v>
      </c>
      <c r="AG72" s="123">
        <f t="shared" ca="1" si="37"/>
        <v>-1572</v>
      </c>
      <c r="AH72" s="123" t="str">
        <f t="shared" si="38"/>
        <v>NC</v>
      </c>
      <c r="AI72" s="123" t="str">
        <f t="shared" si="39"/>
        <v>NC</v>
      </c>
      <c r="AJ72" s="123" t="str">
        <f t="shared" si="40"/>
        <v>NC</v>
      </c>
      <c r="AK72" s="123" t="str">
        <f t="shared" si="41"/>
        <v>NC</v>
      </c>
      <c r="AL72" s="123" t="str">
        <f t="shared" si="42"/>
        <v>NC</v>
      </c>
      <c r="AM72" s="123" t="str">
        <f t="shared" si="43"/>
        <v>NC</v>
      </c>
      <c r="AN72" s="138"/>
      <c r="AO72" s="151" t="e">
        <f t="shared" si="44"/>
        <v>#DIV/0!</v>
      </c>
      <c r="AP72" s="152"/>
      <c r="AR72" s="138" t="s">
        <v>469</v>
      </c>
      <c r="AS72" s="141" t="s">
        <v>643</v>
      </c>
      <c r="AT72" s="124" t="s">
        <v>902</v>
      </c>
      <c r="AU72" s="143" t="s">
        <v>1208</v>
      </c>
      <c r="AV72" s="143" t="s">
        <v>1407</v>
      </c>
      <c r="AW72" s="143" t="s">
        <v>1214</v>
      </c>
    </row>
    <row r="73" spans="1:49" s="138" customFormat="1" ht="14.4" customHeight="1" x14ac:dyDescent="0.3">
      <c r="A73" s="270" t="s">
        <v>1742</v>
      </c>
      <c r="B73" s="270" t="s">
        <v>1712</v>
      </c>
      <c r="C73" s="270"/>
      <c r="D73" s="270" t="s">
        <v>1577</v>
      </c>
      <c r="E73" s="270" t="s">
        <v>1725</v>
      </c>
      <c r="F73" s="117"/>
      <c r="G73" s="99"/>
      <c r="H73" s="99"/>
      <c r="I73" s="99"/>
      <c r="J73" s="144">
        <v>43830</v>
      </c>
      <c r="K73" s="145"/>
      <c r="L73" s="146"/>
      <c r="M73" s="154">
        <v>44409</v>
      </c>
      <c r="N73" s="133">
        <v>44166</v>
      </c>
      <c r="O73" s="148"/>
      <c r="P73" s="149" t="s">
        <v>596</v>
      </c>
      <c r="Q73" s="150"/>
      <c r="R73" s="57">
        <v>43671</v>
      </c>
      <c r="S73" s="57" t="s">
        <v>30</v>
      </c>
      <c r="T73" s="57" t="s">
        <v>30</v>
      </c>
      <c r="U73" s="34" t="s">
        <v>30</v>
      </c>
      <c r="V73" s="57" t="s">
        <v>30</v>
      </c>
      <c r="W73" s="57" t="s">
        <v>30</v>
      </c>
      <c r="X73" s="57" t="s">
        <v>30</v>
      </c>
      <c r="Y73" s="137">
        <f t="shared" si="30"/>
        <v>44036</v>
      </c>
      <c r="Z73" s="57" t="str">
        <f t="shared" si="31"/>
        <v>NC</v>
      </c>
      <c r="AA73" s="57" t="str">
        <f t="shared" si="32"/>
        <v>NC</v>
      </c>
      <c r="AB73" s="57" t="str">
        <f t="shared" si="33"/>
        <v>NC</v>
      </c>
      <c r="AC73" s="57" t="str">
        <f t="shared" si="34"/>
        <v>NC</v>
      </c>
      <c r="AD73" s="57" t="str">
        <f t="shared" si="35"/>
        <v>NC</v>
      </c>
      <c r="AE73" s="57" t="str">
        <f t="shared" si="36"/>
        <v>NC</v>
      </c>
      <c r="AF73" s="124"/>
      <c r="AG73" s="123">
        <f t="shared" ca="1" si="37"/>
        <v>-1551</v>
      </c>
      <c r="AH73" s="123" t="str">
        <f t="shared" si="38"/>
        <v>NC</v>
      </c>
      <c r="AI73" s="123" t="str">
        <f t="shared" si="39"/>
        <v>NC</v>
      </c>
      <c r="AJ73" s="123" t="str">
        <f t="shared" si="40"/>
        <v>NC</v>
      </c>
      <c r="AK73" s="123" t="str">
        <f t="shared" si="41"/>
        <v>NC</v>
      </c>
      <c r="AL73" s="123" t="str">
        <f t="shared" si="42"/>
        <v>NC</v>
      </c>
      <c r="AM73" s="123" t="str">
        <f t="shared" si="43"/>
        <v>NC</v>
      </c>
      <c r="AO73" s="151" t="e">
        <f t="shared" si="44"/>
        <v>#DIV/0!</v>
      </c>
      <c r="AP73" s="152"/>
      <c r="AQ73" s="124"/>
      <c r="AR73" s="138" t="s">
        <v>469</v>
      </c>
      <c r="AS73" s="141" t="s">
        <v>643</v>
      </c>
      <c r="AT73" s="124" t="s">
        <v>1015</v>
      </c>
      <c r="AU73" s="143" t="s">
        <v>1208</v>
      </c>
      <c r="AV73" s="143" t="s">
        <v>1407</v>
      </c>
      <c r="AW73" s="143" t="s">
        <v>1221</v>
      </c>
    </row>
    <row r="74" spans="1:49" s="138" customFormat="1" ht="14.4" customHeight="1" x14ac:dyDescent="0.3">
      <c r="A74" s="123" t="s">
        <v>1748</v>
      </c>
      <c r="B74" s="123" t="s">
        <v>1532</v>
      </c>
      <c r="C74" s="123" t="s">
        <v>1720</v>
      </c>
      <c r="D74" s="123" t="s">
        <v>1577</v>
      </c>
      <c r="E74" s="123" t="s">
        <v>1725</v>
      </c>
      <c r="F74" s="117"/>
      <c r="G74" s="99"/>
      <c r="H74" s="99"/>
      <c r="I74" s="99"/>
      <c r="J74" s="144">
        <v>43830</v>
      </c>
      <c r="K74" s="145"/>
      <c r="L74" s="146"/>
      <c r="M74" s="154">
        <v>44378</v>
      </c>
      <c r="N74" s="133">
        <v>44166</v>
      </c>
      <c r="O74" s="148"/>
      <c r="P74" s="149" t="s">
        <v>596</v>
      </c>
      <c r="Q74" s="150"/>
      <c r="R74" s="57">
        <v>43609</v>
      </c>
      <c r="S74" s="57" t="s">
        <v>30</v>
      </c>
      <c r="T74" s="57" t="s">
        <v>30</v>
      </c>
      <c r="U74" s="34" t="s">
        <v>30</v>
      </c>
      <c r="V74" s="57" t="s">
        <v>30</v>
      </c>
      <c r="W74" s="57" t="s">
        <v>30</v>
      </c>
      <c r="X74" s="57" t="s">
        <v>30</v>
      </c>
      <c r="Y74" s="137">
        <f t="shared" si="30"/>
        <v>43974</v>
      </c>
      <c r="Z74" s="57" t="str">
        <f t="shared" si="31"/>
        <v>NC</v>
      </c>
      <c r="AA74" s="57" t="str">
        <f t="shared" si="32"/>
        <v>NC</v>
      </c>
      <c r="AB74" s="57" t="str">
        <f t="shared" si="33"/>
        <v>NC</v>
      </c>
      <c r="AC74" s="57" t="str">
        <f t="shared" si="34"/>
        <v>NC</v>
      </c>
      <c r="AD74" s="57" t="str">
        <f t="shared" si="35"/>
        <v>NC</v>
      </c>
      <c r="AE74" s="57" t="str">
        <f t="shared" si="36"/>
        <v>NC</v>
      </c>
      <c r="AF74" s="124"/>
      <c r="AG74" s="123">
        <f t="shared" ca="1" si="37"/>
        <v>-1613</v>
      </c>
      <c r="AH74" s="123" t="str">
        <f t="shared" si="38"/>
        <v>NC</v>
      </c>
      <c r="AI74" s="123" t="str">
        <f t="shared" si="39"/>
        <v>NC</v>
      </c>
      <c r="AJ74" s="123" t="str">
        <f t="shared" si="40"/>
        <v>NC</v>
      </c>
      <c r="AK74" s="123" t="str">
        <f t="shared" si="41"/>
        <v>NC</v>
      </c>
      <c r="AL74" s="123" t="str">
        <f t="shared" si="42"/>
        <v>NC</v>
      </c>
      <c r="AM74" s="123" t="str">
        <f t="shared" si="43"/>
        <v>NC</v>
      </c>
      <c r="AO74" s="151" t="e">
        <f t="shared" si="44"/>
        <v>#DIV/0!</v>
      </c>
      <c r="AP74" s="152"/>
      <c r="AQ74" s="124"/>
      <c r="AR74" s="124" t="s">
        <v>469</v>
      </c>
      <c r="AS74" s="141" t="s">
        <v>643</v>
      </c>
      <c r="AT74" s="138" t="s">
        <v>1024</v>
      </c>
      <c r="AU74" s="142" t="s">
        <v>1208</v>
      </c>
      <c r="AV74" s="143" t="s">
        <v>1407</v>
      </c>
      <c r="AW74" s="143" t="s">
        <v>1222</v>
      </c>
    </row>
    <row r="75" spans="1:49" s="138" customFormat="1" ht="14.4" customHeight="1" x14ac:dyDescent="0.3">
      <c r="A75" s="123" t="s">
        <v>1749</v>
      </c>
      <c r="B75" s="123" t="s">
        <v>1533</v>
      </c>
      <c r="C75" s="123" t="s">
        <v>1721</v>
      </c>
      <c r="D75" s="123" t="s">
        <v>1577</v>
      </c>
      <c r="E75" s="123" t="s">
        <v>1725</v>
      </c>
      <c r="F75" s="117"/>
      <c r="G75" s="99"/>
      <c r="H75" s="99"/>
      <c r="I75" s="99"/>
      <c r="J75" s="144">
        <v>43830</v>
      </c>
      <c r="K75" s="145"/>
      <c r="L75" s="146"/>
      <c r="M75" s="147" t="s">
        <v>609</v>
      </c>
      <c r="N75" s="133">
        <v>44166</v>
      </c>
      <c r="O75" s="148"/>
      <c r="P75" s="149" t="s">
        <v>596</v>
      </c>
      <c r="Q75" s="150"/>
      <c r="R75" s="57">
        <v>43557</v>
      </c>
      <c r="S75" s="57" t="s">
        <v>30</v>
      </c>
      <c r="T75" s="57" t="s">
        <v>30</v>
      </c>
      <c r="U75" s="34" t="s">
        <v>30</v>
      </c>
      <c r="V75" s="57" t="s">
        <v>30</v>
      </c>
      <c r="W75" s="57" t="s">
        <v>30</v>
      </c>
      <c r="X75" s="57" t="s">
        <v>30</v>
      </c>
      <c r="Y75" s="137">
        <f t="shared" si="30"/>
        <v>43922</v>
      </c>
      <c r="Z75" s="57" t="str">
        <f t="shared" si="31"/>
        <v>NC</v>
      </c>
      <c r="AA75" s="57" t="str">
        <f t="shared" si="32"/>
        <v>NC</v>
      </c>
      <c r="AB75" s="57" t="str">
        <f t="shared" si="33"/>
        <v>NC</v>
      </c>
      <c r="AC75" s="57" t="str">
        <f t="shared" si="34"/>
        <v>NC</v>
      </c>
      <c r="AD75" s="57" t="str">
        <f t="shared" si="35"/>
        <v>NC</v>
      </c>
      <c r="AE75" s="57" t="str">
        <f t="shared" si="36"/>
        <v>NC</v>
      </c>
      <c r="AF75" s="124"/>
      <c r="AG75" s="123">
        <f t="shared" ca="1" si="37"/>
        <v>-1665</v>
      </c>
      <c r="AH75" s="123" t="str">
        <f t="shared" si="38"/>
        <v>NC</v>
      </c>
      <c r="AI75" s="123" t="str">
        <f t="shared" si="39"/>
        <v>NC</v>
      </c>
      <c r="AJ75" s="123" t="str">
        <f t="shared" si="40"/>
        <v>NC</v>
      </c>
      <c r="AK75" s="123" t="str">
        <f t="shared" si="41"/>
        <v>NC</v>
      </c>
      <c r="AL75" s="123" t="str">
        <f t="shared" si="42"/>
        <v>NC</v>
      </c>
      <c r="AM75" s="123" t="str">
        <f t="shared" si="43"/>
        <v>NC</v>
      </c>
      <c r="AO75" s="151" t="e">
        <f t="shared" si="44"/>
        <v>#DIV/0!</v>
      </c>
      <c r="AP75" s="152"/>
      <c r="AQ75" s="124"/>
      <c r="AR75" s="124" t="s">
        <v>469</v>
      </c>
      <c r="AS75" s="141" t="s">
        <v>643</v>
      </c>
      <c r="AT75" s="124" t="s">
        <v>497</v>
      </c>
      <c r="AU75" s="143" t="s">
        <v>1208</v>
      </c>
      <c r="AV75" s="143" t="s">
        <v>827</v>
      </c>
      <c r="AW75" s="143" t="s">
        <v>1223</v>
      </c>
    </row>
    <row r="76" spans="1:49" s="138" customFormat="1" ht="14.4" customHeight="1" x14ac:dyDescent="0.3">
      <c r="A76" s="123" t="s">
        <v>1750</v>
      </c>
      <c r="B76" s="123" t="s">
        <v>1534</v>
      </c>
      <c r="C76" s="123" t="s">
        <v>1722</v>
      </c>
      <c r="D76" s="123" t="s">
        <v>1577</v>
      </c>
      <c r="E76" s="123" t="s">
        <v>1725</v>
      </c>
      <c r="F76" s="117"/>
      <c r="G76" s="120"/>
      <c r="H76" s="120"/>
      <c r="I76" s="120"/>
      <c r="J76" s="156">
        <v>43830</v>
      </c>
      <c r="K76" s="134"/>
      <c r="L76" s="120"/>
      <c r="M76" s="132"/>
      <c r="N76" s="157"/>
      <c r="O76" s="116"/>
      <c r="P76" s="135" t="s">
        <v>596</v>
      </c>
      <c r="Q76" s="116"/>
      <c r="R76" s="57">
        <v>43643</v>
      </c>
      <c r="S76" s="57" t="s">
        <v>30</v>
      </c>
      <c r="T76" s="57" t="s">
        <v>30</v>
      </c>
      <c r="U76" s="34" t="s">
        <v>30</v>
      </c>
      <c r="V76" s="57" t="s">
        <v>30</v>
      </c>
      <c r="W76" s="57" t="s">
        <v>30</v>
      </c>
      <c r="X76" s="57" t="s">
        <v>30</v>
      </c>
      <c r="Y76" s="137">
        <f t="shared" si="30"/>
        <v>44008</v>
      </c>
      <c r="Z76" s="57" t="str">
        <f t="shared" si="31"/>
        <v>NC</v>
      </c>
      <c r="AA76" s="57" t="str">
        <f t="shared" si="32"/>
        <v>NC</v>
      </c>
      <c r="AB76" s="57" t="str">
        <f t="shared" si="33"/>
        <v>NC</v>
      </c>
      <c r="AC76" s="57" t="str">
        <f t="shared" si="34"/>
        <v>NC</v>
      </c>
      <c r="AD76" s="57" t="str">
        <f t="shared" si="35"/>
        <v>NC</v>
      </c>
      <c r="AE76" s="57" t="str">
        <f t="shared" si="36"/>
        <v>NC</v>
      </c>
      <c r="AG76" s="123">
        <f t="shared" ca="1" si="37"/>
        <v>-1579</v>
      </c>
      <c r="AH76" s="123" t="str">
        <f t="shared" si="38"/>
        <v>NC</v>
      </c>
      <c r="AI76" s="123" t="str">
        <f t="shared" si="39"/>
        <v>NC</v>
      </c>
      <c r="AJ76" s="123" t="str">
        <f t="shared" si="40"/>
        <v>NC</v>
      </c>
      <c r="AK76" s="123" t="str">
        <f t="shared" si="41"/>
        <v>NC</v>
      </c>
      <c r="AL76" s="123" t="str">
        <f t="shared" si="42"/>
        <v>NC</v>
      </c>
      <c r="AM76" s="123" t="str">
        <f t="shared" si="43"/>
        <v>NC</v>
      </c>
      <c r="AO76" s="139" t="e">
        <f t="shared" si="44"/>
        <v>#DIV/0!</v>
      </c>
      <c r="AR76" s="138" t="s">
        <v>473</v>
      </c>
      <c r="AS76" s="141" t="s">
        <v>643</v>
      </c>
      <c r="AT76" s="138" t="s">
        <v>742</v>
      </c>
      <c r="AU76" s="142" t="s">
        <v>1211</v>
      </c>
      <c r="AV76" s="143" t="s">
        <v>1225</v>
      </c>
      <c r="AW76" s="143"/>
    </row>
    <row r="77" spans="1:49" s="138" customFormat="1" ht="14.4" customHeight="1" x14ac:dyDescent="0.3">
      <c r="A77" s="123" t="s">
        <v>1743</v>
      </c>
      <c r="B77" s="123" t="s">
        <v>1534</v>
      </c>
      <c r="C77" s="123" t="s">
        <v>1723</v>
      </c>
      <c r="D77" s="123" t="s">
        <v>1577</v>
      </c>
      <c r="E77" s="123" t="s">
        <v>1725</v>
      </c>
      <c r="F77" s="117"/>
      <c r="G77" s="99"/>
      <c r="H77" s="99"/>
      <c r="I77" s="99"/>
      <c r="J77" s="144">
        <v>43830</v>
      </c>
      <c r="K77" s="145"/>
      <c r="L77" s="146"/>
      <c r="M77" s="154">
        <v>44409</v>
      </c>
      <c r="N77" s="133">
        <v>44166</v>
      </c>
      <c r="O77" s="148"/>
      <c r="P77" s="149" t="s">
        <v>596</v>
      </c>
      <c r="Q77" s="150"/>
      <c r="R77" s="57">
        <v>43637</v>
      </c>
      <c r="S77" s="57" t="s">
        <v>30</v>
      </c>
      <c r="T77" s="57" t="s">
        <v>30</v>
      </c>
      <c r="U77" s="34" t="s">
        <v>30</v>
      </c>
      <c r="V77" s="57" t="s">
        <v>30</v>
      </c>
      <c r="W77" s="57" t="s">
        <v>30</v>
      </c>
      <c r="X77" s="57" t="s">
        <v>30</v>
      </c>
      <c r="Y77" s="137">
        <f t="shared" si="30"/>
        <v>44002</v>
      </c>
      <c r="Z77" s="57" t="str">
        <f t="shared" si="31"/>
        <v>NC</v>
      </c>
      <c r="AA77" s="57" t="str">
        <f t="shared" si="32"/>
        <v>NC</v>
      </c>
      <c r="AB77" s="57" t="str">
        <f t="shared" si="33"/>
        <v>NC</v>
      </c>
      <c r="AC77" s="57" t="str">
        <f t="shared" si="34"/>
        <v>NC</v>
      </c>
      <c r="AD77" s="57" t="str">
        <f t="shared" si="35"/>
        <v>NC</v>
      </c>
      <c r="AE77" s="57" t="str">
        <f t="shared" si="36"/>
        <v>NC</v>
      </c>
      <c r="AF77" s="124"/>
      <c r="AG77" s="123">
        <f t="shared" ca="1" si="37"/>
        <v>-1585</v>
      </c>
      <c r="AH77" s="123" t="str">
        <f t="shared" si="38"/>
        <v>NC</v>
      </c>
      <c r="AI77" s="123" t="str">
        <f t="shared" si="39"/>
        <v>NC</v>
      </c>
      <c r="AJ77" s="123" t="str">
        <f t="shared" si="40"/>
        <v>NC</v>
      </c>
      <c r="AK77" s="123" t="str">
        <f t="shared" si="41"/>
        <v>NC</v>
      </c>
      <c r="AL77" s="123" t="str">
        <f t="shared" si="42"/>
        <v>NC</v>
      </c>
      <c r="AM77" s="123" t="str">
        <f t="shared" si="43"/>
        <v>NC</v>
      </c>
      <c r="AO77" s="151" t="e">
        <f t="shared" si="44"/>
        <v>#DIV/0!</v>
      </c>
      <c r="AP77" s="152"/>
      <c r="AQ77" s="124"/>
      <c r="AR77" s="138" t="s">
        <v>583</v>
      </c>
      <c r="AS77" s="141" t="s">
        <v>643</v>
      </c>
      <c r="AT77" s="124" t="s">
        <v>580</v>
      </c>
      <c r="AU77" s="143" t="s">
        <v>1215</v>
      </c>
      <c r="AV77" s="143" t="s">
        <v>1226</v>
      </c>
      <c r="AW77" s="143" t="s">
        <v>1227</v>
      </c>
    </row>
    <row r="78" spans="1:49" s="138" customFormat="1" ht="14.4" customHeight="1" x14ac:dyDescent="0.3">
      <c r="A78" s="123" t="s">
        <v>1751</v>
      </c>
      <c r="B78" s="123" t="s">
        <v>1535</v>
      </c>
      <c r="C78" s="123" t="s">
        <v>1724</v>
      </c>
      <c r="D78" s="123" t="s">
        <v>1577</v>
      </c>
      <c r="E78" s="123" t="s">
        <v>1725</v>
      </c>
      <c r="F78" s="117"/>
      <c r="G78" s="99"/>
      <c r="H78" s="99"/>
      <c r="I78" s="99"/>
      <c r="J78" s="144">
        <v>43830</v>
      </c>
      <c r="K78" s="145"/>
      <c r="L78" s="146"/>
      <c r="M78" s="154">
        <v>44470</v>
      </c>
      <c r="N78" s="133">
        <v>44166</v>
      </c>
      <c r="O78" s="148"/>
      <c r="P78" s="149" t="s">
        <v>596</v>
      </c>
      <c r="Q78" s="150"/>
      <c r="R78" s="57">
        <v>43705</v>
      </c>
      <c r="S78" s="57" t="s">
        <v>30</v>
      </c>
      <c r="T78" s="57" t="s">
        <v>30</v>
      </c>
      <c r="U78" s="34" t="s">
        <v>30</v>
      </c>
      <c r="V78" s="57" t="s">
        <v>30</v>
      </c>
      <c r="W78" s="57" t="s">
        <v>30</v>
      </c>
      <c r="X78" s="57" t="s">
        <v>30</v>
      </c>
      <c r="Y78" s="137">
        <f t="shared" si="30"/>
        <v>44070</v>
      </c>
      <c r="Z78" s="57" t="str">
        <f t="shared" si="31"/>
        <v>NC</v>
      </c>
      <c r="AA78" s="57" t="str">
        <f t="shared" si="32"/>
        <v>NC</v>
      </c>
      <c r="AB78" s="57" t="str">
        <f t="shared" si="33"/>
        <v>NC</v>
      </c>
      <c r="AC78" s="57" t="str">
        <f t="shared" si="34"/>
        <v>NC</v>
      </c>
      <c r="AD78" s="57" t="str">
        <f t="shared" si="35"/>
        <v>NC</v>
      </c>
      <c r="AE78" s="57" t="str">
        <f t="shared" si="36"/>
        <v>NC</v>
      </c>
      <c r="AF78" s="124"/>
      <c r="AG78" s="123">
        <f t="shared" ca="1" si="37"/>
        <v>-1517</v>
      </c>
      <c r="AH78" s="123" t="str">
        <f t="shared" si="38"/>
        <v>NC</v>
      </c>
      <c r="AI78" s="123" t="str">
        <f t="shared" si="39"/>
        <v>NC</v>
      </c>
      <c r="AJ78" s="123" t="str">
        <f t="shared" si="40"/>
        <v>NC</v>
      </c>
      <c r="AK78" s="123" t="str">
        <f t="shared" si="41"/>
        <v>NC</v>
      </c>
      <c r="AL78" s="123" t="str">
        <f t="shared" si="42"/>
        <v>NC</v>
      </c>
      <c r="AM78" s="123" t="str">
        <f t="shared" si="43"/>
        <v>NC</v>
      </c>
      <c r="AO78" s="151" t="e">
        <f t="shared" si="44"/>
        <v>#DIV/0!</v>
      </c>
      <c r="AP78" s="152"/>
      <c r="AQ78" s="124"/>
      <c r="AR78" s="138" t="s">
        <v>473</v>
      </c>
      <c r="AS78" s="141" t="s">
        <v>643</v>
      </c>
      <c r="AT78" s="124" t="s">
        <v>745</v>
      </c>
      <c r="AU78" s="143" t="s">
        <v>1215</v>
      </c>
      <c r="AV78" s="143" t="s">
        <v>1216</v>
      </c>
      <c r="AW78" s="143" t="s">
        <v>1217</v>
      </c>
    </row>
    <row r="79" spans="1:49" s="138" customFormat="1" ht="14.4" customHeight="1" x14ac:dyDescent="0.3">
      <c r="A79" s="270" t="s">
        <v>1752</v>
      </c>
      <c r="B79" s="270" t="s">
        <v>1536</v>
      </c>
      <c r="C79" s="270"/>
      <c r="D79" s="270" t="s">
        <v>1577</v>
      </c>
      <c r="E79" s="270" t="s">
        <v>1725</v>
      </c>
      <c r="F79" s="117"/>
      <c r="G79" s="120"/>
      <c r="H79" s="120"/>
      <c r="I79" s="120"/>
      <c r="J79" s="156">
        <v>43830</v>
      </c>
      <c r="K79" s="134"/>
      <c r="L79" s="120"/>
      <c r="M79" s="132"/>
      <c r="N79" s="158">
        <v>44166</v>
      </c>
      <c r="O79" s="116"/>
      <c r="P79" s="135" t="s">
        <v>596</v>
      </c>
      <c r="Q79" s="116"/>
      <c r="R79" s="57">
        <v>43566</v>
      </c>
      <c r="S79" s="57" t="s">
        <v>30</v>
      </c>
      <c r="T79" s="57" t="s">
        <v>30</v>
      </c>
      <c r="U79" s="34" t="s">
        <v>30</v>
      </c>
      <c r="V79" s="57" t="s">
        <v>30</v>
      </c>
      <c r="W79" s="57" t="s">
        <v>30</v>
      </c>
      <c r="X79" s="57" t="s">
        <v>30</v>
      </c>
      <c r="Y79" s="137">
        <f t="shared" si="30"/>
        <v>43931</v>
      </c>
      <c r="Z79" s="57" t="str">
        <f t="shared" si="31"/>
        <v>NC</v>
      </c>
      <c r="AA79" s="57" t="str">
        <f t="shared" si="32"/>
        <v>NC</v>
      </c>
      <c r="AB79" s="57" t="str">
        <f t="shared" si="33"/>
        <v>NC</v>
      </c>
      <c r="AC79" s="57" t="str">
        <f t="shared" si="34"/>
        <v>NC</v>
      </c>
      <c r="AD79" s="57" t="str">
        <f t="shared" si="35"/>
        <v>NC</v>
      </c>
      <c r="AE79" s="57" t="str">
        <f t="shared" si="36"/>
        <v>NC</v>
      </c>
      <c r="AG79" s="123">
        <f t="shared" ca="1" si="37"/>
        <v>-1656</v>
      </c>
      <c r="AH79" s="123" t="str">
        <f t="shared" si="38"/>
        <v>NC</v>
      </c>
      <c r="AI79" s="123" t="str">
        <f t="shared" si="39"/>
        <v>NC</v>
      </c>
      <c r="AJ79" s="123" t="str">
        <f t="shared" si="40"/>
        <v>NC</v>
      </c>
      <c r="AK79" s="123" t="str">
        <f t="shared" si="41"/>
        <v>NC</v>
      </c>
      <c r="AL79" s="123" t="str">
        <f t="shared" si="42"/>
        <v>NC</v>
      </c>
      <c r="AM79" s="123" t="str">
        <f t="shared" si="43"/>
        <v>NC</v>
      </c>
      <c r="AO79" s="139" t="e">
        <f t="shared" si="44"/>
        <v>#DIV/0!</v>
      </c>
      <c r="AR79" s="138" t="s">
        <v>469</v>
      </c>
      <c r="AS79" s="141" t="s">
        <v>643</v>
      </c>
      <c r="AT79" s="138" t="s">
        <v>725</v>
      </c>
      <c r="AU79" s="142" t="s">
        <v>1208</v>
      </c>
      <c r="AV79" s="143" t="s">
        <v>827</v>
      </c>
      <c r="AW79" s="143"/>
    </row>
    <row r="80" spans="1:49" s="138" customFormat="1" ht="14.4" customHeight="1" x14ac:dyDescent="0.3">
      <c r="A80" s="123" t="s">
        <v>1753</v>
      </c>
      <c r="B80" s="123" t="s">
        <v>1537</v>
      </c>
      <c r="C80" s="123"/>
      <c r="D80" s="123" t="s">
        <v>1577</v>
      </c>
      <c r="E80" s="123" t="s">
        <v>1725</v>
      </c>
      <c r="F80" s="117"/>
      <c r="G80" s="120"/>
      <c r="H80" s="120"/>
      <c r="I80" s="120"/>
      <c r="J80" s="156">
        <v>43830</v>
      </c>
      <c r="K80" s="134"/>
      <c r="L80" s="120"/>
      <c r="M80" s="132"/>
      <c r="N80" s="158">
        <v>44166</v>
      </c>
      <c r="O80" s="116"/>
      <c r="P80" s="135" t="s">
        <v>596</v>
      </c>
      <c r="Q80" s="116"/>
      <c r="R80" s="57">
        <v>43566</v>
      </c>
      <c r="S80" s="57" t="s">
        <v>30</v>
      </c>
      <c r="T80" s="57" t="s">
        <v>30</v>
      </c>
      <c r="U80" s="34" t="s">
        <v>30</v>
      </c>
      <c r="V80" s="57" t="s">
        <v>30</v>
      </c>
      <c r="W80" s="57" t="s">
        <v>30</v>
      </c>
      <c r="X80" s="57" t="s">
        <v>30</v>
      </c>
      <c r="Y80" s="137">
        <f t="shared" si="30"/>
        <v>43931</v>
      </c>
      <c r="Z80" s="57" t="str">
        <f t="shared" si="31"/>
        <v>NC</v>
      </c>
      <c r="AA80" s="57" t="str">
        <f t="shared" si="32"/>
        <v>NC</v>
      </c>
      <c r="AB80" s="57" t="str">
        <f t="shared" si="33"/>
        <v>NC</v>
      </c>
      <c r="AC80" s="57" t="str">
        <f t="shared" si="34"/>
        <v>NC</v>
      </c>
      <c r="AD80" s="57" t="str">
        <f t="shared" si="35"/>
        <v>NC</v>
      </c>
      <c r="AE80" s="57" t="str">
        <f t="shared" si="36"/>
        <v>NC</v>
      </c>
      <c r="AG80" s="123">
        <f t="shared" ca="1" si="37"/>
        <v>-1656</v>
      </c>
      <c r="AH80" s="123" t="str">
        <f t="shared" si="38"/>
        <v>NC</v>
      </c>
      <c r="AI80" s="123" t="str">
        <f t="shared" si="39"/>
        <v>NC</v>
      </c>
      <c r="AJ80" s="123" t="str">
        <f t="shared" si="40"/>
        <v>NC</v>
      </c>
      <c r="AK80" s="123" t="str">
        <f t="shared" si="41"/>
        <v>NC</v>
      </c>
      <c r="AL80" s="123" t="str">
        <f t="shared" si="42"/>
        <v>NC</v>
      </c>
      <c r="AM80" s="123" t="str">
        <f t="shared" si="43"/>
        <v>NC</v>
      </c>
      <c r="AO80" s="139" t="e">
        <f t="shared" si="44"/>
        <v>#DIV/0!</v>
      </c>
      <c r="AR80" s="138" t="s">
        <v>469</v>
      </c>
      <c r="AS80" s="141" t="s">
        <v>643</v>
      </c>
      <c r="AT80" s="138" t="s">
        <v>736</v>
      </c>
      <c r="AU80" s="142" t="s">
        <v>1208</v>
      </c>
      <c r="AV80" s="143" t="s">
        <v>827</v>
      </c>
      <c r="AW80" s="143"/>
    </row>
    <row r="81" spans="1:49" s="138" customFormat="1" ht="14.4" customHeight="1" x14ac:dyDescent="0.3">
      <c r="A81" s="123" t="s">
        <v>1754</v>
      </c>
      <c r="B81" s="123" t="s">
        <v>1538</v>
      </c>
      <c r="C81" s="123"/>
      <c r="D81" s="123" t="s">
        <v>1577</v>
      </c>
      <c r="E81" s="123" t="s">
        <v>1725</v>
      </c>
      <c r="F81" s="117"/>
      <c r="G81" s="120"/>
      <c r="H81" s="120"/>
      <c r="I81" s="120"/>
      <c r="J81" s="156">
        <v>43830</v>
      </c>
      <c r="K81" s="134"/>
      <c r="L81" s="120"/>
      <c r="M81" s="132"/>
      <c r="N81" s="133">
        <v>44166</v>
      </c>
      <c r="O81" s="116"/>
      <c r="P81" s="135" t="s">
        <v>596</v>
      </c>
      <c r="Q81" s="116"/>
      <c r="R81" s="57">
        <v>43566</v>
      </c>
      <c r="S81" s="57" t="s">
        <v>30</v>
      </c>
      <c r="T81" s="57" t="s">
        <v>30</v>
      </c>
      <c r="U81" s="34" t="s">
        <v>30</v>
      </c>
      <c r="V81" s="57" t="s">
        <v>30</v>
      </c>
      <c r="W81" s="57" t="s">
        <v>30</v>
      </c>
      <c r="X81" s="57" t="s">
        <v>30</v>
      </c>
      <c r="Y81" s="137">
        <f t="shared" si="30"/>
        <v>43931</v>
      </c>
      <c r="Z81" s="57" t="str">
        <f t="shared" si="31"/>
        <v>NC</v>
      </c>
      <c r="AA81" s="57" t="str">
        <f t="shared" si="32"/>
        <v>NC</v>
      </c>
      <c r="AB81" s="57" t="str">
        <f t="shared" si="33"/>
        <v>NC</v>
      </c>
      <c r="AC81" s="57" t="str">
        <f t="shared" si="34"/>
        <v>NC</v>
      </c>
      <c r="AD81" s="57" t="str">
        <f t="shared" si="35"/>
        <v>NC</v>
      </c>
      <c r="AE81" s="57" t="str">
        <f t="shared" si="36"/>
        <v>NC</v>
      </c>
      <c r="AG81" s="123">
        <f t="shared" ca="1" si="37"/>
        <v>-1656</v>
      </c>
      <c r="AH81" s="123" t="str">
        <f t="shared" si="38"/>
        <v>NC</v>
      </c>
      <c r="AI81" s="123" t="str">
        <f t="shared" si="39"/>
        <v>NC</v>
      </c>
      <c r="AJ81" s="123" t="str">
        <f t="shared" si="40"/>
        <v>NC</v>
      </c>
      <c r="AK81" s="123" t="str">
        <f t="shared" si="41"/>
        <v>NC</v>
      </c>
      <c r="AL81" s="123" t="str">
        <f t="shared" si="42"/>
        <v>NC</v>
      </c>
      <c r="AM81" s="123" t="str">
        <f t="shared" si="43"/>
        <v>NC</v>
      </c>
      <c r="AO81" s="139" t="e">
        <f t="shared" si="44"/>
        <v>#DIV/0!</v>
      </c>
      <c r="AR81" s="138" t="s">
        <v>469</v>
      </c>
      <c r="AS81" s="141" t="s">
        <v>643</v>
      </c>
      <c r="AT81" s="138" t="s">
        <v>1035</v>
      </c>
      <c r="AU81" s="142" t="s">
        <v>1208</v>
      </c>
      <c r="AV81" s="143" t="s">
        <v>827</v>
      </c>
      <c r="AW81" s="143" t="s">
        <v>1408</v>
      </c>
    </row>
    <row r="82" spans="1:49" s="124" customFormat="1" ht="14.4" customHeight="1" x14ac:dyDescent="0.3">
      <c r="A82" s="123" t="s">
        <v>1744</v>
      </c>
      <c r="B82" s="123" t="s">
        <v>1538</v>
      </c>
      <c r="C82" s="123"/>
      <c r="D82" s="123" t="s">
        <v>1577</v>
      </c>
      <c r="E82" s="123" t="s">
        <v>1725</v>
      </c>
      <c r="F82" s="117"/>
      <c r="G82" s="120"/>
      <c r="H82" s="120"/>
      <c r="I82" s="120"/>
      <c r="J82" s="156">
        <v>43830</v>
      </c>
      <c r="K82" s="134"/>
      <c r="L82" s="120"/>
      <c r="M82" s="132"/>
      <c r="N82" s="158">
        <v>44166</v>
      </c>
      <c r="O82" s="116"/>
      <c r="P82" s="135" t="s">
        <v>596</v>
      </c>
      <c r="Q82" s="116"/>
      <c r="R82" s="57">
        <v>43566</v>
      </c>
      <c r="S82" s="57" t="s">
        <v>30</v>
      </c>
      <c r="T82" s="57" t="s">
        <v>30</v>
      </c>
      <c r="U82" s="34" t="s">
        <v>30</v>
      </c>
      <c r="V82" s="57" t="s">
        <v>30</v>
      </c>
      <c r="W82" s="57" t="s">
        <v>30</v>
      </c>
      <c r="X82" s="57" t="s">
        <v>30</v>
      </c>
      <c r="Y82" s="137">
        <f t="shared" si="30"/>
        <v>43931</v>
      </c>
      <c r="Z82" s="57" t="str">
        <f t="shared" si="31"/>
        <v>NC</v>
      </c>
      <c r="AA82" s="57" t="str">
        <f t="shared" si="32"/>
        <v>NC</v>
      </c>
      <c r="AB82" s="57" t="str">
        <f t="shared" si="33"/>
        <v>NC</v>
      </c>
      <c r="AC82" s="57" t="str">
        <f t="shared" si="34"/>
        <v>NC</v>
      </c>
      <c r="AD82" s="57" t="str">
        <f t="shared" si="35"/>
        <v>NC</v>
      </c>
      <c r="AE82" s="57" t="str">
        <f t="shared" si="36"/>
        <v>NC</v>
      </c>
      <c r="AF82" s="138"/>
      <c r="AG82" s="123">
        <f t="shared" ca="1" si="37"/>
        <v>-1656</v>
      </c>
      <c r="AH82" s="123" t="str">
        <f t="shared" si="38"/>
        <v>NC</v>
      </c>
      <c r="AI82" s="123" t="str">
        <f t="shared" si="39"/>
        <v>NC</v>
      </c>
      <c r="AJ82" s="123" t="str">
        <f t="shared" si="40"/>
        <v>NC</v>
      </c>
      <c r="AK82" s="123" t="str">
        <f t="shared" si="41"/>
        <v>NC</v>
      </c>
      <c r="AL82" s="123" t="str">
        <f t="shared" si="42"/>
        <v>NC</v>
      </c>
      <c r="AM82" s="123" t="str">
        <f t="shared" si="43"/>
        <v>NC</v>
      </c>
      <c r="AN82" s="138"/>
      <c r="AO82" s="139" t="e">
        <f t="shared" si="44"/>
        <v>#DIV/0!</v>
      </c>
      <c r="AP82" s="138"/>
      <c r="AQ82" s="138"/>
      <c r="AR82" s="138" t="s">
        <v>469</v>
      </c>
      <c r="AS82" s="141" t="s">
        <v>643</v>
      </c>
      <c r="AT82" s="138" t="s">
        <v>1011</v>
      </c>
      <c r="AU82" s="142" t="s">
        <v>1208</v>
      </c>
      <c r="AV82" s="143" t="s">
        <v>827</v>
      </c>
      <c r="AW82" s="143"/>
    </row>
    <row r="83" spans="1:49" s="138" customFormat="1" ht="14.4" customHeight="1" x14ac:dyDescent="0.3">
      <c r="A83" s="123" t="s">
        <v>1745</v>
      </c>
      <c r="B83" s="123" t="s">
        <v>1538</v>
      </c>
      <c r="C83" s="123"/>
      <c r="D83" s="123" t="s">
        <v>1577</v>
      </c>
      <c r="E83" s="123" t="s">
        <v>1725</v>
      </c>
      <c r="F83" s="117"/>
      <c r="G83" s="120"/>
      <c r="H83" s="120"/>
      <c r="I83" s="120"/>
      <c r="J83" s="156">
        <v>43830</v>
      </c>
      <c r="K83" s="134"/>
      <c r="L83" s="120"/>
      <c r="M83" s="132"/>
      <c r="N83" s="158">
        <v>44075</v>
      </c>
      <c r="O83" s="116"/>
      <c r="P83" s="135" t="s">
        <v>596</v>
      </c>
      <c r="Q83" s="116"/>
      <c r="R83" s="57">
        <v>43565</v>
      </c>
      <c r="S83" s="57" t="s">
        <v>30</v>
      </c>
      <c r="T83" s="57" t="s">
        <v>30</v>
      </c>
      <c r="U83" s="34" t="s">
        <v>30</v>
      </c>
      <c r="V83" s="57" t="s">
        <v>30</v>
      </c>
      <c r="W83" s="57" t="s">
        <v>30</v>
      </c>
      <c r="X83" s="57" t="s">
        <v>30</v>
      </c>
      <c r="Y83" s="137">
        <f t="shared" si="30"/>
        <v>43930</v>
      </c>
      <c r="Z83" s="57" t="str">
        <f t="shared" si="31"/>
        <v>NC</v>
      </c>
      <c r="AA83" s="57" t="str">
        <f t="shared" si="32"/>
        <v>NC</v>
      </c>
      <c r="AB83" s="57" t="str">
        <f t="shared" si="33"/>
        <v>NC</v>
      </c>
      <c r="AC83" s="57" t="str">
        <f t="shared" si="34"/>
        <v>NC</v>
      </c>
      <c r="AD83" s="57" t="str">
        <f t="shared" si="35"/>
        <v>NC</v>
      </c>
      <c r="AE83" s="57" t="str">
        <f t="shared" si="36"/>
        <v>NC</v>
      </c>
      <c r="AG83" s="123">
        <f t="shared" ca="1" si="37"/>
        <v>-1657</v>
      </c>
      <c r="AH83" s="123" t="str">
        <f t="shared" si="38"/>
        <v>NC</v>
      </c>
      <c r="AI83" s="123" t="str">
        <f t="shared" si="39"/>
        <v>NC</v>
      </c>
      <c r="AJ83" s="123" t="str">
        <f t="shared" si="40"/>
        <v>NC</v>
      </c>
      <c r="AK83" s="123" t="str">
        <f t="shared" si="41"/>
        <v>NC</v>
      </c>
      <c r="AL83" s="123" t="str">
        <f t="shared" si="42"/>
        <v>NC</v>
      </c>
      <c r="AM83" s="123" t="str">
        <f t="shared" si="43"/>
        <v>NC</v>
      </c>
      <c r="AO83" s="139" t="e">
        <f t="shared" si="44"/>
        <v>#DIV/0!</v>
      </c>
      <c r="AR83" s="138" t="s">
        <v>469</v>
      </c>
      <c r="AS83" s="141" t="s">
        <v>643</v>
      </c>
      <c r="AT83" s="138" t="s">
        <v>724</v>
      </c>
      <c r="AU83" s="142" t="s">
        <v>1208</v>
      </c>
      <c r="AV83" s="143" t="s">
        <v>827</v>
      </c>
      <c r="AW83" s="143"/>
    </row>
    <row r="84" spans="1:49" s="138" customFormat="1" ht="14.4" customHeight="1" x14ac:dyDescent="0.3">
      <c r="A84" s="123" t="s">
        <v>1746</v>
      </c>
      <c r="B84" s="123" t="s">
        <v>1538</v>
      </c>
      <c r="C84" s="123"/>
      <c r="D84" s="123" t="s">
        <v>1577</v>
      </c>
      <c r="E84" s="123" t="s">
        <v>1725</v>
      </c>
      <c r="F84" s="117"/>
      <c r="G84" s="120"/>
      <c r="H84" s="120"/>
      <c r="I84" s="120"/>
      <c r="J84" s="156">
        <v>43830</v>
      </c>
      <c r="K84" s="134"/>
      <c r="L84" s="120"/>
      <c r="M84" s="132"/>
      <c r="N84" s="158">
        <v>44166</v>
      </c>
      <c r="O84" s="116"/>
      <c r="P84" s="135" t="s">
        <v>596</v>
      </c>
      <c r="Q84" s="116"/>
      <c r="R84" s="57">
        <v>43565</v>
      </c>
      <c r="S84" s="57" t="s">
        <v>30</v>
      </c>
      <c r="T84" s="57" t="s">
        <v>30</v>
      </c>
      <c r="U84" s="34" t="s">
        <v>30</v>
      </c>
      <c r="V84" s="57" t="s">
        <v>30</v>
      </c>
      <c r="W84" s="57" t="s">
        <v>30</v>
      </c>
      <c r="X84" s="57" t="s">
        <v>30</v>
      </c>
      <c r="Y84" s="137">
        <f t="shared" si="30"/>
        <v>43930</v>
      </c>
      <c r="Z84" s="57" t="str">
        <f t="shared" si="31"/>
        <v>NC</v>
      </c>
      <c r="AA84" s="57" t="str">
        <f t="shared" si="32"/>
        <v>NC</v>
      </c>
      <c r="AB84" s="57" t="str">
        <f t="shared" si="33"/>
        <v>NC</v>
      </c>
      <c r="AC84" s="57" t="str">
        <f t="shared" si="34"/>
        <v>NC</v>
      </c>
      <c r="AD84" s="57" t="str">
        <f t="shared" si="35"/>
        <v>NC</v>
      </c>
      <c r="AE84" s="57" t="str">
        <f t="shared" si="36"/>
        <v>NC</v>
      </c>
      <c r="AG84" s="123">
        <f t="shared" ca="1" si="37"/>
        <v>-1657</v>
      </c>
      <c r="AH84" s="123" t="str">
        <f t="shared" si="38"/>
        <v>NC</v>
      </c>
      <c r="AI84" s="123" t="str">
        <f t="shared" si="39"/>
        <v>NC</v>
      </c>
      <c r="AJ84" s="123" t="str">
        <f t="shared" si="40"/>
        <v>NC</v>
      </c>
      <c r="AK84" s="123" t="str">
        <f t="shared" si="41"/>
        <v>NC</v>
      </c>
      <c r="AL84" s="123" t="str">
        <f t="shared" si="42"/>
        <v>NC</v>
      </c>
      <c r="AM84" s="123" t="str">
        <f t="shared" si="43"/>
        <v>NC</v>
      </c>
      <c r="AO84" s="139" t="e">
        <f t="shared" si="44"/>
        <v>#DIV/0!</v>
      </c>
      <c r="AR84" s="138" t="s">
        <v>469</v>
      </c>
      <c r="AS84" s="141" t="s">
        <v>643</v>
      </c>
      <c r="AT84" s="138" t="s">
        <v>748</v>
      </c>
      <c r="AU84" s="142" t="s">
        <v>1208</v>
      </c>
      <c r="AV84" s="143" t="s">
        <v>827</v>
      </c>
      <c r="AW84" s="143"/>
    </row>
    <row r="85" spans="1:49" s="138" customFormat="1" ht="14.4" customHeight="1" x14ac:dyDescent="0.3">
      <c r="A85" s="123" t="s">
        <v>1755</v>
      </c>
      <c r="B85" s="123" t="s">
        <v>1713</v>
      </c>
      <c r="C85" s="123"/>
      <c r="D85" s="123" t="s">
        <v>1577</v>
      </c>
      <c r="E85" s="123" t="s">
        <v>1725</v>
      </c>
      <c r="F85" s="117"/>
      <c r="G85" s="120"/>
      <c r="H85" s="120"/>
      <c r="I85" s="120"/>
      <c r="J85" s="156">
        <v>43830</v>
      </c>
      <c r="K85" s="134"/>
      <c r="L85" s="120"/>
      <c r="M85" s="132"/>
      <c r="N85" s="158">
        <v>44166</v>
      </c>
      <c r="O85" s="116"/>
      <c r="P85" s="135" t="s">
        <v>596</v>
      </c>
      <c r="Q85" s="116"/>
      <c r="R85" s="57">
        <v>43566</v>
      </c>
      <c r="S85" s="57" t="s">
        <v>30</v>
      </c>
      <c r="T85" s="57" t="s">
        <v>30</v>
      </c>
      <c r="U85" s="34" t="s">
        <v>30</v>
      </c>
      <c r="V85" s="57" t="s">
        <v>30</v>
      </c>
      <c r="W85" s="57" t="s">
        <v>30</v>
      </c>
      <c r="X85" s="57" t="s">
        <v>30</v>
      </c>
      <c r="Y85" s="137">
        <f t="shared" si="30"/>
        <v>43931</v>
      </c>
      <c r="Z85" s="57" t="str">
        <f t="shared" si="31"/>
        <v>NC</v>
      </c>
      <c r="AA85" s="57" t="str">
        <f t="shared" si="32"/>
        <v>NC</v>
      </c>
      <c r="AB85" s="57" t="str">
        <f t="shared" si="33"/>
        <v>NC</v>
      </c>
      <c r="AC85" s="57" t="str">
        <f t="shared" si="34"/>
        <v>NC</v>
      </c>
      <c r="AD85" s="57" t="str">
        <f t="shared" si="35"/>
        <v>NC</v>
      </c>
      <c r="AE85" s="57" t="str">
        <f t="shared" si="36"/>
        <v>NC</v>
      </c>
      <c r="AG85" s="123">
        <f t="shared" ca="1" si="37"/>
        <v>-1656</v>
      </c>
      <c r="AH85" s="123" t="str">
        <f t="shared" si="38"/>
        <v>NC</v>
      </c>
      <c r="AI85" s="123" t="str">
        <f t="shared" si="39"/>
        <v>NC</v>
      </c>
      <c r="AJ85" s="123" t="str">
        <f t="shared" si="40"/>
        <v>NC</v>
      </c>
      <c r="AK85" s="123" t="str">
        <f t="shared" si="41"/>
        <v>NC</v>
      </c>
      <c r="AL85" s="123" t="str">
        <f t="shared" si="42"/>
        <v>NC</v>
      </c>
      <c r="AM85" s="123" t="str">
        <f t="shared" si="43"/>
        <v>NC</v>
      </c>
      <c r="AO85" s="139" t="e">
        <f t="shared" si="44"/>
        <v>#DIV/0!</v>
      </c>
      <c r="AR85" s="138" t="s">
        <v>469</v>
      </c>
      <c r="AS85" s="141" t="s">
        <v>643</v>
      </c>
      <c r="AT85" s="138" t="s">
        <v>1036</v>
      </c>
      <c r="AU85" s="142" t="s">
        <v>1208</v>
      </c>
      <c r="AV85" s="143" t="s">
        <v>827</v>
      </c>
      <c r="AW85" s="143"/>
    </row>
    <row r="86" spans="1:49" s="138" customFormat="1" ht="14.4" customHeight="1" x14ac:dyDescent="0.3">
      <c r="A86" s="123" t="s">
        <v>1756</v>
      </c>
      <c r="B86" s="123" t="s">
        <v>1714</v>
      </c>
      <c r="C86" s="123"/>
      <c r="D86" s="123" t="s">
        <v>1577</v>
      </c>
      <c r="E86" s="123" t="s">
        <v>1725</v>
      </c>
      <c r="F86" s="117"/>
      <c r="G86" s="120"/>
      <c r="H86" s="120"/>
      <c r="I86" s="120"/>
      <c r="J86" s="156">
        <v>43830</v>
      </c>
      <c r="K86" s="134"/>
      <c r="L86" s="120"/>
      <c r="M86" s="132">
        <v>44682</v>
      </c>
      <c r="N86" s="133">
        <v>44166</v>
      </c>
      <c r="O86" s="116"/>
      <c r="P86" s="135" t="s">
        <v>596</v>
      </c>
      <c r="Q86" s="116"/>
      <c r="R86" s="57">
        <v>43580</v>
      </c>
      <c r="S86" s="57" t="s">
        <v>30</v>
      </c>
      <c r="T86" s="57" t="s">
        <v>30</v>
      </c>
      <c r="U86" s="34" t="s">
        <v>30</v>
      </c>
      <c r="V86" s="57" t="s">
        <v>30</v>
      </c>
      <c r="W86" s="57" t="s">
        <v>30</v>
      </c>
      <c r="X86" s="57" t="s">
        <v>30</v>
      </c>
      <c r="Y86" s="137">
        <f t="shared" si="30"/>
        <v>43945</v>
      </c>
      <c r="Z86" s="57" t="str">
        <f t="shared" si="31"/>
        <v>NC</v>
      </c>
      <c r="AA86" s="57" t="str">
        <f t="shared" si="32"/>
        <v>NC</v>
      </c>
      <c r="AB86" s="57" t="str">
        <f t="shared" si="33"/>
        <v>NC</v>
      </c>
      <c r="AC86" s="57" t="str">
        <f t="shared" si="34"/>
        <v>NC</v>
      </c>
      <c r="AD86" s="57" t="str">
        <f t="shared" si="35"/>
        <v>NC</v>
      </c>
      <c r="AE86" s="57" t="str">
        <f t="shared" si="36"/>
        <v>NC</v>
      </c>
      <c r="AG86" s="123">
        <f t="shared" ca="1" si="37"/>
        <v>-1642</v>
      </c>
      <c r="AH86" s="123" t="str">
        <f t="shared" si="38"/>
        <v>NC</v>
      </c>
      <c r="AI86" s="123" t="str">
        <f t="shared" si="39"/>
        <v>NC</v>
      </c>
      <c r="AJ86" s="123" t="str">
        <f t="shared" si="40"/>
        <v>NC</v>
      </c>
      <c r="AK86" s="123" t="str">
        <f t="shared" si="41"/>
        <v>NC</v>
      </c>
      <c r="AL86" s="123" t="str">
        <f t="shared" si="42"/>
        <v>NC</v>
      </c>
      <c r="AM86" s="123" t="str">
        <f t="shared" si="43"/>
        <v>NC</v>
      </c>
      <c r="AO86" s="139" t="e">
        <f t="shared" si="44"/>
        <v>#DIV/0!</v>
      </c>
      <c r="AR86" s="138" t="s">
        <v>583</v>
      </c>
      <c r="AS86" s="141" t="s">
        <v>643</v>
      </c>
      <c r="AT86" s="138" t="s">
        <v>739</v>
      </c>
      <c r="AU86" s="142" t="s">
        <v>1224</v>
      </c>
      <c r="AV86" s="143" t="s">
        <v>1231</v>
      </c>
      <c r="AW86" s="143" t="s">
        <v>1410</v>
      </c>
    </row>
    <row r="87" spans="1:49" s="138" customFormat="1" ht="14.4" customHeight="1" x14ac:dyDescent="0.3">
      <c r="A87" s="123" t="s">
        <v>1747</v>
      </c>
      <c r="B87" s="123" t="s">
        <v>1714</v>
      </c>
      <c r="C87" s="123"/>
      <c r="D87" s="123" t="s">
        <v>1577</v>
      </c>
      <c r="E87" s="123" t="s">
        <v>1725</v>
      </c>
      <c r="F87" s="117"/>
      <c r="G87" s="120"/>
      <c r="H87" s="120"/>
      <c r="I87" s="120"/>
      <c r="J87" s="156">
        <v>43830</v>
      </c>
      <c r="K87" s="145"/>
      <c r="L87" s="120"/>
      <c r="M87" s="132"/>
      <c r="N87" s="133">
        <v>44166</v>
      </c>
      <c r="O87" s="116"/>
      <c r="P87" s="135" t="s">
        <v>596</v>
      </c>
      <c r="Q87" s="116"/>
      <c r="R87" s="57">
        <v>43657</v>
      </c>
      <c r="S87" s="57" t="s">
        <v>30</v>
      </c>
      <c r="T87" s="57" t="s">
        <v>30</v>
      </c>
      <c r="U87" s="34" t="s">
        <v>30</v>
      </c>
      <c r="V87" s="57" t="s">
        <v>30</v>
      </c>
      <c r="W87" s="57" t="s">
        <v>30</v>
      </c>
      <c r="X87" s="57" t="s">
        <v>30</v>
      </c>
      <c r="Y87" s="137">
        <f t="shared" si="30"/>
        <v>44022</v>
      </c>
      <c r="Z87" s="57" t="str">
        <f t="shared" si="31"/>
        <v>NC</v>
      </c>
      <c r="AA87" s="57" t="str">
        <f t="shared" si="32"/>
        <v>NC</v>
      </c>
      <c r="AB87" s="57" t="str">
        <f t="shared" si="33"/>
        <v>NC</v>
      </c>
      <c r="AC87" s="57" t="str">
        <f t="shared" si="34"/>
        <v>NC</v>
      </c>
      <c r="AD87" s="57" t="str">
        <f t="shared" si="35"/>
        <v>NC</v>
      </c>
      <c r="AE87" s="57" t="str">
        <f t="shared" si="36"/>
        <v>NC</v>
      </c>
      <c r="AG87" s="123">
        <f t="shared" ca="1" si="37"/>
        <v>-1565</v>
      </c>
      <c r="AH87" s="123" t="str">
        <f t="shared" si="38"/>
        <v>NC</v>
      </c>
      <c r="AI87" s="123" t="str">
        <f t="shared" si="39"/>
        <v>NC</v>
      </c>
      <c r="AJ87" s="123" t="str">
        <f t="shared" si="40"/>
        <v>NC</v>
      </c>
      <c r="AK87" s="123" t="str">
        <f t="shared" si="41"/>
        <v>NC</v>
      </c>
      <c r="AL87" s="123" t="str">
        <f t="shared" si="42"/>
        <v>NC</v>
      </c>
      <c r="AM87" s="123" t="str">
        <f t="shared" si="43"/>
        <v>NC</v>
      </c>
      <c r="AO87" s="139" t="e">
        <f t="shared" si="44"/>
        <v>#DIV/0!</v>
      </c>
      <c r="AR87" s="138" t="s">
        <v>469</v>
      </c>
      <c r="AS87" s="141" t="s">
        <v>643</v>
      </c>
      <c r="AT87" s="138" t="s">
        <v>726</v>
      </c>
      <c r="AU87" s="142" t="s">
        <v>1215</v>
      </c>
      <c r="AV87" s="143" t="s">
        <v>1216</v>
      </c>
      <c r="AW87" s="143" t="s">
        <v>1217</v>
      </c>
    </row>
    <row r="88" spans="1:49" s="159" customFormat="1" ht="14.4" customHeight="1" x14ac:dyDescent="0.3">
      <c r="A88" s="123" t="s">
        <v>1757</v>
      </c>
      <c r="B88" s="123" t="s">
        <v>1714</v>
      </c>
      <c r="C88" s="123"/>
      <c r="D88" s="123" t="s">
        <v>1577</v>
      </c>
      <c r="E88" s="123" t="s">
        <v>1725</v>
      </c>
      <c r="F88" s="117"/>
      <c r="G88" s="120"/>
      <c r="H88" s="120"/>
      <c r="I88" s="120"/>
      <c r="J88" s="156">
        <v>43830</v>
      </c>
      <c r="K88" s="134"/>
      <c r="L88" s="120"/>
      <c r="M88" s="132"/>
      <c r="N88" s="133">
        <v>44166</v>
      </c>
      <c r="O88" s="116"/>
      <c r="P88" s="135" t="s">
        <v>596</v>
      </c>
      <c r="Q88" s="116"/>
      <c r="R88" s="57">
        <v>43559</v>
      </c>
      <c r="S88" s="57" t="s">
        <v>30</v>
      </c>
      <c r="T88" s="57" t="s">
        <v>30</v>
      </c>
      <c r="U88" s="34" t="s">
        <v>30</v>
      </c>
      <c r="V88" s="57" t="s">
        <v>30</v>
      </c>
      <c r="W88" s="57" t="s">
        <v>30</v>
      </c>
      <c r="X88" s="57" t="s">
        <v>30</v>
      </c>
      <c r="Y88" s="137">
        <f t="shared" si="30"/>
        <v>43924</v>
      </c>
      <c r="Z88" s="57" t="str">
        <f t="shared" si="31"/>
        <v>NC</v>
      </c>
      <c r="AA88" s="57" t="str">
        <f t="shared" si="32"/>
        <v>NC</v>
      </c>
      <c r="AB88" s="57" t="str">
        <f t="shared" si="33"/>
        <v>NC</v>
      </c>
      <c r="AC88" s="57" t="str">
        <f t="shared" si="34"/>
        <v>NC</v>
      </c>
      <c r="AD88" s="57" t="str">
        <f t="shared" si="35"/>
        <v>NC</v>
      </c>
      <c r="AE88" s="57" t="str">
        <f t="shared" si="36"/>
        <v>NC</v>
      </c>
      <c r="AF88" s="138"/>
      <c r="AG88" s="123">
        <f t="shared" ca="1" si="37"/>
        <v>-1663</v>
      </c>
      <c r="AH88" s="123" t="str">
        <f t="shared" si="38"/>
        <v>NC</v>
      </c>
      <c r="AI88" s="123" t="str">
        <f t="shared" si="39"/>
        <v>NC</v>
      </c>
      <c r="AJ88" s="123" t="str">
        <f t="shared" si="40"/>
        <v>NC</v>
      </c>
      <c r="AK88" s="123" t="str">
        <f t="shared" si="41"/>
        <v>NC</v>
      </c>
      <c r="AL88" s="123" t="str">
        <f t="shared" si="42"/>
        <v>NC</v>
      </c>
      <c r="AM88" s="123" t="str">
        <f t="shared" si="43"/>
        <v>NC</v>
      </c>
      <c r="AN88" s="138"/>
      <c r="AO88" s="151" t="e">
        <f t="shared" si="44"/>
        <v>#DIV/0!</v>
      </c>
      <c r="AP88" s="124"/>
      <c r="AQ88" s="124"/>
      <c r="AR88" s="124" t="s">
        <v>469</v>
      </c>
      <c r="AS88" s="141" t="s">
        <v>643</v>
      </c>
      <c r="AT88" s="138" t="s">
        <v>1025</v>
      </c>
      <c r="AU88" s="142" t="s">
        <v>1208</v>
      </c>
      <c r="AV88" s="143" t="s">
        <v>1213</v>
      </c>
      <c r="AW88" s="143"/>
    </row>
    <row r="89" spans="1:49" s="159" customFormat="1" ht="14.4" customHeight="1" x14ac:dyDescent="0.3">
      <c r="A89" s="123" t="s">
        <v>1758</v>
      </c>
      <c r="B89" s="123" t="s">
        <v>1714</v>
      </c>
      <c r="C89" s="123"/>
      <c r="D89" s="123" t="s">
        <v>1577</v>
      </c>
      <c r="E89" s="123" t="s">
        <v>1725</v>
      </c>
      <c r="F89" s="117"/>
      <c r="G89" s="120"/>
      <c r="H89" s="120"/>
      <c r="I89" s="120"/>
      <c r="J89" s="156">
        <v>43830</v>
      </c>
      <c r="K89" s="134"/>
      <c r="L89" s="120"/>
      <c r="M89" s="132"/>
      <c r="N89" s="158">
        <v>44166</v>
      </c>
      <c r="O89" s="116"/>
      <c r="P89" s="135" t="s">
        <v>596</v>
      </c>
      <c r="Q89" s="116"/>
      <c r="R89" s="57">
        <v>43644</v>
      </c>
      <c r="S89" s="57" t="s">
        <v>30</v>
      </c>
      <c r="T89" s="57" t="s">
        <v>30</v>
      </c>
      <c r="U89" s="34" t="s">
        <v>30</v>
      </c>
      <c r="V89" s="57" t="s">
        <v>30</v>
      </c>
      <c r="W89" s="57" t="s">
        <v>30</v>
      </c>
      <c r="X89" s="57" t="s">
        <v>30</v>
      </c>
      <c r="Y89" s="137">
        <f t="shared" si="30"/>
        <v>44009</v>
      </c>
      <c r="Z89" s="57" t="str">
        <f t="shared" si="31"/>
        <v>NC</v>
      </c>
      <c r="AA89" s="57" t="str">
        <f t="shared" si="32"/>
        <v>NC</v>
      </c>
      <c r="AB89" s="57" t="str">
        <f t="shared" si="33"/>
        <v>NC</v>
      </c>
      <c r="AC89" s="57" t="str">
        <f t="shared" si="34"/>
        <v>NC</v>
      </c>
      <c r="AD89" s="57" t="str">
        <f t="shared" si="35"/>
        <v>NC</v>
      </c>
      <c r="AE89" s="57" t="str">
        <f t="shared" si="36"/>
        <v>NC</v>
      </c>
      <c r="AF89" s="138"/>
      <c r="AG89" s="123">
        <f t="shared" ca="1" si="37"/>
        <v>-1578</v>
      </c>
      <c r="AH89" s="123" t="str">
        <f t="shared" si="38"/>
        <v>NC</v>
      </c>
      <c r="AI89" s="123" t="str">
        <f t="shared" si="39"/>
        <v>NC</v>
      </c>
      <c r="AJ89" s="123" t="str">
        <f t="shared" si="40"/>
        <v>NC</v>
      </c>
      <c r="AK89" s="123" t="str">
        <f t="shared" si="41"/>
        <v>NC</v>
      </c>
      <c r="AL89" s="123" t="str">
        <f t="shared" si="42"/>
        <v>NC</v>
      </c>
      <c r="AM89" s="123" t="str">
        <f t="shared" si="43"/>
        <v>NC</v>
      </c>
      <c r="AN89" s="138"/>
      <c r="AO89" s="139" t="e">
        <f t="shared" si="44"/>
        <v>#DIV/0!</v>
      </c>
      <c r="AP89" s="138"/>
      <c r="AQ89" s="138"/>
      <c r="AR89" s="138" t="s">
        <v>469</v>
      </c>
      <c r="AS89" s="141" t="s">
        <v>643</v>
      </c>
      <c r="AT89" s="138" t="s">
        <v>741</v>
      </c>
      <c r="AU89" s="142" t="s">
        <v>1211</v>
      </c>
      <c r="AV89" s="143" t="s">
        <v>1212</v>
      </c>
      <c r="AW89" s="143"/>
    </row>
    <row r="90" spans="1:49" s="159" customFormat="1" ht="14.4" customHeight="1" x14ac:dyDescent="0.3">
      <c r="A90" s="116"/>
      <c r="B90" s="116"/>
      <c r="C90" s="117"/>
      <c r="D90" s="116"/>
      <c r="E90" s="116"/>
      <c r="F90" s="117"/>
      <c r="G90" s="120"/>
      <c r="H90" s="120"/>
      <c r="I90" s="120"/>
      <c r="J90" s="156">
        <v>43830</v>
      </c>
      <c r="K90" s="134"/>
      <c r="L90" s="120"/>
      <c r="M90" s="132"/>
      <c r="N90" s="158">
        <v>44166</v>
      </c>
      <c r="O90" s="116"/>
      <c r="P90" s="135" t="s">
        <v>596</v>
      </c>
      <c r="Q90" s="116"/>
      <c r="R90" s="57">
        <v>43612</v>
      </c>
      <c r="S90" s="57" t="s">
        <v>30</v>
      </c>
      <c r="T90" s="57" t="s">
        <v>30</v>
      </c>
      <c r="U90" s="34" t="s">
        <v>30</v>
      </c>
      <c r="V90" s="57" t="s">
        <v>30</v>
      </c>
      <c r="W90" s="57" t="s">
        <v>30</v>
      </c>
      <c r="X90" s="57" t="s">
        <v>30</v>
      </c>
      <c r="Y90" s="137">
        <f t="shared" si="30"/>
        <v>43977</v>
      </c>
      <c r="Z90" s="57" t="str">
        <f t="shared" si="31"/>
        <v>NC</v>
      </c>
      <c r="AA90" s="57" t="str">
        <f t="shared" si="32"/>
        <v>NC</v>
      </c>
      <c r="AB90" s="57" t="str">
        <f t="shared" si="33"/>
        <v>NC</v>
      </c>
      <c r="AC90" s="57" t="str">
        <f t="shared" si="34"/>
        <v>NC</v>
      </c>
      <c r="AD90" s="57" t="str">
        <f t="shared" si="35"/>
        <v>NC</v>
      </c>
      <c r="AE90" s="57" t="str">
        <f t="shared" si="36"/>
        <v>NC</v>
      </c>
      <c r="AF90" s="138"/>
      <c r="AG90" s="123">
        <f t="shared" ca="1" si="37"/>
        <v>-1610</v>
      </c>
      <c r="AH90" s="123" t="str">
        <f t="shared" si="38"/>
        <v>NC</v>
      </c>
      <c r="AI90" s="123" t="str">
        <f t="shared" si="39"/>
        <v>NC</v>
      </c>
      <c r="AJ90" s="123" t="str">
        <f t="shared" si="40"/>
        <v>NC</v>
      </c>
      <c r="AK90" s="123" t="str">
        <f t="shared" si="41"/>
        <v>NC</v>
      </c>
      <c r="AL90" s="123" t="str">
        <f t="shared" si="42"/>
        <v>NC</v>
      </c>
      <c r="AM90" s="123" t="str">
        <f t="shared" si="43"/>
        <v>NC</v>
      </c>
      <c r="AN90" s="138"/>
      <c r="AO90" s="139" t="e">
        <f t="shared" si="44"/>
        <v>#DIV/0!</v>
      </c>
      <c r="AP90" s="138"/>
      <c r="AQ90" s="138"/>
      <c r="AR90" s="138" t="s">
        <v>469</v>
      </c>
      <c r="AS90" s="141" t="s">
        <v>643</v>
      </c>
      <c r="AT90" s="138" t="s">
        <v>1037</v>
      </c>
      <c r="AU90" s="142" t="s">
        <v>1208</v>
      </c>
      <c r="AV90" s="143" t="s">
        <v>1213</v>
      </c>
      <c r="AW90" s="143"/>
    </row>
    <row r="91" spans="1:49" s="159" customFormat="1" ht="14.4" customHeight="1" x14ac:dyDescent="0.3">
      <c r="A91" s="116"/>
      <c r="B91" s="116"/>
      <c r="C91" s="117"/>
      <c r="D91" s="116"/>
      <c r="E91" s="116"/>
      <c r="F91" s="117"/>
      <c r="G91" s="120"/>
      <c r="H91" s="120"/>
      <c r="I91" s="120"/>
      <c r="J91" s="156">
        <v>43830</v>
      </c>
      <c r="K91" s="134"/>
      <c r="L91" s="120"/>
      <c r="M91" s="132"/>
      <c r="N91" s="158">
        <v>44166</v>
      </c>
      <c r="O91" s="116"/>
      <c r="P91" s="135" t="s">
        <v>596</v>
      </c>
      <c r="Q91" s="116"/>
      <c r="R91" s="57">
        <v>43657</v>
      </c>
      <c r="S91" s="57" t="s">
        <v>30</v>
      </c>
      <c r="T91" s="57" t="s">
        <v>30</v>
      </c>
      <c r="U91" s="34" t="s">
        <v>30</v>
      </c>
      <c r="V91" s="57" t="s">
        <v>30</v>
      </c>
      <c r="W91" s="57" t="s">
        <v>30</v>
      </c>
      <c r="X91" s="57" t="s">
        <v>30</v>
      </c>
      <c r="Y91" s="137">
        <f t="shared" si="30"/>
        <v>44022</v>
      </c>
      <c r="Z91" s="57" t="str">
        <f t="shared" si="31"/>
        <v>NC</v>
      </c>
      <c r="AA91" s="57" t="str">
        <f t="shared" si="32"/>
        <v>NC</v>
      </c>
      <c r="AB91" s="57" t="str">
        <f t="shared" si="33"/>
        <v>NC</v>
      </c>
      <c r="AC91" s="57" t="str">
        <f t="shared" si="34"/>
        <v>NC</v>
      </c>
      <c r="AD91" s="57" t="str">
        <f t="shared" si="35"/>
        <v>NC</v>
      </c>
      <c r="AE91" s="57" t="str">
        <f t="shared" si="36"/>
        <v>NC</v>
      </c>
      <c r="AF91" s="138"/>
      <c r="AG91" s="123">
        <f t="shared" ca="1" si="37"/>
        <v>-1565</v>
      </c>
      <c r="AH91" s="123" t="str">
        <f t="shared" si="38"/>
        <v>NC</v>
      </c>
      <c r="AI91" s="123" t="str">
        <f t="shared" si="39"/>
        <v>NC</v>
      </c>
      <c r="AJ91" s="123" t="str">
        <f t="shared" si="40"/>
        <v>NC</v>
      </c>
      <c r="AK91" s="123" t="str">
        <f t="shared" si="41"/>
        <v>NC</v>
      </c>
      <c r="AL91" s="123" t="str">
        <f t="shared" si="42"/>
        <v>NC</v>
      </c>
      <c r="AM91" s="123" t="str">
        <f t="shared" si="43"/>
        <v>NC</v>
      </c>
      <c r="AN91" s="138"/>
      <c r="AO91" s="139" t="e">
        <f t="shared" si="44"/>
        <v>#DIV/0!</v>
      </c>
      <c r="AP91" s="138"/>
      <c r="AQ91" s="138"/>
      <c r="AR91" s="138" t="s">
        <v>469</v>
      </c>
      <c r="AS91" s="141" t="s">
        <v>643</v>
      </c>
      <c r="AT91" s="138" t="s">
        <v>1038</v>
      </c>
      <c r="AU91" s="142" t="s">
        <v>1208</v>
      </c>
      <c r="AV91" s="143" t="s">
        <v>1213</v>
      </c>
      <c r="AW91" s="143" t="s">
        <v>1411</v>
      </c>
    </row>
    <row r="92" spans="1:49" s="159" customFormat="1" ht="14.4" customHeight="1" x14ac:dyDescent="0.3">
      <c r="A92" s="116"/>
      <c r="B92" s="116"/>
      <c r="C92" s="117"/>
      <c r="D92" s="116"/>
      <c r="E92" s="116"/>
      <c r="F92" s="117"/>
      <c r="G92" s="120"/>
      <c r="H92" s="120"/>
      <c r="I92" s="120"/>
      <c r="J92" s="156">
        <v>43830</v>
      </c>
      <c r="K92" s="134"/>
      <c r="L92" s="120"/>
      <c r="M92" s="132"/>
      <c r="N92" s="158">
        <v>44166</v>
      </c>
      <c r="O92" s="116"/>
      <c r="P92" s="135" t="s">
        <v>596</v>
      </c>
      <c r="Q92" s="116"/>
      <c r="R92" s="57">
        <v>43798</v>
      </c>
      <c r="S92" s="57" t="s">
        <v>30</v>
      </c>
      <c r="T92" s="57" t="s">
        <v>30</v>
      </c>
      <c r="U92" s="34" t="s">
        <v>30</v>
      </c>
      <c r="V92" s="57" t="s">
        <v>30</v>
      </c>
      <c r="W92" s="57" t="s">
        <v>30</v>
      </c>
      <c r="X92" s="57" t="s">
        <v>30</v>
      </c>
      <c r="Y92" s="137">
        <f t="shared" si="30"/>
        <v>44163</v>
      </c>
      <c r="Z92" s="57" t="str">
        <f t="shared" si="31"/>
        <v>NC</v>
      </c>
      <c r="AA92" s="57" t="str">
        <f t="shared" si="32"/>
        <v>NC</v>
      </c>
      <c r="AB92" s="57" t="str">
        <f t="shared" si="33"/>
        <v>NC</v>
      </c>
      <c r="AC92" s="57" t="str">
        <f t="shared" si="34"/>
        <v>NC</v>
      </c>
      <c r="AD92" s="57" t="str">
        <f t="shared" si="35"/>
        <v>NC</v>
      </c>
      <c r="AE92" s="57" t="str">
        <f t="shared" si="36"/>
        <v>NC</v>
      </c>
      <c r="AF92" s="138"/>
      <c r="AG92" s="123">
        <f t="shared" ca="1" si="37"/>
        <v>-1424</v>
      </c>
      <c r="AH92" s="123" t="str">
        <f t="shared" si="38"/>
        <v>NC</v>
      </c>
      <c r="AI92" s="123" t="str">
        <f t="shared" si="39"/>
        <v>NC</v>
      </c>
      <c r="AJ92" s="123" t="str">
        <f t="shared" si="40"/>
        <v>NC</v>
      </c>
      <c r="AK92" s="123" t="str">
        <f t="shared" si="41"/>
        <v>NC</v>
      </c>
      <c r="AL92" s="123" t="str">
        <f t="shared" si="42"/>
        <v>NC</v>
      </c>
      <c r="AM92" s="123" t="str">
        <f t="shared" si="43"/>
        <v>NC</v>
      </c>
      <c r="AN92" s="138"/>
      <c r="AO92" s="139" t="e">
        <f t="shared" si="44"/>
        <v>#DIV/0!</v>
      </c>
      <c r="AP92" s="138"/>
      <c r="AQ92" s="138"/>
      <c r="AR92" s="138" t="s">
        <v>473</v>
      </c>
      <c r="AS92" s="141" t="s">
        <v>643</v>
      </c>
      <c r="AT92" s="138" t="s">
        <v>770</v>
      </c>
      <c r="AU92" s="142" t="s">
        <v>1208</v>
      </c>
      <c r="AV92" s="143" t="s">
        <v>827</v>
      </c>
      <c r="AW92" s="143" t="s">
        <v>1408</v>
      </c>
    </row>
    <row r="93" spans="1:49" s="138" customFormat="1" ht="14.4" customHeight="1" x14ac:dyDescent="0.3">
      <c r="A93" s="116"/>
      <c r="B93" s="116"/>
      <c r="C93" s="117"/>
      <c r="D93" s="116"/>
      <c r="E93" s="116"/>
      <c r="F93" s="117"/>
      <c r="G93" s="120"/>
      <c r="H93" s="120"/>
      <c r="I93" s="120"/>
      <c r="J93" s="156">
        <v>43830</v>
      </c>
      <c r="K93" s="134"/>
      <c r="L93" s="120"/>
      <c r="M93" s="132"/>
      <c r="N93" s="133">
        <v>44166</v>
      </c>
      <c r="O93" s="116"/>
      <c r="P93" s="135" t="s">
        <v>596</v>
      </c>
      <c r="Q93" s="116"/>
      <c r="R93" s="57">
        <v>43798</v>
      </c>
      <c r="S93" s="57" t="s">
        <v>30</v>
      </c>
      <c r="T93" s="57" t="s">
        <v>30</v>
      </c>
      <c r="U93" s="34" t="s">
        <v>30</v>
      </c>
      <c r="V93" s="57" t="s">
        <v>30</v>
      </c>
      <c r="W93" s="57" t="s">
        <v>30</v>
      </c>
      <c r="X93" s="57" t="s">
        <v>30</v>
      </c>
      <c r="Y93" s="137">
        <f t="shared" si="30"/>
        <v>44163</v>
      </c>
      <c r="Z93" s="57" t="str">
        <f t="shared" si="31"/>
        <v>NC</v>
      </c>
      <c r="AA93" s="57" t="str">
        <f t="shared" si="32"/>
        <v>NC</v>
      </c>
      <c r="AB93" s="57" t="str">
        <f t="shared" si="33"/>
        <v>NC</v>
      </c>
      <c r="AC93" s="57" t="str">
        <f t="shared" si="34"/>
        <v>NC</v>
      </c>
      <c r="AD93" s="57" t="str">
        <f t="shared" si="35"/>
        <v>NC</v>
      </c>
      <c r="AE93" s="57" t="str">
        <f t="shared" si="36"/>
        <v>NC</v>
      </c>
      <c r="AG93" s="123">
        <f t="shared" ca="1" si="37"/>
        <v>-1424</v>
      </c>
      <c r="AH93" s="123" t="str">
        <f t="shared" si="38"/>
        <v>NC</v>
      </c>
      <c r="AI93" s="123" t="str">
        <f t="shared" si="39"/>
        <v>NC</v>
      </c>
      <c r="AJ93" s="123" t="str">
        <f t="shared" si="40"/>
        <v>NC</v>
      </c>
      <c r="AK93" s="123" t="str">
        <f t="shared" si="41"/>
        <v>NC</v>
      </c>
      <c r="AL93" s="123" t="str">
        <f t="shared" si="42"/>
        <v>NC</v>
      </c>
      <c r="AM93" s="123" t="str">
        <f t="shared" si="43"/>
        <v>NC</v>
      </c>
      <c r="AO93" s="139" t="e">
        <f t="shared" si="44"/>
        <v>#DIV/0!</v>
      </c>
      <c r="AR93" s="124" t="s">
        <v>469</v>
      </c>
      <c r="AS93" s="141" t="s">
        <v>643</v>
      </c>
      <c r="AT93" s="138" t="s">
        <v>747</v>
      </c>
      <c r="AU93" s="142" t="s">
        <v>1208</v>
      </c>
      <c r="AV93" s="143" t="s">
        <v>827</v>
      </c>
      <c r="AW93" s="143"/>
    </row>
    <row r="94" spans="1:49" s="138" customFormat="1" ht="14.4" customHeight="1" x14ac:dyDescent="0.3">
      <c r="A94" s="116"/>
      <c r="B94" s="116"/>
      <c r="C94" s="117"/>
      <c r="D94" s="116"/>
      <c r="E94" s="116"/>
      <c r="F94" s="117"/>
      <c r="G94" s="120"/>
      <c r="H94" s="120"/>
      <c r="I94" s="120"/>
      <c r="J94" s="156">
        <v>43830</v>
      </c>
      <c r="K94" s="134"/>
      <c r="L94" s="120"/>
      <c r="M94" s="132"/>
      <c r="N94" s="133">
        <v>44166</v>
      </c>
      <c r="O94" s="116"/>
      <c r="P94" s="135" t="s">
        <v>596</v>
      </c>
      <c r="Q94" s="116"/>
      <c r="R94" s="57">
        <v>43797</v>
      </c>
      <c r="S94" s="57" t="s">
        <v>30</v>
      </c>
      <c r="T94" s="57" t="s">
        <v>30</v>
      </c>
      <c r="U94" s="34" t="s">
        <v>30</v>
      </c>
      <c r="V94" s="57" t="s">
        <v>30</v>
      </c>
      <c r="W94" s="57" t="s">
        <v>30</v>
      </c>
      <c r="X94" s="57" t="s">
        <v>30</v>
      </c>
      <c r="Y94" s="137">
        <f t="shared" si="30"/>
        <v>44162</v>
      </c>
      <c r="Z94" s="57" t="str">
        <f t="shared" si="31"/>
        <v>NC</v>
      </c>
      <c r="AA94" s="57" t="str">
        <f t="shared" si="32"/>
        <v>NC</v>
      </c>
      <c r="AB94" s="57" t="str">
        <f t="shared" si="33"/>
        <v>NC</v>
      </c>
      <c r="AC94" s="57" t="str">
        <f t="shared" si="34"/>
        <v>NC</v>
      </c>
      <c r="AD94" s="57" t="str">
        <f t="shared" si="35"/>
        <v>NC</v>
      </c>
      <c r="AE94" s="57" t="str">
        <f t="shared" si="36"/>
        <v>NC</v>
      </c>
      <c r="AG94" s="123">
        <f t="shared" ca="1" si="37"/>
        <v>-1425</v>
      </c>
      <c r="AH94" s="123" t="str">
        <f t="shared" si="38"/>
        <v>NC</v>
      </c>
      <c r="AI94" s="123" t="str">
        <f t="shared" si="39"/>
        <v>NC</v>
      </c>
      <c r="AJ94" s="123" t="str">
        <f t="shared" si="40"/>
        <v>NC</v>
      </c>
      <c r="AK94" s="123" t="str">
        <f t="shared" si="41"/>
        <v>NC</v>
      </c>
      <c r="AL94" s="123" t="str">
        <f t="shared" si="42"/>
        <v>NC</v>
      </c>
      <c r="AM94" s="123" t="str">
        <f t="shared" si="43"/>
        <v>NC</v>
      </c>
      <c r="AO94" s="139" t="e">
        <f t="shared" si="44"/>
        <v>#DIV/0!</v>
      </c>
      <c r="AR94" s="124" t="s">
        <v>469</v>
      </c>
      <c r="AS94" s="141" t="s">
        <v>643</v>
      </c>
      <c r="AT94" s="138" t="s">
        <v>840</v>
      </c>
      <c r="AU94" s="142" t="s">
        <v>1208</v>
      </c>
      <c r="AV94" s="143" t="s">
        <v>827</v>
      </c>
      <c r="AW94" s="143"/>
    </row>
    <row r="95" spans="1:49" s="138" customFormat="1" ht="14.4" customHeight="1" x14ac:dyDescent="0.3">
      <c r="A95" s="116"/>
      <c r="B95" s="116"/>
      <c r="C95" s="117"/>
      <c r="D95" s="116"/>
      <c r="E95" s="116"/>
      <c r="F95" s="117"/>
      <c r="G95" s="120"/>
      <c r="H95" s="120"/>
      <c r="I95" s="120"/>
      <c r="J95" s="156">
        <v>43830</v>
      </c>
      <c r="K95" s="134"/>
      <c r="L95" s="120"/>
      <c r="M95" s="132"/>
      <c r="N95" s="133">
        <v>44166</v>
      </c>
      <c r="O95" s="116"/>
      <c r="P95" s="135" t="s">
        <v>596</v>
      </c>
      <c r="Q95" s="116"/>
      <c r="R95" s="57">
        <v>43798</v>
      </c>
      <c r="S95" s="57" t="s">
        <v>30</v>
      </c>
      <c r="T95" s="57" t="s">
        <v>30</v>
      </c>
      <c r="U95" s="34" t="s">
        <v>30</v>
      </c>
      <c r="V95" s="57" t="s">
        <v>30</v>
      </c>
      <c r="W95" s="57" t="s">
        <v>30</v>
      </c>
      <c r="X95" s="57" t="s">
        <v>30</v>
      </c>
      <c r="Y95" s="137">
        <f t="shared" si="30"/>
        <v>44163</v>
      </c>
      <c r="Z95" s="57" t="str">
        <f t="shared" si="31"/>
        <v>NC</v>
      </c>
      <c r="AA95" s="57" t="str">
        <f t="shared" si="32"/>
        <v>NC</v>
      </c>
      <c r="AB95" s="57" t="str">
        <f t="shared" si="33"/>
        <v>NC</v>
      </c>
      <c r="AC95" s="57" t="str">
        <f t="shared" si="34"/>
        <v>NC</v>
      </c>
      <c r="AD95" s="57" t="str">
        <f t="shared" si="35"/>
        <v>NC</v>
      </c>
      <c r="AE95" s="57" t="str">
        <f t="shared" si="36"/>
        <v>NC</v>
      </c>
      <c r="AG95" s="123">
        <f t="shared" ca="1" si="37"/>
        <v>-1424</v>
      </c>
      <c r="AH95" s="123" t="str">
        <f t="shared" si="38"/>
        <v>NC</v>
      </c>
      <c r="AI95" s="123" t="str">
        <f t="shared" si="39"/>
        <v>NC</v>
      </c>
      <c r="AJ95" s="123" t="str">
        <f t="shared" si="40"/>
        <v>NC</v>
      </c>
      <c r="AK95" s="123" t="str">
        <f t="shared" si="41"/>
        <v>NC</v>
      </c>
      <c r="AL95" s="123" t="str">
        <f t="shared" si="42"/>
        <v>NC</v>
      </c>
      <c r="AM95" s="123" t="str">
        <f t="shared" si="43"/>
        <v>NC</v>
      </c>
      <c r="AO95" s="139" t="e">
        <f t="shared" si="44"/>
        <v>#DIV/0!</v>
      </c>
      <c r="AR95" s="124" t="s">
        <v>469</v>
      </c>
      <c r="AS95" s="141" t="s">
        <v>643</v>
      </c>
      <c r="AT95" s="138" t="s">
        <v>841</v>
      </c>
      <c r="AU95" s="142" t="s">
        <v>1208</v>
      </c>
      <c r="AV95" s="143" t="s">
        <v>827</v>
      </c>
      <c r="AW95" s="143"/>
    </row>
    <row r="96" spans="1:49" s="160" customFormat="1" ht="14.4" customHeight="1" x14ac:dyDescent="0.3">
      <c r="A96" s="116"/>
      <c r="B96" s="116"/>
      <c r="C96" s="117"/>
      <c r="D96" s="116"/>
      <c r="E96" s="116"/>
      <c r="F96" s="117"/>
      <c r="G96" s="120"/>
      <c r="H96" s="120"/>
      <c r="I96" s="120"/>
      <c r="J96" s="156">
        <v>43830</v>
      </c>
      <c r="K96" s="134"/>
      <c r="L96" s="120"/>
      <c r="M96" s="132"/>
      <c r="N96" s="158">
        <v>44166</v>
      </c>
      <c r="O96" s="116"/>
      <c r="P96" s="135" t="s">
        <v>596</v>
      </c>
      <c r="Q96" s="116"/>
      <c r="R96" s="57">
        <v>43802</v>
      </c>
      <c r="S96" s="57" t="s">
        <v>30</v>
      </c>
      <c r="T96" s="57" t="s">
        <v>30</v>
      </c>
      <c r="U96" s="34" t="s">
        <v>30</v>
      </c>
      <c r="V96" s="57" t="s">
        <v>30</v>
      </c>
      <c r="W96" s="57" t="s">
        <v>30</v>
      </c>
      <c r="X96" s="57" t="s">
        <v>30</v>
      </c>
      <c r="Y96" s="137">
        <f t="shared" si="30"/>
        <v>44167</v>
      </c>
      <c r="Z96" s="57" t="str">
        <f t="shared" si="31"/>
        <v>NC</v>
      </c>
      <c r="AA96" s="57" t="str">
        <f t="shared" si="32"/>
        <v>NC</v>
      </c>
      <c r="AB96" s="57" t="str">
        <f t="shared" si="33"/>
        <v>NC</v>
      </c>
      <c r="AC96" s="57" t="str">
        <f t="shared" si="34"/>
        <v>NC</v>
      </c>
      <c r="AD96" s="57" t="str">
        <f t="shared" si="35"/>
        <v>NC</v>
      </c>
      <c r="AE96" s="57" t="str">
        <f t="shared" si="36"/>
        <v>NC</v>
      </c>
      <c r="AF96" s="138"/>
      <c r="AG96" s="123">
        <f t="shared" ca="1" si="37"/>
        <v>-1420</v>
      </c>
      <c r="AH96" s="123" t="str">
        <f t="shared" si="38"/>
        <v>NC</v>
      </c>
      <c r="AI96" s="123" t="str">
        <f t="shared" si="39"/>
        <v>NC</v>
      </c>
      <c r="AJ96" s="123" t="str">
        <f t="shared" si="40"/>
        <v>NC</v>
      </c>
      <c r="AK96" s="123" t="str">
        <f t="shared" si="41"/>
        <v>NC</v>
      </c>
      <c r="AL96" s="123" t="str">
        <f t="shared" si="42"/>
        <v>NC</v>
      </c>
      <c r="AM96" s="123" t="str">
        <f t="shared" si="43"/>
        <v>NC</v>
      </c>
      <c r="AN96" s="138"/>
      <c r="AO96" s="139" t="e">
        <f t="shared" si="44"/>
        <v>#DIV/0!</v>
      </c>
      <c r="AP96" s="138"/>
      <c r="AQ96" s="138"/>
      <c r="AR96" s="138" t="s">
        <v>473</v>
      </c>
      <c r="AS96" s="141" t="s">
        <v>643</v>
      </c>
      <c r="AT96" s="138" t="s">
        <v>769</v>
      </c>
      <c r="AU96" s="142" t="s">
        <v>1208</v>
      </c>
      <c r="AV96" s="143" t="s">
        <v>1213</v>
      </c>
      <c r="AW96" s="143"/>
    </row>
    <row r="97" spans="1:49" s="124" customFormat="1" ht="14.4" customHeight="1" x14ac:dyDescent="0.3">
      <c r="A97" s="116"/>
      <c r="B97" s="117"/>
      <c r="C97" s="117"/>
      <c r="D97" s="116"/>
      <c r="E97" s="116"/>
      <c r="F97" s="117"/>
      <c r="G97" s="120"/>
      <c r="H97" s="120"/>
      <c r="I97" s="120"/>
      <c r="J97" s="156">
        <v>44196</v>
      </c>
      <c r="K97" s="134"/>
      <c r="L97" s="120"/>
      <c r="M97" s="132"/>
      <c r="N97" s="158">
        <v>44166</v>
      </c>
      <c r="O97" s="116"/>
      <c r="P97" s="135" t="s">
        <v>596</v>
      </c>
      <c r="Q97" s="116"/>
      <c r="R97" s="57">
        <v>43858</v>
      </c>
      <c r="S97" s="57" t="s">
        <v>30</v>
      </c>
      <c r="T97" s="57" t="s">
        <v>30</v>
      </c>
      <c r="U97" s="34" t="s">
        <v>30</v>
      </c>
      <c r="V97" s="57" t="s">
        <v>30</v>
      </c>
      <c r="W97" s="57" t="s">
        <v>30</v>
      </c>
      <c r="X97" s="57" t="s">
        <v>30</v>
      </c>
      <c r="Y97" s="137">
        <f t="shared" si="30"/>
        <v>44223</v>
      </c>
      <c r="Z97" s="57" t="str">
        <f t="shared" si="31"/>
        <v>NC</v>
      </c>
      <c r="AA97" s="57" t="str">
        <f t="shared" si="32"/>
        <v>NC</v>
      </c>
      <c r="AB97" s="57" t="str">
        <f t="shared" si="33"/>
        <v>NC</v>
      </c>
      <c r="AC97" s="57" t="str">
        <f t="shared" si="34"/>
        <v>NC</v>
      </c>
      <c r="AD97" s="57" t="str">
        <f t="shared" si="35"/>
        <v>NC</v>
      </c>
      <c r="AE97" s="57" t="str">
        <f t="shared" si="36"/>
        <v>NC</v>
      </c>
      <c r="AF97" s="138"/>
      <c r="AG97" s="116">
        <f t="shared" ca="1" si="37"/>
        <v>-1364</v>
      </c>
      <c r="AH97" s="116" t="str">
        <f t="shared" si="38"/>
        <v>NC</v>
      </c>
      <c r="AI97" s="116" t="str">
        <f t="shared" si="39"/>
        <v>NC</v>
      </c>
      <c r="AJ97" s="116" t="str">
        <f t="shared" si="40"/>
        <v>NC</v>
      </c>
      <c r="AK97" s="116" t="str">
        <f t="shared" si="41"/>
        <v>NC</v>
      </c>
      <c r="AL97" s="116" t="str">
        <f t="shared" si="42"/>
        <v>NC</v>
      </c>
      <c r="AM97" s="116" t="str">
        <f t="shared" si="43"/>
        <v>NC</v>
      </c>
      <c r="AN97" s="138"/>
      <c r="AO97" s="139" t="e">
        <f t="shared" si="44"/>
        <v>#DIV/0!</v>
      </c>
      <c r="AP97" s="138"/>
      <c r="AQ97" s="138"/>
      <c r="AR97" s="138" t="s">
        <v>469</v>
      </c>
      <c r="AS97" s="141" t="s">
        <v>643</v>
      </c>
      <c r="AT97" s="138" t="s">
        <v>773</v>
      </c>
      <c r="AU97" s="142" t="s">
        <v>1215</v>
      </c>
      <c r="AV97" s="143" t="s">
        <v>1216</v>
      </c>
      <c r="AW97" s="142" t="s">
        <v>1217</v>
      </c>
    </row>
    <row r="98" spans="1:49" s="124" customFormat="1" ht="14.4" customHeight="1" x14ac:dyDescent="0.3">
      <c r="A98" s="116"/>
      <c r="B98" s="117"/>
      <c r="C98" s="117"/>
      <c r="D98" s="116"/>
      <c r="E98" s="116"/>
      <c r="F98" s="117"/>
      <c r="G98" s="120"/>
      <c r="H98" s="120"/>
      <c r="I98" s="120"/>
      <c r="J98" s="156">
        <v>44196</v>
      </c>
      <c r="K98" s="134"/>
      <c r="L98" s="120"/>
      <c r="M98" s="132"/>
      <c r="N98" s="158">
        <v>43983</v>
      </c>
      <c r="O98" s="116"/>
      <c r="P98" s="135" t="s">
        <v>596</v>
      </c>
      <c r="Q98" s="116"/>
      <c r="R98" s="57">
        <v>43822</v>
      </c>
      <c r="S98" s="57" t="s">
        <v>30</v>
      </c>
      <c r="T98" s="57" t="s">
        <v>30</v>
      </c>
      <c r="U98" s="34" t="s">
        <v>30</v>
      </c>
      <c r="V98" s="57" t="s">
        <v>30</v>
      </c>
      <c r="W98" s="57" t="s">
        <v>30</v>
      </c>
      <c r="X98" s="57" t="s">
        <v>30</v>
      </c>
      <c r="Y98" s="137">
        <f t="shared" si="30"/>
        <v>44187</v>
      </c>
      <c r="Z98" s="57" t="str">
        <f t="shared" si="31"/>
        <v>NC</v>
      </c>
      <c r="AA98" s="57" t="str">
        <f t="shared" si="32"/>
        <v>NC</v>
      </c>
      <c r="AB98" s="57" t="str">
        <f t="shared" si="33"/>
        <v>NC</v>
      </c>
      <c r="AC98" s="57" t="str">
        <f t="shared" si="34"/>
        <v>NC</v>
      </c>
      <c r="AD98" s="57" t="str">
        <f t="shared" si="35"/>
        <v>NC</v>
      </c>
      <c r="AE98" s="57" t="str">
        <f t="shared" si="36"/>
        <v>NC</v>
      </c>
      <c r="AF98" s="138"/>
      <c r="AG98" s="116">
        <f t="shared" ca="1" si="37"/>
        <v>-1400</v>
      </c>
      <c r="AH98" s="116" t="str">
        <f t="shared" si="38"/>
        <v>NC</v>
      </c>
      <c r="AI98" s="116" t="str">
        <f t="shared" si="39"/>
        <v>NC</v>
      </c>
      <c r="AJ98" s="116" t="str">
        <f t="shared" si="40"/>
        <v>NC</v>
      </c>
      <c r="AK98" s="116" t="str">
        <f t="shared" si="41"/>
        <v>NC</v>
      </c>
      <c r="AL98" s="116" t="str">
        <f t="shared" si="42"/>
        <v>NC</v>
      </c>
      <c r="AM98" s="116" t="str">
        <f t="shared" si="43"/>
        <v>NC</v>
      </c>
      <c r="AN98" s="138"/>
      <c r="AO98" s="139" t="e">
        <f t="shared" si="44"/>
        <v>#DIV/0!</v>
      </c>
      <c r="AP98" s="138"/>
      <c r="AQ98" s="138"/>
      <c r="AR98" s="124" t="s">
        <v>469</v>
      </c>
      <c r="AS98" s="141" t="s">
        <v>643</v>
      </c>
      <c r="AT98" s="138" t="s">
        <v>1012</v>
      </c>
      <c r="AU98" s="142" t="s">
        <v>1215</v>
      </c>
      <c r="AV98" s="143" t="s">
        <v>1216</v>
      </c>
      <c r="AW98" s="142" t="s">
        <v>1217</v>
      </c>
    </row>
    <row r="99" spans="1:49" s="124" customFormat="1" ht="14.4" customHeight="1" x14ac:dyDescent="0.3">
      <c r="A99" s="116"/>
      <c r="B99" s="116"/>
      <c r="C99" s="117"/>
      <c r="D99" s="116"/>
      <c r="E99" s="116"/>
      <c r="F99" s="117"/>
      <c r="G99" s="120"/>
      <c r="H99" s="120"/>
      <c r="I99" s="120"/>
      <c r="J99" s="156">
        <v>43830</v>
      </c>
      <c r="K99" s="134"/>
      <c r="L99" s="120"/>
      <c r="M99" s="132"/>
      <c r="N99" s="158">
        <v>43983</v>
      </c>
      <c r="O99" s="116"/>
      <c r="P99" s="135" t="s">
        <v>596</v>
      </c>
      <c r="Q99" s="116"/>
      <c r="R99" s="57">
        <v>43803</v>
      </c>
      <c r="S99" s="57" t="s">
        <v>30</v>
      </c>
      <c r="T99" s="57" t="s">
        <v>30</v>
      </c>
      <c r="U99" s="34" t="s">
        <v>30</v>
      </c>
      <c r="V99" s="57" t="s">
        <v>30</v>
      </c>
      <c r="W99" s="57" t="s">
        <v>30</v>
      </c>
      <c r="X99" s="57" t="s">
        <v>30</v>
      </c>
      <c r="Y99" s="137">
        <f t="shared" si="30"/>
        <v>44168</v>
      </c>
      <c r="Z99" s="57" t="str">
        <f t="shared" si="31"/>
        <v>NC</v>
      </c>
      <c r="AA99" s="57" t="str">
        <f t="shared" si="32"/>
        <v>NC</v>
      </c>
      <c r="AB99" s="57" t="str">
        <f t="shared" si="33"/>
        <v>NC</v>
      </c>
      <c r="AC99" s="57" t="str">
        <f t="shared" si="34"/>
        <v>NC</v>
      </c>
      <c r="AD99" s="57" t="str">
        <f t="shared" si="35"/>
        <v>NC</v>
      </c>
      <c r="AE99" s="57" t="str">
        <f t="shared" si="36"/>
        <v>NC</v>
      </c>
      <c r="AF99" s="138"/>
      <c r="AG99" s="123">
        <f t="shared" ca="1" si="37"/>
        <v>-1419</v>
      </c>
      <c r="AH99" s="123" t="str">
        <f t="shared" si="38"/>
        <v>NC</v>
      </c>
      <c r="AI99" s="123" t="str">
        <f t="shared" si="39"/>
        <v>NC</v>
      </c>
      <c r="AJ99" s="123" t="str">
        <f t="shared" si="40"/>
        <v>NC</v>
      </c>
      <c r="AK99" s="123" t="str">
        <f t="shared" si="41"/>
        <v>NC</v>
      </c>
      <c r="AL99" s="123" t="str">
        <f t="shared" si="42"/>
        <v>NC</v>
      </c>
      <c r="AM99" s="123" t="str">
        <f t="shared" si="43"/>
        <v>NC</v>
      </c>
      <c r="AN99" s="138"/>
      <c r="AO99" s="139" t="e">
        <f t="shared" si="44"/>
        <v>#DIV/0!</v>
      </c>
      <c r="AP99" s="138"/>
      <c r="AQ99" s="138"/>
      <c r="AR99" s="138" t="s">
        <v>473</v>
      </c>
      <c r="AS99" s="141" t="s">
        <v>643</v>
      </c>
      <c r="AT99" s="138" t="s">
        <v>767</v>
      </c>
      <c r="AU99" s="142" t="s">
        <v>1211</v>
      </c>
      <c r="AV99" s="143" t="s">
        <v>1212</v>
      </c>
      <c r="AW99" s="143" t="s">
        <v>1413</v>
      </c>
    </row>
    <row r="100" spans="1:49" s="124" customFormat="1" ht="14.4" customHeight="1" x14ac:dyDescent="0.3">
      <c r="A100" s="121"/>
      <c r="B100" s="121"/>
      <c r="C100" s="121"/>
      <c r="D100" s="123"/>
      <c r="E100" s="123"/>
      <c r="F100" s="117"/>
      <c r="G100" s="99"/>
      <c r="H100" s="99"/>
      <c r="I100" s="99"/>
      <c r="J100" s="144">
        <v>43830</v>
      </c>
      <c r="K100" s="145"/>
      <c r="L100" s="146"/>
      <c r="M100" s="154">
        <v>43831</v>
      </c>
      <c r="N100" s="133">
        <v>43983</v>
      </c>
      <c r="O100" s="148"/>
      <c r="P100" s="149" t="s">
        <v>596</v>
      </c>
      <c r="Q100" s="150"/>
      <c r="R100" s="57">
        <v>43790</v>
      </c>
      <c r="S100" s="57" t="s">
        <v>30</v>
      </c>
      <c r="T100" s="57" t="s">
        <v>30</v>
      </c>
      <c r="U100" s="34" t="s">
        <v>30</v>
      </c>
      <c r="V100" s="57">
        <v>43860</v>
      </c>
      <c r="W100" s="57">
        <v>43889</v>
      </c>
      <c r="X100" s="57" t="s">
        <v>30</v>
      </c>
      <c r="Y100" s="137">
        <f t="shared" si="30"/>
        <v>44155</v>
      </c>
      <c r="Z100" s="57" t="str">
        <f t="shared" si="31"/>
        <v>NC</v>
      </c>
      <c r="AA100" s="57" t="str">
        <f t="shared" si="32"/>
        <v>NC</v>
      </c>
      <c r="AB100" s="57" t="str">
        <f t="shared" si="33"/>
        <v>NC</v>
      </c>
      <c r="AC100" s="57">
        <f t="shared" si="34"/>
        <v>44225</v>
      </c>
      <c r="AD100" s="57">
        <f t="shared" si="35"/>
        <v>44254</v>
      </c>
      <c r="AE100" s="57" t="str">
        <f t="shared" si="36"/>
        <v>NC</v>
      </c>
      <c r="AG100" s="123">
        <f t="shared" ca="1" si="37"/>
        <v>-1432</v>
      </c>
      <c r="AH100" s="123" t="str">
        <f t="shared" si="38"/>
        <v>NC</v>
      </c>
      <c r="AI100" s="123" t="str">
        <f t="shared" si="39"/>
        <v>NC</v>
      </c>
      <c r="AJ100" s="123" t="str">
        <f t="shared" si="40"/>
        <v>NC</v>
      </c>
      <c r="AK100" s="123">
        <f t="shared" ca="1" si="41"/>
        <v>-1362</v>
      </c>
      <c r="AL100" s="123">
        <f t="shared" ca="1" si="42"/>
        <v>-1333</v>
      </c>
      <c r="AM100" s="123" t="str">
        <f t="shared" si="43"/>
        <v>NC</v>
      </c>
      <c r="AN100" s="138"/>
      <c r="AO100" s="151" t="e">
        <f t="shared" si="44"/>
        <v>#DIV/0!</v>
      </c>
      <c r="AP100" s="152"/>
      <c r="AR100" s="124" t="s">
        <v>470</v>
      </c>
      <c r="AS100" s="141" t="s">
        <v>643</v>
      </c>
      <c r="AT100" s="124" t="s">
        <v>746</v>
      </c>
      <c r="AU100" s="143" t="s">
        <v>1211</v>
      </c>
      <c r="AV100" s="143" t="s">
        <v>1233</v>
      </c>
      <c r="AW100" s="143" t="s">
        <v>1415</v>
      </c>
    </row>
    <row r="101" spans="1:49" s="124" customFormat="1" ht="14.4" customHeight="1" x14ac:dyDescent="0.3">
      <c r="A101" s="121"/>
      <c r="B101" s="121"/>
      <c r="C101" s="121"/>
      <c r="D101" s="123"/>
      <c r="E101" s="123"/>
      <c r="F101" s="117"/>
      <c r="G101" s="99"/>
      <c r="H101" s="99"/>
      <c r="I101" s="99"/>
      <c r="J101" s="144">
        <v>43830</v>
      </c>
      <c r="K101" s="145"/>
      <c r="L101" s="146"/>
      <c r="M101" s="154">
        <v>44075</v>
      </c>
      <c r="N101" s="133">
        <v>43983</v>
      </c>
      <c r="O101" s="148"/>
      <c r="P101" s="149" t="s">
        <v>596</v>
      </c>
      <c r="Q101" s="150"/>
      <c r="R101" s="57">
        <v>43685</v>
      </c>
      <c r="S101" s="57" t="s">
        <v>30</v>
      </c>
      <c r="T101" s="57" t="s">
        <v>30</v>
      </c>
      <c r="U101" s="34" t="s">
        <v>30</v>
      </c>
      <c r="V101" s="57">
        <v>43860</v>
      </c>
      <c r="W101" s="57">
        <v>43889</v>
      </c>
      <c r="X101" s="57" t="s">
        <v>30</v>
      </c>
      <c r="Y101" s="137">
        <f t="shared" si="30"/>
        <v>44050</v>
      </c>
      <c r="Z101" s="57" t="str">
        <f t="shared" si="31"/>
        <v>NC</v>
      </c>
      <c r="AA101" s="57" t="str">
        <f t="shared" si="32"/>
        <v>NC</v>
      </c>
      <c r="AB101" s="57" t="str">
        <f t="shared" si="33"/>
        <v>NC</v>
      </c>
      <c r="AC101" s="57">
        <f t="shared" si="34"/>
        <v>44225</v>
      </c>
      <c r="AD101" s="57">
        <f t="shared" si="35"/>
        <v>44254</v>
      </c>
      <c r="AE101" s="57" t="str">
        <f t="shared" si="36"/>
        <v>NC</v>
      </c>
      <c r="AG101" s="123">
        <f t="shared" ca="1" si="37"/>
        <v>-1537</v>
      </c>
      <c r="AH101" s="123" t="str">
        <f t="shared" si="38"/>
        <v>NC</v>
      </c>
      <c r="AI101" s="123" t="str">
        <f t="shared" si="39"/>
        <v>NC</v>
      </c>
      <c r="AJ101" s="123" t="str">
        <f t="shared" si="40"/>
        <v>NC</v>
      </c>
      <c r="AK101" s="123">
        <f t="shared" ca="1" si="41"/>
        <v>-1362</v>
      </c>
      <c r="AL101" s="123">
        <f t="shared" ca="1" si="42"/>
        <v>-1333</v>
      </c>
      <c r="AM101" s="123" t="str">
        <f t="shared" si="43"/>
        <v>NC</v>
      </c>
      <c r="AN101" s="138"/>
      <c r="AO101" s="151" t="e">
        <f t="shared" si="44"/>
        <v>#DIV/0!</v>
      </c>
      <c r="AP101" s="152"/>
      <c r="AR101" s="124" t="s">
        <v>470</v>
      </c>
      <c r="AS101" s="141" t="s">
        <v>643</v>
      </c>
      <c r="AT101" s="124" t="s">
        <v>750</v>
      </c>
      <c r="AU101" s="143" t="s">
        <v>1211</v>
      </c>
      <c r="AV101" s="143" t="s">
        <v>1232</v>
      </c>
      <c r="AW101" s="143" t="s">
        <v>1416</v>
      </c>
    </row>
    <row r="102" spans="1:49" s="124" customFormat="1" ht="14.4" customHeight="1" x14ac:dyDescent="0.3">
      <c r="A102" s="122"/>
      <c r="B102" s="117"/>
      <c r="C102" s="121"/>
      <c r="D102" s="123"/>
      <c r="E102" s="123"/>
      <c r="F102" s="117"/>
      <c r="G102" s="99"/>
      <c r="H102" s="99"/>
      <c r="I102" s="99"/>
      <c r="J102" s="144">
        <v>43830</v>
      </c>
      <c r="K102" s="153"/>
      <c r="L102" s="146"/>
      <c r="M102" s="154">
        <v>44317</v>
      </c>
      <c r="N102" s="133"/>
      <c r="O102" s="148"/>
      <c r="P102" s="149" t="s">
        <v>596</v>
      </c>
      <c r="Q102" s="150"/>
      <c r="R102" s="57">
        <v>43566</v>
      </c>
      <c r="S102" s="57" t="s">
        <v>30</v>
      </c>
      <c r="T102" s="57" t="s">
        <v>30</v>
      </c>
      <c r="U102" s="34" t="s">
        <v>30</v>
      </c>
      <c r="V102" s="57">
        <v>43860</v>
      </c>
      <c r="W102" s="57">
        <v>43889</v>
      </c>
      <c r="X102" s="57" t="s">
        <v>30</v>
      </c>
      <c r="Y102" s="137">
        <f t="shared" ref="Y102:Y112" si="45">IF(R102="NC","NC",IF(R102="","erreur",R102+365))</f>
        <v>43931</v>
      </c>
      <c r="Z102" s="57" t="str">
        <f t="shared" ref="Z102:Z133" si="46">IF(S102="NC","NC",IF(S102="","erreur",S102+181))</f>
        <v>NC</v>
      </c>
      <c r="AA102" s="57" t="str">
        <f t="shared" ref="AA102:AA133" si="47">IF(T102="NC","NC",IF(T102="","erreur",T102+365))</f>
        <v>NC</v>
      </c>
      <c r="AB102" s="57" t="str">
        <f t="shared" ref="AB102:AB133" si="48">IF(U102="NC","NC",IF(U102="","erreur",U102+3650))</f>
        <v>NC</v>
      </c>
      <c r="AC102" s="57">
        <f t="shared" ref="AC102:AC133" si="49">IF(V102="NC","NC",IF(V102="","erreur",V102+365))</f>
        <v>44225</v>
      </c>
      <c r="AD102" s="57">
        <f t="shared" ref="AD102:AD133" si="50">IF(W102="NC","NC",IF(W102="","erreur",W102+365))</f>
        <v>44254</v>
      </c>
      <c r="AE102" s="57" t="str">
        <f t="shared" ref="AE102:AE133" si="51">IF(X102="NC","NC",IF(X102="","erreur",X102+730))</f>
        <v>NC</v>
      </c>
      <c r="AG102" s="123">
        <f t="shared" ref="AG102:AG133" ca="1" si="52">IF(Y102="NC","NC",IF(Y102="erreur","erreur",Y102-$F$3))</f>
        <v>-1656</v>
      </c>
      <c r="AH102" s="123" t="str">
        <f t="shared" ref="AH102:AH133" si="53">IF(Z102="NC","NC",IF(Z102="erreur","erreur",Z102-$F$3))</f>
        <v>NC</v>
      </c>
      <c r="AI102" s="123" t="str">
        <f t="shared" ref="AI102:AI133" si="54">IF(AA102="NC","NC",IF(AA102="erreur","erreur",AA102-$F$3))</f>
        <v>NC</v>
      </c>
      <c r="AJ102" s="123" t="str">
        <f t="shared" ref="AJ102:AJ133" si="55">IF(AB102="NC","NC",IF(AB102="erreur","erreur",AB102-$F$3))</f>
        <v>NC</v>
      </c>
      <c r="AK102" s="123">
        <f t="shared" ref="AK102:AK133" ca="1" si="56">IF(AC102="NC","NC",IF(AC102="erreur","erreur",AC102-$F$3))</f>
        <v>-1362</v>
      </c>
      <c r="AL102" s="123">
        <f t="shared" ref="AL102:AL133" ca="1" si="57">IF(AD102="NC","NC",IF(AD102="erreur","erreur",AD102-$F$3))</f>
        <v>-1333</v>
      </c>
      <c r="AM102" s="123" t="str">
        <f t="shared" ref="AM102:AM133" si="58">IF(AE102="NC","NC",IF(AE102="erreur","erreur",AE102-$F$3))</f>
        <v>NC</v>
      </c>
      <c r="AN102" s="138"/>
      <c r="AO102" s="151" t="e">
        <f t="shared" ref="AO102:AO133" si="59">K102*($AO$3-L102)/$K$4</f>
        <v>#DIV/0!</v>
      </c>
      <c r="AP102" s="152"/>
      <c r="AQ102" s="124" t="s">
        <v>395</v>
      </c>
      <c r="AR102" s="138" t="s">
        <v>471</v>
      </c>
      <c r="AS102" s="141" t="s">
        <v>643</v>
      </c>
      <c r="AT102" s="124" t="s">
        <v>756</v>
      </c>
      <c r="AU102" s="143" t="s">
        <v>1215</v>
      </c>
      <c r="AV102" s="143" t="s">
        <v>1237</v>
      </c>
      <c r="AW102" s="143" t="s">
        <v>1418</v>
      </c>
    </row>
    <row r="103" spans="1:49" s="124" customFormat="1" ht="14.4" customHeight="1" x14ac:dyDescent="0.3">
      <c r="A103" s="121"/>
      <c r="B103" s="117"/>
      <c r="C103" s="121"/>
      <c r="D103" s="123"/>
      <c r="E103" s="123"/>
      <c r="F103" s="117"/>
      <c r="G103" s="99"/>
      <c r="H103" s="99"/>
      <c r="I103" s="99"/>
      <c r="J103" s="156">
        <v>43830</v>
      </c>
      <c r="K103" s="145"/>
      <c r="L103" s="146"/>
      <c r="M103" s="154">
        <v>44317</v>
      </c>
      <c r="N103" s="133">
        <v>43983</v>
      </c>
      <c r="O103" s="148"/>
      <c r="P103" s="149" t="s">
        <v>596</v>
      </c>
      <c r="Q103" s="150"/>
      <c r="R103" s="57">
        <v>43564</v>
      </c>
      <c r="S103" s="57" t="s">
        <v>30</v>
      </c>
      <c r="T103" s="57" t="s">
        <v>30</v>
      </c>
      <c r="U103" s="34" t="s">
        <v>30</v>
      </c>
      <c r="V103" s="57">
        <v>43860</v>
      </c>
      <c r="W103" s="57">
        <v>43889</v>
      </c>
      <c r="X103" s="57" t="s">
        <v>30</v>
      </c>
      <c r="Y103" s="137">
        <f t="shared" si="45"/>
        <v>43929</v>
      </c>
      <c r="Z103" s="57" t="str">
        <f t="shared" si="46"/>
        <v>NC</v>
      </c>
      <c r="AA103" s="57" t="str">
        <f t="shared" si="47"/>
        <v>NC</v>
      </c>
      <c r="AB103" s="57" t="str">
        <f t="shared" si="48"/>
        <v>NC</v>
      </c>
      <c r="AC103" s="57">
        <f t="shared" si="49"/>
        <v>44225</v>
      </c>
      <c r="AD103" s="57">
        <f t="shared" si="50"/>
        <v>44254</v>
      </c>
      <c r="AE103" s="57" t="str">
        <f t="shared" si="51"/>
        <v>NC</v>
      </c>
      <c r="AG103" s="123">
        <f t="shared" ca="1" si="52"/>
        <v>-1658</v>
      </c>
      <c r="AH103" s="123" t="str">
        <f t="shared" si="53"/>
        <v>NC</v>
      </c>
      <c r="AI103" s="123" t="str">
        <f t="shared" si="54"/>
        <v>NC</v>
      </c>
      <c r="AJ103" s="123" t="str">
        <f t="shared" si="55"/>
        <v>NC</v>
      </c>
      <c r="AK103" s="123">
        <f t="shared" ca="1" si="56"/>
        <v>-1362</v>
      </c>
      <c r="AL103" s="123">
        <f t="shared" ca="1" si="57"/>
        <v>-1333</v>
      </c>
      <c r="AM103" s="123" t="str">
        <f t="shared" si="58"/>
        <v>NC</v>
      </c>
      <c r="AN103" s="138"/>
      <c r="AO103" s="151" t="e">
        <f t="shared" si="59"/>
        <v>#DIV/0!</v>
      </c>
      <c r="AP103" s="152"/>
      <c r="AR103" s="138" t="s">
        <v>471</v>
      </c>
      <c r="AS103" s="141" t="s">
        <v>643</v>
      </c>
      <c r="AT103" s="124" t="s">
        <v>762</v>
      </c>
      <c r="AU103" s="143" t="s">
        <v>1215</v>
      </c>
      <c r="AV103" s="143" t="s">
        <v>1237</v>
      </c>
      <c r="AW103" s="143" t="s">
        <v>1418</v>
      </c>
    </row>
    <row r="104" spans="1:49" s="124" customFormat="1" ht="14.4" customHeight="1" x14ac:dyDescent="0.3">
      <c r="A104" s="122"/>
      <c r="B104" s="117"/>
      <c r="C104" s="121"/>
      <c r="D104" s="123"/>
      <c r="E104" s="123"/>
      <c r="F104" s="117"/>
      <c r="G104" s="99"/>
      <c r="H104" s="99"/>
      <c r="I104" s="99"/>
      <c r="J104" s="144">
        <v>43830</v>
      </c>
      <c r="K104" s="153"/>
      <c r="L104" s="146"/>
      <c r="M104" s="154">
        <v>44317</v>
      </c>
      <c r="N104" s="133"/>
      <c r="O104" s="148"/>
      <c r="P104" s="149" t="s">
        <v>596</v>
      </c>
      <c r="Q104" s="150"/>
      <c r="R104" s="57">
        <v>43566</v>
      </c>
      <c r="S104" s="57" t="s">
        <v>30</v>
      </c>
      <c r="T104" s="57" t="s">
        <v>30</v>
      </c>
      <c r="U104" s="34" t="s">
        <v>30</v>
      </c>
      <c r="V104" s="57">
        <v>43860</v>
      </c>
      <c r="W104" s="57">
        <v>43889</v>
      </c>
      <c r="X104" s="57" t="s">
        <v>30</v>
      </c>
      <c r="Y104" s="137">
        <f t="shared" si="45"/>
        <v>43931</v>
      </c>
      <c r="Z104" s="57" t="str">
        <f t="shared" si="46"/>
        <v>NC</v>
      </c>
      <c r="AA104" s="57" t="str">
        <f t="shared" si="47"/>
        <v>NC</v>
      </c>
      <c r="AB104" s="57" t="str">
        <f t="shared" si="48"/>
        <v>NC</v>
      </c>
      <c r="AC104" s="57">
        <f t="shared" si="49"/>
        <v>44225</v>
      </c>
      <c r="AD104" s="57">
        <f t="shared" si="50"/>
        <v>44254</v>
      </c>
      <c r="AE104" s="57" t="str">
        <f t="shared" si="51"/>
        <v>NC</v>
      </c>
      <c r="AG104" s="123">
        <f t="shared" ca="1" si="52"/>
        <v>-1656</v>
      </c>
      <c r="AH104" s="123" t="str">
        <f t="shared" si="53"/>
        <v>NC</v>
      </c>
      <c r="AI104" s="123" t="str">
        <f t="shared" si="54"/>
        <v>NC</v>
      </c>
      <c r="AJ104" s="123" t="str">
        <f t="shared" si="55"/>
        <v>NC</v>
      </c>
      <c r="AK104" s="123">
        <f t="shared" ca="1" si="56"/>
        <v>-1362</v>
      </c>
      <c r="AL104" s="123">
        <f t="shared" ca="1" si="57"/>
        <v>-1333</v>
      </c>
      <c r="AM104" s="123" t="str">
        <f t="shared" si="58"/>
        <v>NC</v>
      </c>
      <c r="AN104" s="138"/>
      <c r="AO104" s="151" t="e">
        <f t="shared" si="59"/>
        <v>#DIV/0!</v>
      </c>
      <c r="AP104" s="152"/>
      <c r="AQ104" s="124" t="s">
        <v>395</v>
      </c>
      <c r="AR104" s="124" t="s">
        <v>471</v>
      </c>
      <c r="AS104" s="141" t="s">
        <v>643</v>
      </c>
      <c r="AT104" s="124" t="s">
        <v>1039</v>
      </c>
      <c r="AU104" s="143" t="s">
        <v>1215</v>
      </c>
      <c r="AV104" s="143" t="s">
        <v>1237</v>
      </c>
      <c r="AW104" s="143" t="s">
        <v>1418</v>
      </c>
    </row>
    <row r="105" spans="1:49" s="124" customFormat="1" ht="15" customHeight="1" x14ac:dyDescent="0.3">
      <c r="A105" s="122"/>
      <c r="B105" s="117"/>
      <c r="C105" s="121"/>
      <c r="D105" s="123"/>
      <c r="E105" s="123"/>
      <c r="F105" s="117"/>
      <c r="G105" s="99"/>
      <c r="H105" s="99"/>
      <c r="I105" s="99"/>
      <c r="J105" s="144">
        <v>43830</v>
      </c>
      <c r="K105" s="153"/>
      <c r="L105" s="146"/>
      <c r="M105" s="154">
        <v>44317</v>
      </c>
      <c r="N105" s="133"/>
      <c r="O105" s="148"/>
      <c r="P105" s="149" t="s">
        <v>596</v>
      </c>
      <c r="Q105" s="150"/>
      <c r="R105" s="57">
        <v>43566</v>
      </c>
      <c r="S105" s="57" t="s">
        <v>30</v>
      </c>
      <c r="T105" s="57" t="s">
        <v>30</v>
      </c>
      <c r="U105" s="34" t="s">
        <v>30</v>
      </c>
      <c r="V105" s="57">
        <v>43860</v>
      </c>
      <c r="W105" s="57">
        <v>43889</v>
      </c>
      <c r="X105" s="57" t="s">
        <v>30</v>
      </c>
      <c r="Y105" s="137">
        <f t="shared" si="45"/>
        <v>43931</v>
      </c>
      <c r="Z105" s="57" t="str">
        <f t="shared" si="46"/>
        <v>NC</v>
      </c>
      <c r="AA105" s="57" t="str">
        <f t="shared" si="47"/>
        <v>NC</v>
      </c>
      <c r="AB105" s="57" t="str">
        <f t="shared" si="48"/>
        <v>NC</v>
      </c>
      <c r="AC105" s="57">
        <f t="shared" si="49"/>
        <v>44225</v>
      </c>
      <c r="AD105" s="57">
        <f t="shared" si="50"/>
        <v>44254</v>
      </c>
      <c r="AE105" s="57" t="str">
        <f t="shared" si="51"/>
        <v>NC</v>
      </c>
      <c r="AG105" s="123">
        <f t="shared" ca="1" si="52"/>
        <v>-1656</v>
      </c>
      <c r="AH105" s="123" t="str">
        <f t="shared" si="53"/>
        <v>NC</v>
      </c>
      <c r="AI105" s="123" t="str">
        <f t="shared" si="54"/>
        <v>NC</v>
      </c>
      <c r="AJ105" s="123" t="str">
        <f t="shared" si="55"/>
        <v>NC</v>
      </c>
      <c r="AK105" s="123">
        <f t="shared" ca="1" si="56"/>
        <v>-1362</v>
      </c>
      <c r="AL105" s="123">
        <f t="shared" ca="1" si="57"/>
        <v>-1333</v>
      </c>
      <c r="AM105" s="123" t="str">
        <f t="shared" si="58"/>
        <v>NC</v>
      </c>
      <c r="AN105" s="138"/>
      <c r="AO105" s="151" t="e">
        <f t="shared" si="59"/>
        <v>#DIV/0!</v>
      </c>
      <c r="AP105" s="152"/>
      <c r="AQ105" s="124" t="s">
        <v>395</v>
      </c>
      <c r="AR105" s="138" t="s">
        <v>471</v>
      </c>
      <c r="AS105" s="141" t="s">
        <v>643</v>
      </c>
      <c r="AT105" s="124" t="s">
        <v>1030</v>
      </c>
      <c r="AU105" s="143" t="s">
        <v>1215</v>
      </c>
      <c r="AV105" s="143" t="s">
        <v>1237</v>
      </c>
      <c r="AW105" s="143" t="s">
        <v>1418</v>
      </c>
    </row>
    <row r="106" spans="1:49" s="124" customFormat="1" ht="14.4" customHeight="1" x14ac:dyDescent="0.3">
      <c r="A106" s="117"/>
      <c r="B106" s="121"/>
      <c r="C106" s="121"/>
      <c r="D106" s="123"/>
      <c r="E106" s="123"/>
      <c r="F106" s="117"/>
      <c r="G106" s="99"/>
      <c r="H106" s="99"/>
      <c r="I106" s="99"/>
      <c r="J106" s="144">
        <v>43830</v>
      </c>
      <c r="K106" s="145"/>
      <c r="L106" s="146"/>
      <c r="M106" s="147" t="s">
        <v>609</v>
      </c>
      <c r="N106" s="133">
        <v>43983</v>
      </c>
      <c r="O106" s="148" t="s">
        <v>613</v>
      </c>
      <c r="P106" s="149" t="s">
        <v>596</v>
      </c>
      <c r="Q106" s="150"/>
      <c r="R106" s="57">
        <v>43630</v>
      </c>
      <c r="S106" s="57" t="s">
        <v>30</v>
      </c>
      <c r="T106" s="57" t="s">
        <v>30</v>
      </c>
      <c r="U106" s="34" t="s">
        <v>30</v>
      </c>
      <c r="V106" s="57">
        <v>43860</v>
      </c>
      <c r="W106" s="57">
        <v>43889</v>
      </c>
      <c r="X106" s="57" t="s">
        <v>30</v>
      </c>
      <c r="Y106" s="137">
        <f t="shared" si="45"/>
        <v>43995</v>
      </c>
      <c r="Z106" s="57" t="str">
        <f t="shared" si="46"/>
        <v>NC</v>
      </c>
      <c r="AA106" s="57" t="str">
        <f t="shared" si="47"/>
        <v>NC</v>
      </c>
      <c r="AB106" s="57" t="str">
        <f t="shared" si="48"/>
        <v>NC</v>
      </c>
      <c r="AC106" s="57">
        <f t="shared" si="49"/>
        <v>44225</v>
      </c>
      <c r="AD106" s="57">
        <f t="shared" si="50"/>
        <v>44254</v>
      </c>
      <c r="AE106" s="57" t="str">
        <f t="shared" si="51"/>
        <v>NC</v>
      </c>
      <c r="AG106" s="123">
        <f t="shared" ca="1" si="52"/>
        <v>-1592</v>
      </c>
      <c r="AH106" s="123" t="str">
        <f t="shared" si="53"/>
        <v>NC</v>
      </c>
      <c r="AI106" s="123" t="str">
        <f t="shared" si="54"/>
        <v>NC</v>
      </c>
      <c r="AJ106" s="123" t="str">
        <f t="shared" si="55"/>
        <v>NC</v>
      </c>
      <c r="AK106" s="123">
        <f t="shared" ca="1" si="56"/>
        <v>-1362</v>
      </c>
      <c r="AL106" s="123">
        <f t="shared" ca="1" si="57"/>
        <v>-1333</v>
      </c>
      <c r="AM106" s="123" t="str">
        <f t="shared" si="58"/>
        <v>NC</v>
      </c>
      <c r="AN106" s="138"/>
      <c r="AO106" s="151" t="e">
        <f t="shared" si="59"/>
        <v>#DIV/0!</v>
      </c>
      <c r="AP106" s="152"/>
      <c r="AR106" s="138" t="s">
        <v>471</v>
      </c>
      <c r="AS106" s="141" t="s">
        <v>643</v>
      </c>
      <c r="AT106" s="124" t="s">
        <v>1016</v>
      </c>
      <c r="AU106" s="143" t="s">
        <v>1211</v>
      </c>
      <c r="AV106" s="143" t="s">
        <v>1232</v>
      </c>
      <c r="AW106" s="143" t="s">
        <v>1420</v>
      </c>
    </row>
    <row r="107" spans="1:49" s="124" customFormat="1" ht="14.4" customHeight="1" x14ac:dyDescent="0.3">
      <c r="A107" s="117"/>
      <c r="B107" s="117"/>
      <c r="C107" s="121"/>
      <c r="D107" s="116"/>
      <c r="E107" s="116"/>
      <c r="F107" s="117"/>
      <c r="G107" s="99"/>
      <c r="H107" s="99"/>
      <c r="I107" s="99"/>
      <c r="J107" s="144">
        <v>43830</v>
      </c>
      <c r="K107" s="145"/>
      <c r="L107" s="131"/>
      <c r="M107" s="154"/>
      <c r="N107" s="133"/>
      <c r="O107" s="134"/>
      <c r="P107" s="149" t="s">
        <v>596</v>
      </c>
      <c r="Q107" s="136"/>
      <c r="R107" s="57">
        <v>43797</v>
      </c>
      <c r="S107" s="57" t="s">
        <v>30</v>
      </c>
      <c r="T107" s="34" t="s">
        <v>30</v>
      </c>
      <c r="U107" s="34" t="s">
        <v>30</v>
      </c>
      <c r="V107" s="57">
        <v>43860</v>
      </c>
      <c r="W107" s="57">
        <v>43889</v>
      </c>
      <c r="X107" s="34" t="s">
        <v>30</v>
      </c>
      <c r="Y107" s="137">
        <f t="shared" si="45"/>
        <v>44162</v>
      </c>
      <c r="Z107" s="57" t="str">
        <f t="shared" si="46"/>
        <v>NC</v>
      </c>
      <c r="AA107" s="57" t="str">
        <f t="shared" si="47"/>
        <v>NC</v>
      </c>
      <c r="AB107" s="57" t="str">
        <f t="shared" si="48"/>
        <v>NC</v>
      </c>
      <c r="AC107" s="57">
        <f t="shared" si="49"/>
        <v>44225</v>
      </c>
      <c r="AD107" s="57">
        <f t="shared" si="50"/>
        <v>44254</v>
      </c>
      <c r="AE107" s="57" t="str">
        <f t="shared" si="51"/>
        <v>NC</v>
      </c>
      <c r="AG107" s="123">
        <f t="shared" ca="1" si="52"/>
        <v>-1425</v>
      </c>
      <c r="AH107" s="123" t="str">
        <f t="shared" si="53"/>
        <v>NC</v>
      </c>
      <c r="AI107" s="123" t="str">
        <f t="shared" si="54"/>
        <v>NC</v>
      </c>
      <c r="AJ107" s="123" t="str">
        <f t="shared" si="55"/>
        <v>NC</v>
      </c>
      <c r="AK107" s="123">
        <f t="shared" ca="1" si="56"/>
        <v>-1362</v>
      </c>
      <c r="AL107" s="123">
        <f t="shared" ca="1" si="57"/>
        <v>-1333</v>
      </c>
      <c r="AM107" s="123" t="str">
        <f t="shared" si="58"/>
        <v>NC</v>
      </c>
      <c r="AN107" s="138"/>
      <c r="AO107" s="151" t="e">
        <f t="shared" si="59"/>
        <v>#DIV/0!</v>
      </c>
      <c r="AP107" s="140"/>
      <c r="AQ107" s="124" t="s">
        <v>395</v>
      </c>
      <c r="AR107" s="124" t="s">
        <v>471</v>
      </c>
      <c r="AS107" s="138" t="s">
        <v>642</v>
      </c>
      <c r="AT107" s="124" t="s">
        <v>754</v>
      </c>
      <c r="AU107" s="143" t="s">
        <v>1215</v>
      </c>
      <c r="AV107" s="143" t="s">
        <v>1237</v>
      </c>
      <c r="AW107" s="143" t="s">
        <v>1418</v>
      </c>
    </row>
    <row r="108" spans="1:49" s="124" customFormat="1" ht="14.4" customHeight="1" x14ac:dyDescent="0.3">
      <c r="A108" s="117"/>
      <c r="B108" s="117"/>
      <c r="C108" s="121"/>
      <c r="D108" s="116"/>
      <c r="E108" s="116"/>
      <c r="F108" s="117"/>
      <c r="G108" s="99"/>
      <c r="H108" s="99"/>
      <c r="I108" s="99"/>
      <c r="J108" s="144">
        <v>43830</v>
      </c>
      <c r="K108" s="145"/>
      <c r="L108" s="131"/>
      <c r="M108" s="154"/>
      <c r="N108" s="133"/>
      <c r="O108" s="134"/>
      <c r="P108" s="149" t="s">
        <v>596</v>
      </c>
      <c r="Q108" s="136"/>
      <c r="R108" s="57">
        <v>43797</v>
      </c>
      <c r="S108" s="57" t="s">
        <v>30</v>
      </c>
      <c r="T108" s="34" t="s">
        <v>30</v>
      </c>
      <c r="U108" s="34" t="s">
        <v>30</v>
      </c>
      <c r="V108" s="57">
        <v>43860</v>
      </c>
      <c r="W108" s="57">
        <v>43889</v>
      </c>
      <c r="X108" s="34" t="s">
        <v>30</v>
      </c>
      <c r="Y108" s="137">
        <f t="shared" si="45"/>
        <v>44162</v>
      </c>
      <c r="Z108" s="57" t="str">
        <f t="shared" si="46"/>
        <v>NC</v>
      </c>
      <c r="AA108" s="57" t="str">
        <f t="shared" si="47"/>
        <v>NC</v>
      </c>
      <c r="AB108" s="57" t="str">
        <f t="shared" si="48"/>
        <v>NC</v>
      </c>
      <c r="AC108" s="57">
        <f t="shared" si="49"/>
        <v>44225</v>
      </c>
      <c r="AD108" s="57">
        <f t="shared" si="50"/>
        <v>44254</v>
      </c>
      <c r="AE108" s="57" t="str">
        <f t="shared" si="51"/>
        <v>NC</v>
      </c>
      <c r="AG108" s="123">
        <f t="shared" ca="1" si="52"/>
        <v>-1425</v>
      </c>
      <c r="AH108" s="123" t="str">
        <f t="shared" si="53"/>
        <v>NC</v>
      </c>
      <c r="AI108" s="123" t="str">
        <f t="shared" si="54"/>
        <v>NC</v>
      </c>
      <c r="AJ108" s="123" t="str">
        <f t="shared" si="55"/>
        <v>NC</v>
      </c>
      <c r="AK108" s="123">
        <f t="shared" ca="1" si="56"/>
        <v>-1362</v>
      </c>
      <c r="AL108" s="123">
        <f t="shared" ca="1" si="57"/>
        <v>-1333</v>
      </c>
      <c r="AM108" s="123" t="str">
        <f t="shared" si="58"/>
        <v>NC</v>
      </c>
      <c r="AN108" s="138"/>
      <c r="AO108" s="151" t="e">
        <f t="shared" si="59"/>
        <v>#DIV/0!</v>
      </c>
      <c r="AP108" s="140"/>
      <c r="AQ108" s="124" t="s">
        <v>395</v>
      </c>
      <c r="AR108" s="124" t="s">
        <v>471</v>
      </c>
      <c r="AS108" s="138" t="s">
        <v>642</v>
      </c>
      <c r="AT108" s="124" t="s">
        <v>758</v>
      </c>
      <c r="AU108" s="143" t="s">
        <v>1215</v>
      </c>
      <c r="AV108" s="143" t="s">
        <v>1237</v>
      </c>
      <c r="AW108" s="143" t="s">
        <v>1418</v>
      </c>
    </row>
    <row r="109" spans="1:49" s="124" customFormat="1" ht="14.4" customHeight="1" x14ac:dyDescent="0.3">
      <c r="A109" s="117"/>
      <c r="B109" s="117"/>
      <c r="C109" s="121"/>
      <c r="D109" s="116"/>
      <c r="E109" s="116"/>
      <c r="F109" s="117"/>
      <c r="G109" s="99"/>
      <c r="H109" s="99"/>
      <c r="I109" s="99"/>
      <c r="J109" s="144">
        <v>43830</v>
      </c>
      <c r="K109" s="145"/>
      <c r="L109" s="131"/>
      <c r="M109" s="154"/>
      <c r="N109" s="133"/>
      <c r="O109" s="134"/>
      <c r="P109" s="149" t="s">
        <v>596</v>
      </c>
      <c r="Q109" s="136"/>
      <c r="R109" s="57">
        <v>43797</v>
      </c>
      <c r="S109" s="57" t="s">
        <v>30</v>
      </c>
      <c r="T109" s="57" t="s">
        <v>30</v>
      </c>
      <c r="U109" s="34" t="s">
        <v>30</v>
      </c>
      <c r="V109" s="57">
        <v>43860</v>
      </c>
      <c r="W109" s="57">
        <v>43889</v>
      </c>
      <c r="X109" s="34" t="s">
        <v>30</v>
      </c>
      <c r="Y109" s="137">
        <f t="shared" si="45"/>
        <v>44162</v>
      </c>
      <c r="Z109" s="57" t="str">
        <f t="shared" si="46"/>
        <v>NC</v>
      </c>
      <c r="AA109" s="57" t="str">
        <f t="shared" si="47"/>
        <v>NC</v>
      </c>
      <c r="AB109" s="57" t="str">
        <f t="shared" si="48"/>
        <v>NC</v>
      </c>
      <c r="AC109" s="57">
        <f t="shared" si="49"/>
        <v>44225</v>
      </c>
      <c r="AD109" s="57">
        <f t="shared" si="50"/>
        <v>44254</v>
      </c>
      <c r="AE109" s="57" t="str">
        <f t="shared" si="51"/>
        <v>NC</v>
      </c>
      <c r="AG109" s="123">
        <f t="shared" ca="1" si="52"/>
        <v>-1425</v>
      </c>
      <c r="AH109" s="123" t="str">
        <f t="shared" si="53"/>
        <v>NC</v>
      </c>
      <c r="AI109" s="123" t="str">
        <f t="shared" si="54"/>
        <v>NC</v>
      </c>
      <c r="AJ109" s="123" t="str">
        <f t="shared" si="55"/>
        <v>NC</v>
      </c>
      <c r="AK109" s="123">
        <f t="shared" ca="1" si="56"/>
        <v>-1362</v>
      </c>
      <c r="AL109" s="123">
        <f t="shared" ca="1" si="57"/>
        <v>-1333</v>
      </c>
      <c r="AM109" s="123" t="str">
        <f t="shared" si="58"/>
        <v>NC</v>
      </c>
      <c r="AN109" s="138"/>
      <c r="AO109" s="151" t="e">
        <f t="shared" si="59"/>
        <v>#DIV/0!</v>
      </c>
      <c r="AP109" s="140"/>
      <c r="AQ109" s="124" t="s">
        <v>395</v>
      </c>
      <c r="AR109" s="124" t="s">
        <v>471</v>
      </c>
      <c r="AS109" s="138" t="s">
        <v>642</v>
      </c>
      <c r="AT109" s="124" t="s">
        <v>1031</v>
      </c>
      <c r="AU109" s="143" t="s">
        <v>1215</v>
      </c>
      <c r="AV109" s="143" t="s">
        <v>1237</v>
      </c>
      <c r="AW109" s="143" t="s">
        <v>1418</v>
      </c>
    </row>
    <row r="110" spans="1:49" s="124" customFormat="1" ht="14.4" customHeight="1" x14ac:dyDescent="0.3">
      <c r="A110" s="117"/>
      <c r="B110" s="117"/>
      <c r="C110" s="121"/>
      <c r="D110" s="116"/>
      <c r="E110" s="116"/>
      <c r="F110" s="117"/>
      <c r="G110" s="99"/>
      <c r="H110" s="99"/>
      <c r="I110" s="99"/>
      <c r="J110" s="144">
        <v>43830</v>
      </c>
      <c r="K110" s="145"/>
      <c r="L110" s="131"/>
      <c r="M110" s="154"/>
      <c r="N110" s="133"/>
      <c r="O110" s="134"/>
      <c r="P110" s="149" t="s">
        <v>596</v>
      </c>
      <c r="Q110" s="136"/>
      <c r="R110" s="57">
        <v>43797</v>
      </c>
      <c r="S110" s="57" t="s">
        <v>30</v>
      </c>
      <c r="T110" s="57" t="s">
        <v>30</v>
      </c>
      <c r="U110" s="34" t="s">
        <v>30</v>
      </c>
      <c r="V110" s="57">
        <v>43860</v>
      </c>
      <c r="W110" s="57">
        <v>43889</v>
      </c>
      <c r="X110" s="34" t="s">
        <v>30</v>
      </c>
      <c r="Y110" s="137">
        <f t="shared" si="45"/>
        <v>44162</v>
      </c>
      <c r="Z110" s="57" t="str">
        <f t="shared" si="46"/>
        <v>NC</v>
      </c>
      <c r="AA110" s="57" t="str">
        <f t="shared" si="47"/>
        <v>NC</v>
      </c>
      <c r="AB110" s="57" t="str">
        <f t="shared" si="48"/>
        <v>NC</v>
      </c>
      <c r="AC110" s="57">
        <f t="shared" si="49"/>
        <v>44225</v>
      </c>
      <c r="AD110" s="57">
        <f t="shared" si="50"/>
        <v>44254</v>
      </c>
      <c r="AE110" s="57" t="str">
        <f t="shared" si="51"/>
        <v>NC</v>
      </c>
      <c r="AG110" s="123">
        <f t="shared" ca="1" si="52"/>
        <v>-1425</v>
      </c>
      <c r="AH110" s="123" t="str">
        <f t="shared" si="53"/>
        <v>NC</v>
      </c>
      <c r="AI110" s="123" t="str">
        <f t="shared" si="54"/>
        <v>NC</v>
      </c>
      <c r="AJ110" s="123" t="str">
        <f t="shared" si="55"/>
        <v>NC</v>
      </c>
      <c r="AK110" s="123">
        <f t="shared" ca="1" si="56"/>
        <v>-1362</v>
      </c>
      <c r="AL110" s="123">
        <f t="shared" ca="1" si="57"/>
        <v>-1333</v>
      </c>
      <c r="AM110" s="123" t="str">
        <f t="shared" si="58"/>
        <v>NC</v>
      </c>
      <c r="AN110" s="138"/>
      <c r="AO110" s="151" t="e">
        <f t="shared" si="59"/>
        <v>#DIV/0!</v>
      </c>
      <c r="AP110" s="140"/>
      <c r="AQ110" s="124" t="s">
        <v>395</v>
      </c>
      <c r="AR110" s="124" t="s">
        <v>471</v>
      </c>
      <c r="AS110" s="138" t="s">
        <v>642</v>
      </c>
      <c r="AT110" s="124" t="s">
        <v>759</v>
      </c>
      <c r="AU110" s="143" t="s">
        <v>1215</v>
      </c>
      <c r="AV110" s="143" t="s">
        <v>1237</v>
      </c>
      <c r="AW110" s="143" t="s">
        <v>1418</v>
      </c>
    </row>
    <row r="111" spans="1:49" s="124" customFormat="1" ht="14.4" customHeight="1" x14ac:dyDescent="0.3">
      <c r="A111" s="117"/>
      <c r="B111" s="117"/>
      <c r="C111" s="121"/>
      <c r="D111" s="116"/>
      <c r="E111" s="116"/>
      <c r="F111" s="117"/>
      <c r="G111" s="99"/>
      <c r="H111" s="99"/>
      <c r="I111" s="99"/>
      <c r="J111" s="144">
        <v>43830</v>
      </c>
      <c r="K111" s="145"/>
      <c r="L111" s="131"/>
      <c r="M111" s="154"/>
      <c r="N111" s="133"/>
      <c r="O111" s="134"/>
      <c r="P111" s="149" t="s">
        <v>596</v>
      </c>
      <c r="Q111" s="136"/>
      <c r="R111" s="57">
        <v>43798</v>
      </c>
      <c r="S111" s="57" t="s">
        <v>30</v>
      </c>
      <c r="T111" s="57" t="s">
        <v>30</v>
      </c>
      <c r="U111" s="34" t="s">
        <v>30</v>
      </c>
      <c r="V111" s="57">
        <v>43860</v>
      </c>
      <c r="W111" s="57">
        <v>43889</v>
      </c>
      <c r="X111" s="34" t="s">
        <v>30</v>
      </c>
      <c r="Y111" s="137">
        <f t="shared" si="45"/>
        <v>44163</v>
      </c>
      <c r="Z111" s="57" t="str">
        <f t="shared" si="46"/>
        <v>NC</v>
      </c>
      <c r="AA111" s="57" t="str">
        <f t="shared" si="47"/>
        <v>NC</v>
      </c>
      <c r="AB111" s="57" t="str">
        <f t="shared" si="48"/>
        <v>NC</v>
      </c>
      <c r="AC111" s="57">
        <f t="shared" si="49"/>
        <v>44225</v>
      </c>
      <c r="AD111" s="57">
        <f t="shared" si="50"/>
        <v>44254</v>
      </c>
      <c r="AE111" s="57" t="str">
        <f t="shared" si="51"/>
        <v>NC</v>
      </c>
      <c r="AG111" s="123">
        <f t="shared" ca="1" si="52"/>
        <v>-1424</v>
      </c>
      <c r="AH111" s="123" t="str">
        <f t="shared" si="53"/>
        <v>NC</v>
      </c>
      <c r="AI111" s="123" t="str">
        <f t="shared" si="54"/>
        <v>NC</v>
      </c>
      <c r="AJ111" s="123" t="str">
        <f t="shared" si="55"/>
        <v>NC</v>
      </c>
      <c r="AK111" s="123">
        <f t="shared" ca="1" si="56"/>
        <v>-1362</v>
      </c>
      <c r="AL111" s="123">
        <f t="shared" ca="1" si="57"/>
        <v>-1333</v>
      </c>
      <c r="AM111" s="123" t="str">
        <f t="shared" si="58"/>
        <v>NC</v>
      </c>
      <c r="AN111" s="138"/>
      <c r="AO111" s="151" t="e">
        <f t="shared" si="59"/>
        <v>#DIV/0!</v>
      </c>
      <c r="AP111" s="140"/>
      <c r="AQ111" s="124" t="s">
        <v>395</v>
      </c>
      <c r="AR111" s="124" t="s">
        <v>471</v>
      </c>
      <c r="AS111" s="138" t="s">
        <v>642</v>
      </c>
      <c r="AT111" s="124" t="s">
        <v>1032</v>
      </c>
      <c r="AU111" s="143" t="s">
        <v>1215</v>
      </c>
      <c r="AV111" s="143" t="s">
        <v>1237</v>
      </c>
      <c r="AW111" s="143" t="s">
        <v>1418</v>
      </c>
    </row>
    <row r="112" spans="1:49" s="124" customFormat="1" ht="14.4" customHeight="1" x14ac:dyDescent="0.3">
      <c r="A112" s="117"/>
      <c r="B112" s="117"/>
      <c r="C112" s="121"/>
      <c r="D112" s="116"/>
      <c r="E112" s="116"/>
      <c r="F112" s="117"/>
      <c r="G112" s="99"/>
      <c r="H112" s="99"/>
      <c r="I112" s="99"/>
      <c r="J112" s="144">
        <v>43830</v>
      </c>
      <c r="K112" s="145"/>
      <c r="L112" s="131"/>
      <c r="M112" s="154"/>
      <c r="N112" s="133"/>
      <c r="O112" s="134"/>
      <c r="P112" s="149" t="s">
        <v>596</v>
      </c>
      <c r="Q112" s="136"/>
      <c r="R112" s="57">
        <v>43797</v>
      </c>
      <c r="S112" s="57" t="s">
        <v>30</v>
      </c>
      <c r="T112" s="57" t="s">
        <v>30</v>
      </c>
      <c r="U112" s="34" t="s">
        <v>30</v>
      </c>
      <c r="V112" s="57">
        <v>43860</v>
      </c>
      <c r="W112" s="57">
        <v>43889</v>
      </c>
      <c r="X112" s="34" t="s">
        <v>30</v>
      </c>
      <c r="Y112" s="137">
        <f t="shared" si="45"/>
        <v>44162</v>
      </c>
      <c r="Z112" s="57" t="str">
        <f t="shared" si="46"/>
        <v>NC</v>
      </c>
      <c r="AA112" s="57" t="str">
        <f t="shared" si="47"/>
        <v>NC</v>
      </c>
      <c r="AB112" s="57" t="str">
        <f t="shared" si="48"/>
        <v>NC</v>
      </c>
      <c r="AC112" s="57">
        <f t="shared" si="49"/>
        <v>44225</v>
      </c>
      <c r="AD112" s="57">
        <f t="shared" si="50"/>
        <v>44254</v>
      </c>
      <c r="AE112" s="57" t="str">
        <f t="shared" si="51"/>
        <v>NC</v>
      </c>
      <c r="AG112" s="123">
        <f t="shared" ca="1" si="52"/>
        <v>-1425</v>
      </c>
      <c r="AH112" s="123" t="str">
        <f t="shared" si="53"/>
        <v>NC</v>
      </c>
      <c r="AI112" s="123" t="str">
        <f t="shared" si="54"/>
        <v>NC</v>
      </c>
      <c r="AJ112" s="123" t="str">
        <f t="shared" si="55"/>
        <v>NC</v>
      </c>
      <c r="AK112" s="123">
        <f t="shared" ca="1" si="56"/>
        <v>-1362</v>
      </c>
      <c r="AL112" s="123">
        <f t="shared" ca="1" si="57"/>
        <v>-1333</v>
      </c>
      <c r="AM112" s="123" t="str">
        <f t="shared" si="58"/>
        <v>NC</v>
      </c>
      <c r="AN112" s="138"/>
      <c r="AO112" s="151" t="e">
        <f t="shared" si="59"/>
        <v>#DIV/0!</v>
      </c>
      <c r="AP112" s="140"/>
      <c r="AQ112" s="124" t="s">
        <v>395</v>
      </c>
      <c r="AR112" s="124" t="s">
        <v>471</v>
      </c>
      <c r="AS112" s="138" t="s">
        <v>642</v>
      </c>
      <c r="AT112" s="124" t="s">
        <v>1057</v>
      </c>
      <c r="AU112" s="143" t="s">
        <v>1215</v>
      </c>
      <c r="AV112" s="143" t="s">
        <v>1237</v>
      </c>
      <c r="AW112" s="143" t="s">
        <v>1418</v>
      </c>
    </row>
    <row r="113" spans="1:49" s="124" customFormat="1" ht="14.4" customHeight="1" x14ac:dyDescent="0.3">
      <c r="A113" s="116"/>
      <c r="B113" s="116"/>
      <c r="C113" s="121"/>
      <c r="D113" s="116"/>
      <c r="E113" s="116"/>
      <c r="F113" s="117"/>
      <c r="G113" s="120"/>
      <c r="H113" s="120"/>
      <c r="I113" s="120"/>
      <c r="J113" s="144">
        <v>43830</v>
      </c>
      <c r="K113" s="161"/>
      <c r="L113" s="131"/>
      <c r="M113" s="154"/>
      <c r="N113" s="162"/>
      <c r="O113" s="116"/>
      <c r="P113" s="149" t="s">
        <v>596</v>
      </c>
      <c r="Q113" s="136"/>
      <c r="R113" s="57">
        <v>43858</v>
      </c>
      <c r="S113" s="57" t="s">
        <v>30</v>
      </c>
      <c r="T113" s="57" t="s">
        <v>30</v>
      </c>
      <c r="U113" s="34" t="s">
        <v>30</v>
      </c>
      <c r="V113" s="57" t="s">
        <v>30</v>
      </c>
      <c r="W113" s="57" t="s">
        <v>30</v>
      </c>
      <c r="X113" s="34" t="s">
        <v>30</v>
      </c>
      <c r="Y113" s="137">
        <f>IF(R113="NC","NC",IF(R113="","erreur",R113+183))</f>
        <v>44041</v>
      </c>
      <c r="Z113" s="57" t="str">
        <f t="shared" si="46"/>
        <v>NC</v>
      </c>
      <c r="AA113" s="57" t="str">
        <f t="shared" si="47"/>
        <v>NC</v>
      </c>
      <c r="AB113" s="57" t="str">
        <f t="shared" si="48"/>
        <v>NC</v>
      </c>
      <c r="AC113" s="57" t="str">
        <f t="shared" si="49"/>
        <v>NC</v>
      </c>
      <c r="AD113" s="57" t="str">
        <f t="shared" si="50"/>
        <v>NC</v>
      </c>
      <c r="AE113" s="57" t="str">
        <f t="shared" si="51"/>
        <v>NC</v>
      </c>
      <c r="AF113" s="138"/>
      <c r="AG113" s="123">
        <f t="shared" ca="1" si="52"/>
        <v>-1546</v>
      </c>
      <c r="AH113" s="123" t="str">
        <f t="shared" si="53"/>
        <v>NC</v>
      </c>
      <c r="AI113" s="123" t="str">
        <f t="shared" si="54"/>
        <v>NC</v>
      </c>
      <c r="AJ113" s="123" t="str">
        <f t="shared" si="55"/>
        <v>NC</v>
      </c>
      <c r="AK113" s="123" t="str">
        <f t="shared" si="56"/>
        <v>NC</v>
      </c>
      <c r="AL113" s="123" t="str">
        <f t="shared" si="57"/>
        <v>NC</v>
      </c>
      <c r="AM113" s="123" t="str">
        <f t="shared" si="58"/>
        <v>NC</v>
      </c>
      <c r="AN113" s="138"/>
      <c r="AO113" s="151" t="e">
        <f t="shared" si="59"/>
        <v>#DIV/0!</v>
      </c>
      <c r="AP113" s="138"/>
      <c r="AQ113" s="138"/>
      <c r="AR113" s="124" t="s">
        <v>469</v>
      </c>
      <c r="AS113" s="138" t="s">
        <v>642</v>
      </c>
      <c r="AT113" s="124" t="s">
        <v>1514</v>
      </c>
      <c r="AU113" s="143" t="s">
        <v>1208</v>
      </c>
      <c r="AV113" s="143" t="s">
        <v>1235</v>
      </c>
      <c r="AW113" s="143" t="s">
        <v>1234</v>
      </c>
    </row>
    <row r="114" spans="1:49" s="124" customFormat="1" ht="14.4" customHeight="1" x14ac:dyDescent="0.3">
      <c r="A114" s="116"/>
      <c r="B114" s="116"/>
      <c r="C114" s="121"/>
      <c r="D114" s="116"/>
      <c r="E114" s="116"/>
      <c r="F114" s="117"/>
      <c r="G114" s="120"/>
      <c r="H114" s="120"/>
      <c r="I114" s="120"/>
      <c r="J114" s="144">
        <v>43830</v>
      </c>
      <c r="K114" s="134"/>
      <c r="L114" s="131"/>
      <c r="M114" s="154"/>
      <c r="N114" s="162"/>
      <c r="O114" s="116"/>
      <c r="P114" s="149" t="s">
        <v>596</v>
      </c>
      <c r="Q114" s="136"/>
      <c r="R114" s="57">
        <v>43816</v>
      </c>
      <c r="S114" s="57" t="s">
        <v>30</v>
      </c>
      <c r="T114" s="57" t="s">
        <v>30</v>
      </c>
      <c r="U114" s="34" t="s">
        <v>30</v>
      </c>
      <c r="V114" s="57">
        <v>43860</v>
      </c>
      <c r="W114" s="57">
        <v>43889</v>
      </c>
      <c r="X114" s="34" t="s">
        <v>30</v>
      </c>
      <c r="Y114" s="137">
        <f t="shared" ref="Y114:Y145" si="60">IF(R114="NC","NC",IF(R114="","erreur",R114+365))</f>
        <v>44181</v>
      </c>
      <c r="Z114" s="57" t="str">
        <f t="shared" si="46"/>
        <v>NC</v>
      </c>
      <c r="AA114" s="57" t="str">
        <f t="shared" si="47"/>
        <v>NC</v>
      </c>
      <c r="AB114" s="57" t="str">
        <f t="shared" si="48"/>
        <v>NC</v>
      </c>
      <c r="AC114" s="57">
        <f t="shared" si="49"/>
        <v>44225</v>
      </c>
      <c r="AD114" s="57">
        <f t="shared" si="50"/>
        <v>44254</v>
      </c>
      <c r="AE114" s="57" t="str">
        <f t="shared" si="51"/>
        <v>NC</v>
      </c>
      <c r="AF114" s="138"/>
      <c r="AG114" s="123">
        <f t="shared" ca="1" si="52"/>
        <v>-1406</v>
      </c>
      <c r="AH114" s="123" t="str">
        <f t="shared" si="53"/>
        <v>NC</v>
      </c>
      <c r="AI114" s="123" t="str">
        <f t="shared" si="54"/>
        <v>NC</v>
      </c>
      <c r="AJ114" s="123" t="str">
        <f t="shared" si="55"/>
        <v>NC</v>
      </c>
      <c r="AK114" s="123">
        <f t="shared" ca="1" si="56"/>
        <v>-1362</v>
      </c>
      <c r="AL114" s="123">
        <f t="shared" ca="1" si="57"/>
        <v>-1333</v>
      </c>
      <c r="AM114" s="123" t="str">
        <f t="shared" si="58"/>
        <v>NC</v>
      </c>
      <c r="AN114" s="138"/>
      <c r="AO114" s="151" t="e">
        <f t="shared" si="59"/>
        <v>#DIV/0!</v>
      </c>
      <c r="AP114" s="138"/>
      <c r="AQ114" s="138" t="s">
        <v>395</v>
      </c>
      <c r="AR114" s="124" t="s">
        <v>471</v>
      </c>
      <c r="AS114" s="138" t="s">
        <v>642</v>
      </c>
      <c r="AT114" s="124" t="s">
        <v>760</v>
      </c>
      <c r="AU114" s="143" t="s">
        <v>1215</v>
      </c>
      <c r="AV114" s="143" t="s">
        <v>1237</v>
      </c>
      <c r="AW114" s="143" t="s">
        <v>1418</v>
      </c>
    </row>
    <row r="115" spans="1:49" s="124" customFormat="1" ht="14.4" customHeight="1" x14ac:dyDescent="0.3">
      <c r="A115" s="116"/>
      <c r="B115" s="116"/>
      <c r="C115" s="121"/>
      <c r="D115" s="116"/>
      <c r="E115" s="116"/>
      <c r="F115" s="117"/>
      <c r="G115" s="120"/>
      <c r="H115" s="120"/>
      <c r="I115" s="120"/>
      <c r="J115" s="144">
        <v>43830</v>
      </c>
      <c r="K115" s="134"/>
      <c r="L115" s="131"/>
      <c r="M115" s="154"/>
      <c r="N115" s="162"/>
      <c r="O115" s="116"/>
      <c r="P115" s="149" t="s">
        <v>596</v>
      </c>
      <c r="Q115" s="136"/>
      <c r="R115" s="57">
        <v>43816</v>
      </c>
      <c r="S115" s="57" t="s">
        <v>30</v>
      </c>
      <c r="T115" s="57" t="s">
        <v>30</v>
      </c>
      <c r="U115" s="34" t="s">
        <v>30</v>
      </c>
      <c r="V115" s="57">
        <v>43860</v>
      </c>
      <c r="W115" s="57">
        <v>43889</v>
      </c>
      <c r="X115" s="34" t="s">
        <v>30</v>
      </c>
      <c r="Y115" s="137">
        <f t="shared" si="60"/>
        <v>44181</v>
      </c>
      <c r="Z115" s="57" t="str">
        <f t="shared" si="46"/>
        <v>NC</v>
      </c>
      <c r="AA115" s="57" t="str">
        <f t="shared" si="47"/>
        <v>NC</v>
      </c>
      <c r="AB115" s="57" t="str">
        <f t="shared" si="48"/>
        <v>NC</v>
      </c>
      <c r="AC115" s="57">
        <f t="shared" si="49"/>
        <v>44225</v>
      </c>
      <c r="AD115" s="57">
        <f t="shared" si="50"/>
        <v>44254</v>
      </c>
      <c r="AE115" s="57" t="str">
        <f t="shared" si="51"/>
        <v>NC</v>
      </c>
      <c r="AF115" s="138"/>
      <c r="AG115" s="123">
        <f t="shared" ca="1" si="52"/>
        <v>-1406</v>
      </c>
      <c r="AH115" s="123" t="str">
        <f t="shared" si="53"/>
        <v>NC</v>
      </c>
      <c r="AI115" s="123" t="str">
        <f t="shared" si="54"/>
        <v>NC</v>
      </c>
      <c r="AJ115" s="123" t="str">
        <f t="shared" si="55"/>
        <v>NC</v>
      </c>
      <c r="AK115" s="123">
        <f t="shared" ca="1" si="56"/>
        <v>-1362</v>
      </c>
      <c r="AL115" s="123">
        <f t="shared" ca="1" si="57"/>
        <v>-1333</v>
      </c>
      <c r="AM115" s="123" t="str">
        <f t="shared" si="58"/>
        <v>NC</v>
      </c>
      <c r="AN115" s="138"/>
      <c r="AO115" s="151" t="e">
        <f t="shared" si="59"/>
        <v>#DIV/0!</v>
      </c>
      <c r="AP115" s="138"/>
      <c r="AQ115" s="138" t="s">
        <v>395</v>
      </c>
      <c r="AR115" s="124" t="s">
        <v>471</v>
      </c>
      <c r="AS115" s="138" t="s">
        <v>642</v>
      </c>
      <c r="AT115" s="124" t="s">
        <v>1033</v>
      </c>
      <c r="AU115" s="143" t="s">
        <v>1215</v>
      </c>
      <c r="AV115" s="143" t="s">
        <v>1237</v>
      </c>
      <c r="AW115" s="143" t="s">
        <v>1418</v>
      </c>
    </row>
    <row r="116" spans="1:49" s="138" customFormat="1" ht="14.4" customHeight="1" x14ac:dyDescent="0.3">
      <c r="A116" s="116"/>
      <c r="B116" s="116"/>
      <c r="C116" s="121"/>
      <c r="D116" s="116"/>
      <c r="E116" s="116"/>
      <c r="F116" s="117"/>
      <c r="G116" s="120"/>
      <c r="H116" s="120"/>
      <c r="I116" s="120"/>
      <c r="J116" s="144">
        <v>43830</v>
      </c>
      <c r="K116" s="134"/>
      <c r="L116" s="131"/>
      <c r="M116" s="154"/>
      <c r="N116" s="162"/>
      <c r="O116" s="116"/>
      <c r="P116" s="149" t="s">
        <v>596</v>
      </c>
      <c r="Q116" s="136"/>
      <c r="R116" s="57">
        <v>43816</v>
      </c>
      <c r="S116" s="57" t="s">
        <v>30</v>
      </c>
      <c r="T116" s="57" t="s">
        <v>30</v>
      </c>
      <c r="U116" s="34" t="s">
        <v>30</v>
      </c>
      <c r="V116" s="57">
        <v>43860</v>
      </c>
      <c r="W116" s="57">
        <v>43889</v>
      </c>
      <c r="X116" s="34" t="s">
        <v>30</v>
      </c>
      <c r="Y116" s="137">
        <f t="shared" si="60"/>
        <v>44181</v>
      </c>
      <c r="Z116" s="57" t="str">
        <f t="shared" si="46"/>
        <v>NC</v>
      </c>
      <c r="AA116" s="57" t="str">
        <f t="shared" si="47"/>
        <v>NC</v>
      </c>
      <c r="AB116" s="57" t="str">
        <f t="shared" si="48"/>
        <v>NC</v>
      </c>
      <c r="AC116" s="57">
        <f t="shared" si="49"/>
        <v>44225</v>
      </c>
      <c r="AD116" s="57">
        <f t="shared" si="50"/>
        <v>44254</v>
      </c>
      <c r="AE116" s="57" t="str">
        <f t="shared" si="51"/>
        <v>NC</v>
      </c>
      <c r="AG116" s="123">
        <f t="shared" ca="1" si="52"/>
        <v>-1406</v>
      </c>
      <c r="AH116" s="123" t="str">
        <f t="shared" si="53"/>
        <v>NC</v>
      </c>
      <c r="AI116" s="123" t="str">
        <f t="shared" si="54"/>
        <v>NC</v>
      </c>
      <c r="AJ116" s="123" t="str">
        <f t="shared" si="55"/>
        <v>NC</v>
      </c>
      <c r="AK116" s="123">
        <f t="shared" ca="1" si="56"/>
        <v>-1362</v>
      </c>
      <c r="AL116" s="123">
        <f t="shared" ca="1" si="57"/>
        <v>-1333</v>
      </c>
      <c r="AM116" s="123" t="str">
        <f t="shared" si="58"/>
        <v>NC</v>
      </c>
      <c r="AO116" s="151" t="e">
        <f t="shared" si="59"/>
        <v>#DIV/0!</v>
      </c>
      <c r="AQ116" s="138" t="s">
        <v>395</v>
      </c>
      <c r="AR116" s="124" t="s">
        <v>471</v>
      </c>
      <c r="AS116" s="138" t="s">
        <v>642</v>
      </c>
      <c r="AT116" s="124" t="s">
        <v>1056</v>
      </c>
      <c r="AU116" s="143" t="s">
        <v>1215</v>
      </c>
      <c r="AV116" s="143" t="s">
        <v>1237</v>
      </c>
      <c r="AW116" s="143" t="s">
        <v>1418</v>
      </c>
    </row>
    <row r="117" spans="1:49" s="138" customFormat="1" ht="14.4" customHeight="1" x14ac:dyDescent="0.3">
      <c r="A117" s="116"/>
      <c r="B117" s="116"/>
      <c r="C117" s="121"/>
      <c r="D117" s="116"/>
      <c r="E117" s="116"/>
      <c r="F117" s="117"/>
      <c r="G117" s="120"/>
      <c r="H117" s="120"/>
      <c r="I117" s="120"/>
      <c r="J117" s="144">
        <v>43830</v>
      </c>
      <c r="K117" s="134"/>
      <c r="L117" s="131"/>
      <c r="M117" s="154"/>
      <c r="N117" s="162"/>
      <c r="O117" s="116"/>
      <c r="P117" s="149" t="s">
        <v>596</v>
      </c>
      <c r="Q117" s="136"/>
      <c r="R117" s="57">
        <v>43816</v>
      </c>
      <c r="S117" s="57" t="s">
        <v>30</v>
      </c>
      <c r="T117" s="57" t="s">
        <v>30</v>
      </c>
      <c r="U117" s="34" t="s">
        <v>30</v>
      </c>
      <c r="V117" s="57">
        <v>43860</v>
      </c>
      <c r="W117" s="57">
        <v>43889</v>
      </c>
      <c r="X117" s="34" t="s">
        <v>30</v>
      </c>
      <c r="Y117" s="137">
        <f t="shared" si="60"/>
        <v>44181</v>
      </c>
      <c r="Z117" s="57" t="str">
        <f t="shared" si="46"/>
        <v>NC</v>
      </c>
      <c r="AA117" s="57" t="str">
        <f t="shared" si="47"/>
        <v>NC</v>
      </c>
      <c r="AB117" s="57" t="str">
        <f t="shared" si="48"/>
        <v>NC</v>
      </c>
      <c r="AC117" s="57">
        <f t="shared" si="49"/>
        <v>44225</v>
      </c>
      <c r="AD117" s="57">
        <f t="shared" si="50"/>
        <v>44254</v>
      </c>
      <c r="AE117" s="57" t="str">
        <f t="shared" si="51"/>
        <v>NC</v>
      </c>
      <c r="AG117" s="123">
        <f t="shared" ca="1" si="52"/>
        <v>-1406</v>
      </c>
      <c r="AH117" s="123" t="str">
        <f t="shared" si="53"/>
        <v>NC</v>
      </c>
      <c r="AI117" s="123" t="str">
        <f t="shared" si="54"/>
        <v>NC</v>
      </c>
      <c r="AJ117" s="123" t="str">
        <f t="shared" si="55"/>
        <v>NC</v>
      </c>
      <c r="AK117" s="123">
        <f t="shared" ca="1" si="56"/>
        <v>-1362</v>
      </c>
      <c r="AL117" s="123">
        <f t="shared" ca="1" si="57"/>
        <v>-1333</v>
      </c>
      <c r="AM117" s="123" t="str">
        <f t="shared" si="58"/>
        <v>NC</v>
      </c>
      <c r="AO117" s="151" t="e">
        <f t="shared" si="59"/>
        <v>#DIV/0!</v>
      </c>
      <c r="AQ117" s="138" t="s">
        <v>395</v>
      </c>
      <c r="AR117" s="124" t="s">
        <v>471</v>
      </c>
      <c r="AS117" s="138" t="s">
        <v>642</v>
      </c>
      <c r="AT117" s="124" t="s">
        <v>761</v>
      </c>
      <c r="AU117" s="143" t="s">
        <v>1215</v>
      </c>
      <c r="AV117" s="143" t="s">
        <v>1237</v>
      </c>
      <c r="AW117" s="143" t="s">
        <v>1418</v>
      </c>
    </row>
    <row r="118" spans="1:49" s="138" customFormat="1" ht="14.4" customHeight="1" x14ac:dyDescent="0.3">
      <c r="A118" s="116"/>
      <c r="B118" s="116"/>
      <c r="C118" s="121"/>
      <c r="D118" s="116"/>
      <c r="E118" s="116"/>
      <c r="F118" s="117"/>
      <c r="G118" s="120"/>
      <c r="H118" s="120"/>
      <c r="I118" s="120"/>
      <c r="J118" s="144">
        <v>43830</v>
      </c>
      <c r="K118" s="134"/>
      <c r="L118" s="131"/>
      <c r="M118" s="154"/>
      <c r="N118" s="162"/>
      <c r="O118" s="116"/>
      <c r="P118" s="149" t="s">
        <v>596</v>
      </c>
      <c r="Q118" s="136"/>
      <c r="R118" s="57">
        <v>43463</v>
      </c>
      <c r="S118" s="57" t="s">
        <v>30</v>
      </c>
      <c r="T118" s="57" t="s">
        <v>30</v>
      </c>
      <c r="U118" s="34" t="s">
        <v>30</v>
      </c>
      <c r="V118" s="57">
        <v>43860</v>
      </c>
      <c r="W118" s="57">
        <v>43889</v>
      </c>
      <c r="X118" s="34" t="s">
        <v>30</v>
      </c>
      <c r="Y118" s="137">
        <f t="shared" si="60"/>
        <v>43828</v>
      </c>
      <c r="Z118" s="57" t="str">
        <f t="shared" si="46"/>
        <v>NC</v>
      </c>
      <c r="AA118" s="57" t="str">
        <f t="shared" si="47"/>
        <v>NC</v>
      </c>
      <c r="AB118" s="57" t="str">
        <f t="shared" si="48"/>
        <v>NC</v>
      </c>
      <c r="AC118" s="57">
        <f t="shared" si="49"/>
        <v>44225</v>
      </c>
      <c r="AD118" s="57">
        <f t="shared" si="50"/>
        <v>44254</v>
      </c>
      <c r="AE118" s="57" t="str">
        <f t="shared" si="51"/>
        <v>NC</v>
      </c>
      <c r="AG118" s="123">
        <f t="shared" ca="1" si="52"/>
        <v>-1759</v>
      </c>
      <c r="AH118" s="123" t="str">
        <f t="shared" si="53"/>
        <v>NC</v>
      </c>
      <c r="AI118" s="123" t="str">
        <f t="shared" si="54"/>
        <v>NC</v>
      </c>
      <c r="AJ118" s="123" t="str">
        <f t="shared" si="55"/>
        <v>NC</v>
      </c>
      <c r="AK118" s="123">
        <f t="shared" ca="1" si="56"/>
        <v>-1362</v>
      </c>
      <c r="AL118" s="123">
        <f t="shared" ca="1" si="57"/>
        <v>-1333</v>
      </c>
      <c r="AM118" s="123" t="str">
        <f t="shared" si="58"/>
        <v>NC</v>
      </c>
      <c r="AO118" s="151" t="e">
        <f t="shared" si="59"/>
        <v>#DIV/0!</v>
      </c>
      <c r="AQ118" s="138" t="s">
        <v>395</v>
      </c>
      <c r="AR118" s="124" t="s">
        <v>471</v>
      </c>
      <c r="AS118" s="138" t="s">
        <v>642</v>
      </c>
      <c r="AT118" s="138" t="s">
        <v>763</v>
      </c>
      <c r="AU118" s="143" t="s">
        <v>1215</v>
      </c>
      <c r="AV118" s="143" t="s">
        <v>1237</v>
      </c>
      <c r="AW118" s="143" t="s">
        <v>1418</v>
      </c>
    </row>
    <row r="119" spans="1:49" s="138" customFormat="1" ht="14.4" customHeight="1" x14ac:dyDescent="0.3">
      <c r="A119" s="116"/>
      <c r="B119" s="116"/>
      <c r="C119" s="121"/>
      <c r="D119" s="116"/>
      <c r="E119" s="116"/>
      <c r="F119" s="117"/>
      <c r="G119" s="120"/>
      <c r="H119" s="120"/>
      <c r="I119" s="120"/>
      <c r="J119" s="144">
        <v>43830</v>
      </c>
      <c r="K119" s="134"/>
      <c r="L119" s="131"/>
      <c r="M119" s="154"/>
      <c r="N119" s="162"/>
      <c r="O119" s="116"/>
      <c r="P119" s="149" t="s">
        <v>596</v>
      </c>
      <c r="Q119" s="136"/>
      <c r="R119" s="57">
        <v>43816</v>
      </c>
      <c r="S119" s="57" t="s">
        <v>30</v>
      </c>
      <c r="T119" s="57" t="s">
        <v>30</v>
      </c>
      <c r="U119" s="34" t="s">
        <v>30</v>
      </c>
      <c r="V119" s="57">
        <v>43860</v>
      </c>
      <c r="W119" s="57">
        <v>43889</v>
      </c>
      <c r="X119" s="34" t="s">
        <v>30</v>
      </c>
      <c r="Y119" s="137">
        <f t="shared" si="60"/>
        <v>44181</v>
      </c>
      <c r="Z119" s="57" t="str">
        <f t="shared" si="46"/>
        <v>NC</v>
      </c>
      <c r="AA119" s="57" t="str">
        <f t="shared" si="47"/>
        <v>NC</v>
      </c>
      <c r="AB119" s="57" t="str">
        <f t="shared" si="48"/>
        <v>NC</v>
      </c>
      <c r="AC119" s="57">
        <f t="shared" si="49"/>
        <v>44225</v>
      </c>
      <c r="AD119" s="57">
        <f t="shared" si="50"/>
        <v>44254</v>
      </c>
      <c r="AE119" s="57" t="str">
        <f t="shared" si="51"/>
        <v>NC</v>
      </c>
      <c r="AG119" s="123">
        <f t="shared" ca="1" si="52"/>
        <v>-1406</v>
      </c>
      <c r="AH119" s="123" t="str">
        <f t="shared" si="53"/>
        <v>NC</v>
      </c>
      <c r="AI119" s="123" t="str">
        <f t="shared" si="54"/>
        <v>NC</v>
      </c>
      <c r="AJ119" s="123" t="str">
        <f t="shared" si="55"/>
        <v>NC</v>
      </c>
      <c r="AK119" s="123">
        <f t="shared" ca="1" si="56"/>
        <v>-1362</v>
      </c>
      <c r="AL119" s="123">
        <f t="shared" ca="1" si="57"/>
        <v>-1333</v>
      </c>
      <c r="AM119" s="123" t="str">
        <f t="shared" si="58"/>
        <v>NC</v>
      </c>
      <c r="AO119" s="151" t="e">
        <f t="shared" si="59"/>
        <v>#DIV/0!</v>
      </c>
      <c r="AQ119" s="138" t="s">
        <v>395</v>
      </c>
      <c r="AR119" s="124" t="s">
        <v>471</v>
      </c>
      <c r="AS119" s="138" t="s">
        <v>642</v>
      </c>
      <c r="AT119" s="138" t="s">
        <v>1034</v>
      </c>
      <c r="AU119" s="142" t="s">
        <v>1215</v>
      </c>
      <c r="AV119" s="143" t="s">
        <v>1237</v>
      </c>
      <c r="AW119" s="143" t="s">
        <v>1418</v>
      </c>
    </row>
    <row r="120" spans="1:49" s="138" customFormat="1" ht="14.4" customHeight="1" x14ac:dyDescent="0.3">
      <c r="A120" s="116"/>
      <c r="B120" s="116"/>
      <c r="C120" s="117"/>
      <c r="D120" s="116"/>
      <c r="E120" s="116"/>
      <c r="F120" s="117"/>
      <c r="G120" s="156"/>
      <c r="H120" s="156"/>
      <c r="I120" s="156"/>
      <c r="J120" s="144">
        <v>43830</v>
      </c>
      <c r="K120" s="134"/>
      <c r="L120" s="120"/>
      <c r="M120" s="132"/>
      <c r="N120" s="158">
        <v>44075</v>
      </c>
      <c r="O120" s="116"/>
      <c r="P120" s="135" t="s">
        <v>596</v>
      </c>
      <c r="Q120" s="116"/>
      <c r="R120" s="57">
        <v>43635</v>
      </c>
      <c r="S120" s="57" t="s">
        <v>30</v>
      </c>
      <c r="T120" s="57" t="s">
        <v>30</v>
      </c>
      <c r="U120" s="34" t="s">
        <v>30</v>
      </c>
      <c r="V120" s="57" t="s">
        <v>30</v>
      </c>
      <c r="W120" s="57" t="s">
        <v>30</v>
      </c>
      <c r="X120" s="34" t="s">
        <v>30</v>
      </c>
      <c r="Y120" s="137">
        <f t="shared" si="60"/>
        <v>44000</v>
      </c>
      <c r="Z120" s="57" t="str">
        <f t="shared" si="46"/>
        <v>NC</v>
      </c>
      <c r="AA120" s="57" t="str">
        <f t="shared" si="47"/>
        <v>NC</v>
      </c>
      <c r="AB120" s="57" t="str">
        <f t="shared" si="48"/>
        <v>NC</v>
      </c>
      <c r="AC120" s="57" t="str">
        <f t="shared" si="49"/>
        <v>NC</v>
      </c>
      <c r="AD120" s="57" t="str">
        <f t="shared" si="50"/>
        <v>NC</v>
      </c>
      <c r="AE120" s="57" t="str">
        <f t="shared" si="51"/>
        <v>NC</v>
      </c>
      <c r="AG120" s="123">
        <f t="shared" ca="1" si="52"/>
        <v>-1587</v>
      </c>
      <c r="AH120" s="123" t="str">
        <f t="shared" si="53"/>
        <v>NC</v>
      </c>
      <c r="AI120" s="123" t="str">
        <f t="shared" si="54"/>
        <v>NC</v>
      </c>
      <c r="AJ120" s="123" t="str">
        <f t="shared" si="55"/>
        <v>NC</v>
      </c>
      <c r="AK120" s="123" t="str">
        <f t="shared" si="56"/>
        <v>NC</v>
      </c>
      <c r="AL120" s="123" t="str">
        <f t="shared" si="57"/>
        <v>NC</v>
      </c>
      <c r="AM120" s="123" t="str">
        <f t="shared" si="58"/>
        <v>NC</v>
      </c>
      <c r="AO120" s="139" t="e">
        <f t="shared" si="59"/>
        <v>#DIV/0!</v>
      </c>
      <c r="AR120" s="138" t="s">
        <v>473</v>
      </c>
      <c r="AS120" s="141" t="s">
        <v>643</v>
      </c>
      <c r="AT120" s="138" t="s">
        <v>771</v>
      </c>
      <c r="AU120" s="142" t="s">
        <v>1236</v>
      </c>
      <c r="AV120" s="143" t="s">
        <v>1239</v>
      </c>
      <c r="AW120" s="143" t="s">
        <v>1422</v>
      </c>
    </row>
    <row r="121" spans="1:49" s="138" customFormat="1" ht="14.4" customHeight="1" x14ac:dyDescent="0.3">
      <c r="A121" s="116"/>
      <c r="B121" s="116"/>
      <c r="C121" s="117"/>
      <c r="D121" s="116"/>
      <c r="E121" s="116"/>
      <c r="F121" s="117"/>
      <c r="G121" s="120"/>
      <c r="H121" s="120"/>
      <c r="I121" s="120"/>
      <c r="J121" s="144">
        <v>43830</v>
      </c>
      <c r="K121" s="134"/>
      <c r="L121" s="120"/>
      <c r="M121" s="132"/>
      <c r="N121" s="158">
        <v>44166</v>
      </c>
      <c r="O121" s="116"/>
      <c r="P121" s="135" t="s">
        <v>596</v>
      </c>
      <c r="Q121" s="116"/>
      <c r="R121" s="57">
        <v>43635</v>
      </c>
      <c r="S121" s="57" t="s">
        <v>30</v>
      </c>
      <c r="T121" s="57" t="s">
        <v>30</v>
      </c>
      <c r="U121" s="34" t="s">
        <v>30</v>
      </c>
      <c r="V121" s="57" t="s">
        <v>30</v>
      </c>
      <c r="W121" s="57" t="s">
        <v>30</v>
      </c>
      <c r="X121" s="34" t="s">
        <v>30</v>
      </c>
      <c r="Y121" s="137">
        <f t="shared" si="60"/>
        <v>44000</v>
      </c>
      <c r="Z121" s="57" t="str">
        <f t="shared" si="46"/>
        <v>NC</v>
      </c>
      <c r="AA121" s="57" t="str">
        <f t="shared" si="47"/>
        <v>NC</v>
      </c>
      <c r="AB121" s="57" t="str">
        <f t="shared" si="48"/>
        <v>NC</v>
      </c>
      <c r="AC121" s="57" t="str">
        <f t="shared" si="49"/>
        <v>NC</v>
      </c>
      <c r="AD121" s="57" t="str">
        <f t="shared" si="50"/>
        <v>NC</v>
      </c>
      <c r="AE121" s="57" t="str">
        <f t="shared" si="51"/>
        <v>NC</v>
      </c>
      <c r="AG121" s="123">
        <f t="shared" ca="1" si="52"/>
        <v>-1587</v>
      </c>
      <c r="AH121" s="123" t="str">
        <f t="shared" si="53"/>
        <v>NC</v>
      </c>
      <c r="AI121" s="123" t="str">
        <f t="shared" si="54"/>
        <v>NC</v>
      </c>
      <c r="AJ121" s="123" t="str">
        <f t="shared" si="55"/>
        <v>NC</v>
      </c>
      <c r="AK121" s="123" t="str">
        <f t="shared" si="56"/>
        <v>NC</v>
      </c>
      <c r="AL121" s="123" t="str">
        <f t="shared" si="57"/>
        <v>NC</v>
      </c>
      <c r="AM121" s="123" t="str">
        <f t="shared" si="58"/>
        <v>NC</v>
      </c>
      <c r="AO121" s="139" t="e">
        <f t="shared" si="59"/>
        <v>#DIV/0!</v>
      </c>
      <c r="AR121" s="138" t="s">
        <v>473</v>
      </c>
      <c r="AS121" s="141" t="s">
        <v>643</v>
      </c>
      <c r="AT121" s="138" t="s">
        <v>772</v>
      </c>
      <c r="AU121" s="142" t="s">
        <v>1236</v>
      </c>
      <c r="AV121" s="143" t="s">
        <v>1239</v>
      </c>
      <c r="AW121" s="143" t="s">
        <v>1422</v>
      </c>
    </row>
    <row r="122" spans="1:49" s="138" customFormat="1" ht="14.4" customHeight="1" x14ac:dyDescent="0.3">
      <c r="A122" s="116"/>
      <c r="B122" s="116"/>
      <c r="C122" s="117"/>
      <c r="D122" s="116"/>
      <c r="E122" s="116"/>
      <c r="F122" s="117"/>
      <c r="G122" s="120"/>
      <c r="H122" s="120"/>
      <c r="I122" s="120"/>
      <c r="J122" s="144">
        <v>43830</v>
      </c>
      <c r="K122" s="134"/>
      <c r="L122" s="120"/>
      <c r="M122" s="132"/>
      <c r="N122" s="158">
        <v>44013</v>
      </c>
      <c r="O122" s="116"/>
      <c r="P122" s="135" t="s">
        <v>596</v>
      </c>
      <c r="Q122" s="116"/>
      <c r="R122" s="57">
        <v>43635</v>
      </c>
      <c r="S122" s="57" t="s">
        <v>30</v>
      </c>
      <c r="T122" s="57" t="s">
        <v>30</v>
      </c>
      <c r="U122" s="34" t="s">
        <v>30</v>
      </c>
      <c r="V122" s="57" t="s">
        <v>30</v>
      </c>
      <c r="W122" s="57" t="s">
        <v>30</v>
      </c>
      <c r="X122" s="34" t="s">
        <v>30</v>
      </c>
      <c r="Y122" s="137">
        <f t="shared" si="60"/>
        <v>44000</v>
      </c>
      <c r="Z122" s="57" t="str">
        <f t="shared" si="46"/>
        <v>NC</v>
      </c>
      <c r="AA122" s="57" t="str">
        <f t="shared" si="47"/>
        <v>NC</v>
      </c>
      <c r="AB122" s="57" t="str">
        <f t="shared" si="48"/>
        <v>NC</v>
      </c>
      <c r="AC122" s="57" t="str">
        <f t="shared" si="49"/>
        <v>NC</v>
      </c>
      <c r="AD122" s="57" t="str">
        <f t="shared" si="50"/>
        <v>NC</v>
      </c>
      <c r="AE122" s="57" t="str">
        <f t="shared" si="51"/>
        <v>NC</v>
      </c>
      <c r="AG122" s="123">
        <f t="shared" ca="1" si="52"/>
        <v>-1587</v>
      </c>
      <c r="AH122" s="123" t="str">
        <f t="shared" si="53"/>
        <v>NC</v>
      </c>
      <c r="AI122" s="123" t="str">
        <f t="shared" si="54"/>
        <v>NC</v>
      </c>
      <c r="AJ122" s="123" t="str">
        <f t="shared" si="55"/>
        <v>NC</v>
      </c>
      <c r="AK122" s="123" t="str">
        <f t="shared" si="56"/>
        <v>NC</v>
      </c>
      <c r="AL122" s="123" t="str">
        <f t="shared" si="57"/>
        <v>NC</v>
      </c>
      <c r="AM122" s="123" t="str">
        <f t="shared" si="58"/>
        <v>NC</v>
      </c>
      <c r="AO122" s="139" t="e">
        <f t="shared" si="59"/>
        <v>#DIV/0!</v>
      </c>
      <c r="AR122" s="138" t="s">
        <v>473</v>
      </c>
      <c r="AS122" s="141" t="s">
        <v>643</v>
      </c>
      <c r="AT122" s="138" t="s">
        <v>764</v>
      </c>
      <c r="AU122" s="142" t="s">
        <v>1236</v>
      </c>
      <c r="AV122" s="143" t="s">
        <v>1239</v>
      </c>
      <c r="AW122" s="143" t="s">
        <v>1422</v>
      </c>
    </row>
    <row r="123" spans="1:49" s="138" customFormat="1" ht="14.4" customHeight="1" x14ac:dyDescent="0.3">
      <c r="A123" s="116"/>
      <c r="B123" s="116"/>
      <c r="C123" s="117"/>
      <c r="D123" s="116"/>
      <c r="E123" s="116"/>
      <c r="F123" s="117"/>
      <c r="G123" s="120"/>
      <c r="H123" s="120"/>
      <c r="I123" s="120"/>
      <c r="J123" s="144">
        <v>43830</v>
      </c>
      <c r="K123" s="134"/>
      <c r="L123" s="120"/>
      <c r="M123" s="132"/>
      <c r="N123" s="158">
        <v>44044</v>
      </c>
      <c r="O123" s="116"/>
      <c r="P123" s="135" t="s">
        <v>596</v>
      </c>
      <c r="Q123" s="116"/>
      <c r="R123" s="57">
        <v>43636</v>
      </c>
      <c r="S123" s="57" t="s">
        <v>30</v>
      </c>
      <c r="T123" s="57" t="s">
        <v>30</v>
      </c>
      <c r="U123" s="34" t="s">
        <v>30</v>
      </c>
      <c r="V123" s="57" t="s">
        <v>30</v>
      </c>
      <c r="W123" s="57" t="s">
        <v>30</v>
      </c>
      <c r="X123" s="34" t="s">
        <v>30</v>
      </c>
      <c r="Y123" s="137">
        <f t="shared" si="60"/>
        <v>44001</v>
      </c>
      <c r="Z123" s="57" t="str">
        <f t="shared" si="46"/>
        <v>NC</v>
      </c>
      <c r="AA123" s="57" t="str">
        <f t="shared" si="47"/>
        <v>NC</v>
      </c>
      <c r="AB123" s="57" t="str">
        <f t="shared" si="48"/>
        <v>NC</v>
      </c>
      <c r="AC123" s="57" t="str">
        <f t="shared" si="49"/>
        <v>NC</v>
      </c>
      <c r="AD123" s="57" t="str">
        <f t="shared" si="50"/>
        <v>NC</v>
      </c>
      <c r="AE123" s="57" t="str">
        <f t="shared" si="51"/>
        <v>NC</v>
      </c>
      <c r="AG123" s="123">
        <f t="shared" ca="1" si="52"/>
        <v>-1586</v>
      </c>
      <c r="AH123" s="123" t="str">
        <f t="shared" si="53"/>
        <v>NC</v>
      </c>
      <c r="AI123" s="123" t="str">
        <f t="shared" si="54"/>
        <v>NC</v>
      </c>
      <c r="AJ123" s="123" t="str">
        <f t="shared" si="55"/>
        <v>NC</v>
      </c>
      <c r="AK123" s="123" t="str">
        <f t="shared" si="56"/>
        <v>NC</v>
      </c>
      <c r="AL123" s="123" t="str">
        <f t="shared" si="57"/>
        <v>NC</v>
      </c>
      <c r="AM123" s="123" t="str">
        <f t="shared" si="58"/>
        <v>NC</v>
      </c>
      <c r="AO123" s="139" t="e">
        <f t="shared" si="59"/>
        <v>#DIV/0!</v>
      </c>
      <c r="AR123" s="138" t="s">
        <v>473</v>
      </c>
      <c r="AS123" s="141" t="s">
        <v>643</v>
      </c>
      <c r="AT123" s="138" t="s">
        <v>765</v>
      </c>
      <c r="AU123" s="142" t="s">
        <v>1236</v>
      </c>
      <c r="AV123" s="143" t="s">
        <v>1239</v>
      </c>
      <c r="AW123" s="143" t="s">
        <v>1422</v>
      </c>
    </row>
    <row r="124" spans="1:49" s="138" customFormat="1" ht="14.4" customHeight="1" x14ac:dyDescent="0.3">
      <c r="A124" s="116"/>
      <c r="B124" s="116"/>
      <c r="C124" s="117"/>
      <c r="D124" s="116"/>
      <c r="E124" s="116"/>
      <c r="F124" s="117"/>
      <c r="G124" s="120"/>
      <c r="H124" s="120"/>
      <c r="I124" s="120"/>
      <c r="J124" s="144">
        <v>43830</v>
      </c>
      <c r="K124" s="134"/>
      <c r="L124" s="120"/>
      <c r="M124" s="132"/>
      <c r="N124" s="158">
        <v>44044</v>
      </c>
      <c r="O124" s="116"/>
      <c r="P124" s="135" t="s">
        <v>596</v>
      </c>
      <c r="Q124" s="116"/>
      <c r="R124" s="57">
        <v>43636</v>
      </c>
      <c r="S124" s="57" t="s">
        <v>30</v>
      </c>
      <c r="T124" s="57" t="s">
        <v>30</v>
      </c>
      <c r="U124" s="34" t="s">
        <v>30</v>
      </c>
      <c r="V124" s="57" t="s">
        <v>30</v>
      </c>
      <c r="W124" s="57" t="s">
        <v>30</v>
      </c>
      <c r="X124" s="34" t="s">
        <v>30</v>
      </c>
      <c r="Y124" s="137">
        <f t="shared" si="60"/>
        <v>44001</v>
      </c>
      <c r="Z124" s="57" t="str">
        <f t="shared" si="46"/>
        <v>NC</v>
      </c>
      <c r="AA124" s="57" t="str">
        <f t="shared" si="47"/>
        <v>NC</v>
      </c>
      <c r="AB124" s="57" t="str">
        <f t="shared" si="48"/>
        <v>NC</v>
      </c>
      <c r="AC124" s="57" t="str">
        <f t="shared" si="49"/>
        <v>NC</v>
      </c>
      <c r="AD124" s="57" t="str">
        <f t="shared" si="50"/>
        <v>NC</v>
      </c>
      <c r="AE124" s="57" t="str">
        <f t="shared" si="51"/>
        <v>NC</v>
      </c>
      <c r="AG124" s="123">
        <f t="shared" ca="1" si="52"/>
        <v>-1586</v>
      </c>
      <c r="AH124" s="123" t="str">
        <f t="shared" si="53"/>
        <v>NC</v>
      </c>
      <c r="AI124" s="123" t="str">
        <f t="shared" si="54"/>
        <v>NC</v>
      </c>
      <c r="AJ124" s="123" t="str">
        <f t="shared" si="55"/>
        <v>NC</v>
      </c>
      <c r="AK124" s="123" t="str">
        <f t="shared" si="56"/>
        <v>NC</v>
      </c>
      <c r="AL124" s="123" t="str">
        <f t="shared" si="57"/>
        <v>NC</v>
      </c>
      <c r="AM124" s="123" t="str">
        <f t="shared" si="58"/>
        <v>NC</v>
      </c>
      <c r="AO124" s="139" t="e">
        <f t="shared" si="59"/>
        <v>#DIV/0!</v>
      </c>
      <c r="AR124" s="138" t="s">
        <v>473</v>
      </c>
      <c r="AS124" s="141" t="s">
        <v>643</v>
      </c>
      <c r="AT124" s="138" t="s">
        <v>834</v>
      </c>
      <c r="AU124" s="142" t="s">
        <v>1236</v>
      </c>
      <c r="AV124" s="143" t="s">
        <v>1239</v>
      </c>
      <c r="AW124" s="143" t="s">
        <v>1422</v>
      </c>
    </row>
    <row r="125" spans="1:49" s="138" customFormat="1" ht="14.4" customHeight="1" x14ac:dyDescent="0.3">
      <c r="A125" s="116"/>
      <c r="B125" s="116"/>
      <c r="C125" s="117"/>
      <c r="D125" s="116"/>
      <c r="E125" s="116"/>
      <c r="F125" s="117"/>
      <c r="G125" s="120"/>
      <c r="H125" s="120"/>
      <c r="I125" s="120"/>
      <c r="J125" s="144">
        <v>43830</v>
      </c>
      <c r="K125" s="134"/>
      <c r="L125" s="120"/>
      <c r="M125" s="132"/>
      <c r="N125" s="158">
        <v>44166</v>
      </c>
      <c r="O125" s="116"/>
      <c r="P125" s="135" t="s">
        <v>596</v>
      </c>
      <c r="Q125" s="116"/>
      <c r="R125" s="57">
        <v>43691</v>
      </c>
      <c r="S125" s="57" t="s">
        <v>30</v>
      </c>
      <c r="T125" s="57" t="s">
        <v>30</v>
      </c>
      <c r="U125" s="34" t="s">
        <v>30</v>
      </c>
      <c r="V125" s="57" t="s">
        <v>30</v>
      </c>
      <c r="W125" s="57" t="s">
        <v>30</v>
      </c>
      <c r="X125" s="34" t="s">
        <v>30</v>
      </c>
      <c r="Y125" s="137">
        <f t="shared" si="60"/>
        <v>44056</v>
      </c>
      <c r="Z125" s="57" t="str">
        <f t="shared" si="46"/>
        <v>NC</v>
      </c>
      <c r="AA125" s="57" t="str">
        <f t="shared" si="47"/>
        <v>NC</v>
      </c>
      <c r="AB125" s="57" t="str">
        <f t="shared" si="48"/>
        <v>NC</v>
      </c>
      <c r="AC125" s="57" t="str">
        <f t="shared" si="49"/>
        <v>NC</v>
      </c>
      <c r="AD125" s="57" t="str">
        <f t="shared" si="50"/>
        <v>NC</v>
      </c>
      <c r="AE125" s="57" t="str">
        <f t="shared" si="51"/>
        <v>NC</v>
      </c>
      <c r="AG125" s="123">
        <f t="shared" ca="1" si="52"/>
        <v>-1531</v>
      </c>
      <c r="AH125" s="123" t="str">
        <f t="shared" si="53"/>
        <v>NC</v>
      </c>
      <c r="AI125" s="123" t="str">
        <f t="shared" si="54"/>
        <v>NC</v>
      </c>
      <c r="AJ125" s="123" t="str">
        <f t="shared" si="55"/>
        <v>NC</v>
      </c>
      <c r="AK125" s="123" t="str">
        <f t="shared" si="56"/>
        <v>NC</v>
      </c>
      <c r="AL125" s="123" t="str">
        <f t="shared" si="57"/>
        <v>NC</v>
      </c>
      <c r="AM125" s="123" t="str">
        <f t="shared" si="58"/>
        <v>NC</v>
      </c>
      <c r="AO125" s="139" t="e">
        <f t="shared" si="59"/>
        <v>#DIV/0!</v>
      </c>
      <c r="AR125" s="138" t="s">
        <v>473</v>
      </c>
      <c r="AS125" s="141" t="s">
        <v>643</v>
      </c>
      <c r="AT125" s="138" t="s">
        <v>935</v>
      </c>
      <c r="AU125" s="142" t="s">
        <v>1236</v>
      </c>
      <c r="AV125" s="143" t="s">
        <v>1239</v>
      </c>
      <c r="AW125" s="143" t="s">
        <v>1422</v>
      </c>
    </row>
    <row r="126" spans="1:49" s="138" customFormat="1" ht="14.4" customHeight="1" x14ac:dyDescent="0.3">
      <c r="A126" s="116"/>
      <c r="B126" s="116"/>
      <c r="C126" s="117"/>
      <c r="D126" s="116"/>
      <c r="E126" s="116"/>
      <c r="F126" s="117"/>
      <c r="G126" s="120"/>
      <c r="H126" s="120"/>
      <c r="I126" s="120"/>
      <c r="J126" s="144">
        <v>43830</v>
      </c>
      <c r="K126" s="134"/>
      <c r="L126" s="120"/>
      <c r="M126" s="132"/>
      <c r="N126" s="158">
        <v>44166</v>
      </c>
      <c r="O126" s="116"/>
      <c r="P126" s="135" t="s">
        <v>596</v>
      </c>
      <c r="Q126" s="116"/>
      <c r="R126" s="57">
        <v>43691</v>
      </c>
      <c r="S126" s="57" t="s">
        <v>30</v>
      </c>
      <c r="T126" s="57" t="s">
        <v>30</v>
      </c>
      <c r="U126" s="34" t="s">
        <v>30</v>
      </c>
      <c r="V126" s="57" t="s">
        <v>30</v>
      </c>
      <c r="W126" s="57" t="s">
        <v>30</v>
      </c>
      <c r="X126" s="34" t="s">
        <v>30</v>
      </c>
      <c r="Y126" s="137">
        <f t="shared" si="60"/>
        <v>44056</v>
      </c>
      <c r="Z126" s="57" t="str">
        <f t="shared" si="46"/>
        <v>NC</v>
      </c>
      <c r="AA126" s="57" t="str">
        <f t="shared" si="47"/>
        <v>NC</v>
      </c>
      <c r="AB126" s="57" t="str">
        <f t="shared" si="48"/>
        <v>NC</v>
      </c>
      <c r="AC126" s="57" t="str">
        <f t="shared" si="49"/>
        <v>NC</v>
      </c>
      <c r="AD126" s="57" t="str">
        <f t="shared" si="50"/>
        <v>NC</v>
      </c>
      <c r="AE126" s="57" t="str">
        <f t="shared" si="51"/>
        <v>NC</v>
      </c>
      <c r="AG126" s="123">
        <f t="shared" ca="1" si="52"/>
        <v>-1531</v>
      </c>
      <c r="AH126" s="123" t="str">
        <f t="shared" si="53"/>
        <v>NC</v>
      </c>
      <c r="AI126" s="123" t="str">
        <f t="shared" si="54"/>
        <v>NC</v>
      </c>
      <c r="AJ126" s="123" t="str">
        <f t="shared" si="55"/>
        <v>NC</v>
      </c>
      <c r="AK126" s="123" t="str">
        <f t="shared" si="56"/>
        <v>NC</v>
      </c>
      <c r="AL126" s="123" t="str">
        <f t="shared" si="57"/>
        <v>NC</v>
      </c>
      <c r="AM126" s="123" t="str">
        <f t="shared" si="58"/>
        <v>NC</v>
      </c>
      <c r="AO126" s="139" t="e">
        <f t="shared" si="59"/>
        <v>#DIV/0!</v>
      </c>
      <c r="AR126" s="138" t="s">
        <v>473</v>
      </c>
      <c r="AS126" s="141" t="s">
        <v>643</v>
      </c>
      <c r="AT126" s="138" t="s">
        <v>826</v>
      </c>
      <c r="AU126" s="142" t="s">
        <v>1236</v>
      </c>
      <c r="AV126" s="143" t="s">
        <v>1239</v>
      </c>
      <c r="AW126" s="143" t="s">
        <v>1422</v>
      </c>
    </row>
    <row r="127" spans="1:49" s="138" customFormat="1" ht="14.4" customHeight="1" x14ac:dyDescent="0.3">
      <c r="A127" s="116"/>
      <c r="B127" s="116"/>
      <c r="C127" s="117"/>
      <c r="D127" s="116"/>
      <c r="E127" s="116"/>
      <c r="F127" s="117"/>
      <c r="G127" s="120"/>
      <c r="H127" s="120"/>
      <c r="I127" s="120"/>
      <c r="J127" s="144">
        <v>43830</v>
      </c>
      <c r="K127" s="134"/>
      <c r="L127" s="120"/>
      <c r="M127" s="132"/>
      <c r="N127" s="158">
        <v>44166</v>
      </c>
      <c r="O127" s="116"/>
      <c r="P127" s="135" t="s">
        <v>596</v>
      </c>
      <c r="Q127" s="116"/>
      <c r="R127" s="57">
        <v>43691</v>
      </c>
      <c r="S127" s="57" t="s">
        <v>30</v>
      </c>
      <c r="T127" s="57" t="s">
        <v>30</v>
      </c>
      <c r="U127" s="34" t="s">
        <v>30</v>
      </c>
      <c r="V127" s="57" t="s">
        <v>30</v>
      </c>
      <c r="W127" s="57" t="s">
        <v>30</v>
      </c>
      <c r="X127" s="34" t="s">
        <v>30</v>
      </c>
      <c r="Y127" s="137">
        <f t="shared" si="60"/>
        <v>44056</v>
      </c>
      <c r="Z127" s="57" t="str">
        <f t="shared" si="46"/>
        <v>NC</v>
      </c>
      <c r="AA127" s="57" t="str">
        <f t="shared" si="47"/>
        <v>NC</v>
      </c>
      <c r="AB127" s="57" t="str">
        <f t="shared" si="48"/>
        <v>NC</v>
      </c>
      <c r="AC127" s="57" t="str">
        <f t="shared" si="49"/>
        <v>NC</v>
      </c>
      <c r="AD127" s="57" t="str">
        <f t="shared" si="50"/>
        <v>NC</v>
      </c>
      <c r="AE127" s="57" t="str">
        <f t="shared" si="51"/>
        <v>NC</v>
      </c>
      <c r="AG127" s="123">
        <f t="shared" ca="1" si="52"/>
        <v>-1531</v>
      </c>
      <c r="AH127" s="123" t="str">
        <f t="shared" si="53"/>
        <v>NC</v>
      </c>
      <c r="AI127" s="123" t="str">
        <f t="shared" si="54"/>
        <v>NC</v>
      </c>
      <c r="AJ127" s="123" t="str">
        <f t="shared" si="55"/>
        <v>NC</v>
      </c>
      <c r="AK127" s="123" t="str">
        <f t="shared" si="56"/>
        <v>NC</v>
      </c>
      <c r="AL127" s="123" t="str">
        <f t="shared" si="57"/>
        <v>NC</v>
      </c>
      <c r="AM127" s="123" t="str">
        <f t="shared" si="58"/>
        <v>NC</v>
      </c>
      <c r="AO127" s="139" t="e">
        <f t="shared" si="59"/>
        <v>#DIV/0!</v>
      </c>
      <c r="AR127" s="138" t="s">
        <v>473</v>
      </c>
      <c r="AS127" s="141" t="s">
        <v>643</v>
      </c>
      <c r="AT127" s="138" t="s">
        <v>835</v>
      </c>
      <c r="AU127" s="142" t="s">
        <v>1236</v>
      </c>
      <c r="AV127" s="143" t="s">
        <v>1239</v>
      </c>
      <c r="AW127" s="143" t="s">
        <v>1422</v>
      </c>
    </row>
    <row r="128" spans="1:49" s="138" customFormat="1" ht="14.4" customHeight="1" x14ac:dyDescent="0.3">
      <c r="A128" s="116"/>
      <c r="B128" s="116"/>
      <c r="C128" s="117"/>
      <c r="D128" s="116"/>
      <c r="E128" s="116"/>
      <c r="F128" s="117"/>
      <c r="G128" s="120"/>
      <c r="H128" s="120"/>
      <c r="I128" s="120"/>
      <c r="J128" s="156">
        <v>43830</v>
      </c>
      <c r="K128" s="134"/>
      <c r="L128" s="120"/>
      <c r="M128" s="132"/>
      <c r="N128" s="158">
        <v>43983</v>
      </c>
      <c r="O128" s="116"/>
      <c r="P128" s="135" t="s">
        <v>596</v>
      </c>
      <c r="Q128" s="116"/>
      <c r="R128" s="57">
        <v>43616</v>
      </c>
      <c r="S128" s="57" t="s">
        <v>30</v>
      </c>
      <c r="T128" s="57" t="s">
        <v>30</v>
      </c>
      <c r="U128" s="34" t="s">
        <v>30</v>
      </c>
      <c r="V128" s="57">
        <v>43683</v>
      </c>
      <c r="W128" s="57">
        <v>43889</v>
      </c>
      <c r="X128" s="34" t="s">
        <v>30</v>
      </c>
      <c r="Y128" s="137">
        <f t="shared" si="60"/>
        <v>43981</v>
      </c>
      <c r="Z128" s="57" t="str">
        <f t="shared" si="46"/>
        <v>NC</v>
      </c>
      <c r="AA128" s="57" t="str">
        <f t="shared" si="47"/>
        <v>NC</v>
      </c>
      <c r="AB128" s="57" t="str">
        <f t="shared" si="48"/>
        <v>NC</v>
      </c>
      <c r="AC128" s="57">
        <f t="shared" si="49"/>
        <v>44048</v>
      </c>
      <c r="AD128" s="57">
        <f t="shared" si="50"/>
        <v>44254</v>
      </c>
      <c r="AE128" s="57" t="str">
        <f t="shared" si="51"/>
        <v>NC</v>
      </c>
      <c r="AG128" s="123">
        <f t="shared" ca="1" si="52"/>
        <v>-1606</v>
      </c>
      <c r="AH128" s="123" t="str">
        <f t="shared" si="53"/>
        <v>NC</v>
      </c>
      <c r="AI128" s="123" t="str">
        <f t="shared" si="54"/>
        <v>NC</v>
      </c>
      <c r="AJ128" s="123" t="str">
        <f t="shared" si="55"/>
        <v>NC</v>
      </c>
      <c r="AK128" s="123">
        <f t="shared" ca="1" si="56"/>
        <v>-1539</v>
      </c>
      <c r="AL128" s="123">
        <f t="shared" ca="1" si="57"/>
        <v>-1333</v>
      </c>
      <c r="AM128" s="123" t="str">
        <f t="shared" si="58"/>
        <v>NC</v>
      </c>
      <c r="AO128" s="139" t="e">
        <f t="shared" si="59"/>
        <v>#DIV/0!</v>
      </c>
      <c r="AR128" s="138" t="s">
        <v>471</v>
      </c>
      <c r="AS128" s="138" t="s">
        <v>922</v>
      </c>
      <c r="AT128" s="138" t="s">
        <v>1029</v>
      </c>
      <c r="AU128" s="142" t="s">
        <v>1215</v>
      </c>
      <c r="AV128" s="143" t="s">
        <v>1237</v>
      </c>
      <c r="AW128" s="143" t="s">
        <v>1418</v>
      </c>
    </row>
    <row r="129" spans="1:49" s="124" customFormat="1" ht="14.4" customHeight="1" x14ac:dyDescent="0.3">
      <c r="A129" s="116"/>
      <c r="B129" s="116"/>
      <c r="C129" s="117"/>
      <c r="D129" s="116"/>
      <c r="E129" s="116"/>
      <c r="F129" s="117"/>
      <c r="G129" s="120"/>
      <c r="H129" s="120"/>
      <c r="I129" s="120"/>
      <c r="J129" s="156">
        <v>43830</v>
      </c>
      <c r="K129" s="134"/>
      <c r="L129" s="120"/>
      <c r="M129" s="132"/>
      <c r="N129" s="158">
        <v>43983</v>
      </c>
      <c r="O129" s="116"/>
      <c r="P129" s="135" t="s">
        <v>596</v>
      </c>
      <c r="Q129" s="116"/>
      <c r="R129" s="57">
        <v>43616</v>
      </c>
      <c r="S129" s="57" t="s">
        <v>30</v>
      </c>
      <c r="T129" s="57" t="s">
        <v>30</v>
      </c>
      <c r="U129" s="34" t="s">
        <v>30</v>
      </c>
      <c r="V129" s="57">
        <v>43683</v>
      </c>
      <c r="W129" s="57">
        <v>43889</v>
      </c>
      <c r="X129" s="34" t="s">
        <v>30</v>
      </c>
      <c r="Y129" s="137">
        <f t="shared" si="60"/>
        <v>43981</v>
      </c>
      <c r="Z129" s="57" t="str">
        <f t="shared" si="46"/>
        <v>NC</v>
      </c>
      <c r="AA129" s="57" t="str">
        <f t="shared" si="47"/>
        <v>NC</v>
      </c>
      <c r="AB129" s="57" t="str">
        <f t="shared" si="48"/>
        <v>NC</v>
      </c>
      <c r="AC129" s="57">
        <f t="shared" si="49"/>
        <v>44048</v>
      </c>
      <c r="AD129" s="57">
        <f t="shared" si="50"/>
        <v>44254</v>
      </c>
      <c r="AE129" s="57" t="str">
        <f t="shared" si="51"/>
        <v>NC</v>
      </c>
      <c r="AF129" s="138"/>
      <c r="AG129" s="123">
        <f t="shared" ca="1" si="52"/>
        <v>-1606</v>
      </c>
      <c r="AH129" s="123" t="str">
        <f t="shared" si="53"/>
        <v>NC</v>
      </c>
      <c r="AI129" s="123" t="str">
        <f t="shared" si="54"/>
        <v>NC</v>
      </c>
      <c r="AJ129" s="123" t="str">
        <f t="shared" si="55"/>
        <v>NC</v>
      </c>
      <c r="AK129" s="123">
        <f t="shared" ca="1" si="56"/>
        <v>-1539</v>
      </c>
      <c r="AL129" s="123">
        <f t="shared" ca="1" si="57"/>
        <v>-1333</v>
      </c>
      <c r="AM129" s="123" t="str">
        <f t="shared" si="58"/>
        <v>NC</v>
      </c>
      <c r="AN129" s="138"/>
      <c r="AO129" s="139" t="e">
        <f t="shared" si="59"/>
        <v>#DIV/0!</v>
      </c>
      <c r="AP129" s="138"/>
      <c r="AQ129" s="138"/>
      <c r="AR129" s="138" t="s">
        <v>471</v>
      </c>
      <c r="AS129" s="138" t="s">
        <v>922</v>
      </c>
      <c r="AT129" s="138" t="s">
        <v>789</v>
      </c>
      <c r="AU129" s="142" t="s">
        <v>1215</v>
      </c>
      <c r="AV129" s="143" t="s">
        <v>1237</v>
      </c>
      <c r="AW129" s="143" t="s">
        <v>1418</v>
      </c>
    </row>
    <row r="130" spans="1:49" s="138" customFormat="1" ht="14.4" customHeight="1" x14ac:dyDescent="0.3">
      <c r="A130" s="116"/>
      <c r="B130" s="116"/>
      <c r="C130" s="117"/>
      <c r="D130" s="116"/>
      <c r="E130" s="116"/>
      <c r="F130" s="117"/>
      <c r="G130" s="120"/>
      <c r="H130" s="120"/>
      <c r="I130" s="120"/>
      <c r="J130" s="156">
        <v>43830</v>
      </c>
      <c r="K130" s="134"/>
      <c r="L130" s="120"/>
      <c r="M130" s="132"/>
      <c r="N130" s="158">
        <v>43983</v>
      </c>
      <c r="O130" s="116"/>
      <c r="P130" s="135" t="s">
        <v>596</v>
      </c>
      <c r="Q130" s="116"/>
      <c r="R130" s="57">
        <v>43616</v>
      </c>
      <c r="S130" s="57" t="s">
        <v>30</v>
      </c>
      <c r="T130" s="57" t="s">
        <v>30</v>
      </c>
      <c r="U130" s="34" t="s">
        <v>30</v>
      </c>
      <c r="V130" s="57">
        <v>43683</v>
      </c>
      <c r="W130" s="57">
        <v>43889</v>
      </c>
      <c r="X130" s="34" t="s">
        <v>30</v>
      </c>
      <c r="Y130" s="137">
        <f t="shared" si="60"/>
        <v>43981</v>
      </c>
      <c r="Z130" s="57" t="str">
        <f t="shared" si="46"/>
        <v>NC</v>
      </c>
      <c r="AA130" s="57" t="str">
        <f t="shared" si="47"/>
        <v>NC</v>
      </c>
      <c r="AB130" s="57" t="str">
        <f t="shared" si="48"/>
        <v>NC</v>
      </c>
      <c r="AC130" s="57">
        <f t="shared" si="49"/>
        <v>44048</v>
      </c>
      <c r="AD130" s="57">
        <f t="shared" si="50"/>
        <v>44254</v>
      </c>
      <c r="AE130" s="57" t="str">
        <f t="shared" si="51"/>
        <v>NC</v>
      </c>
      <c r="AG130" s="123">
        <f t="shared" ca="1" si="52"/>
        <v>-1606</v>
      </c>
      <c r="AH130" s="123" t="str">
        <f t="shared" si="53"/>
        <v>NC</v>
      </c>
      <c r="AI130" s="123" t="str">
        <f t="shared" si="54"/>
        <v>NC</v>
      </c>
      <c r="AJ130" s="123" t="str">
        <f t="shared" si="55"/>
        <v>NC</v>
      </c>
      <c r="AK130" s="123">
        <f t="shared" ca="1" si="56"/>
        <v>-1539</v>
      </c>
      <c r="AL130" s="123">
        <f t="shared" ca="1" si="57"/>
        <v>-1333</v>
      </c>
      <c r="AM130" s="123" t="str">
        <f t="shared" si="58"/>
        <v>NC</v>
      </c>
      <c r="AO130" s="139" t="e">
        <f t="shared" si="59"/>
        <v>#DIV/0!</v>
      </c>
      <c r="AR130" s="138" t="s">
        <v>471</v>
      </c>
      <c r="AS130" s="138" t="s">
        <v>922</v>
      </c>
      <c r="AT130" s="138" t="s">
        <v>791</v>
      </c>
      <c r="AU130" s="142" t="s">
        <v>1215</v>
      </c>
      <c r="AV130" s="143" t="s">
        <v>1237</v>
      </c>
      <c r="AW130" s="143" t="s">
        <v>1418</v>
      </c>
    </row>
    <row r="131" spans="1:49" s="160" customFormat="1" ht="14.4" customHeight="1" x14ac:dyDescent="0.3">
      <c r="A131" s="116"/>
      <c r="B131" s="116"/>
      <c r="C131" s="117"/>
      <c r="D131" s="116"/>
      <c r="E131" s="116"/>
      <c r="F131" s="117"/>
      <c r="G131" s="120"/>
      <c r="H131" s="120"/>
      <c r="I131" s="120"/>
      <c r="J131" s="156">
        <v>43830</v>
      </c>
      <c r="K131" s="134"/>
      <c r="L131" s="120"/>
      <c r="M131" s="132"/>
      <c r="N131" s="158">
        <v>43983</v>
      </c>
      <c r="O131" s="116"/>
      <c r="P131" s="135" t="s">
        <v>596</v>
      </c>
      <c r="Q131" s="116"/>
      <c r="R131" s="57">
        <v>43614</v>
      </c>
      <c r="S131" s="57" t="s">
        <v>30</v>
      </c>
      <c r="T131" s="57" t="s">
        <v>30</v>
      </c>
      <c r="U131" s="34" t="s">
        <v>30</v>
      </c>
      <c r="V131" s="57">
        <v>43683</v>
      </c>
      <c r="W131" s="57">
        <v>43889</v>
      </c>
      <c r="X131" s="34" t="s">
        <v>30</v>
      </c>
      <c r="Y131" s="137">
        <f t="shared" si="60"/>
        <v>43979</v>
      </c>
      <c r="Z131" s="57" t="str">
        <f t="shared" si="46"/>
        <v>NC</v>
      </c>
      <c r="AA131" s="57" t="str">
        <f t="shared" si="47"/>
        <v>NC</v>
      </c>
      <c r="AB131" s="57" t="str">
        <f t="shared" si="48"/>
        <v>NC</v>
      </c>
      <c r="AC131" s="57">
        <f t="shared" si="49"/>
        <v>44048</v>
      </c>
      <c r="AD131" s="57">
        <f t="shared" si="50"/>
        <v>44254</v>
      </c>
      <c r="AE131" s="57" t="str">
        <f t="shared" si="51"/>
        <v>NC</v>
      </c>
      <c r="AF131" s="138"/>
      <c r="AG131" s="123">
        <f t="shared" ca="1" si="52"/>
        <v>-1608</v>
      </c>
      <c r="AH131" s="123" t="str">
        <f t="shared" si="53"/>
        <v>NC</v>
      </c>
      <c r="AI131" s="123" t="str">
        <f t="shared" si="54"/>
        <v>NC</v>
      </c>
      <c r="AJ131" s="123" t="str">
        <f t="shared" si="55"/>
        <v>NC</v>
      </c>
      <c r="AK131" s="123">
        <f t="shared" ca="1" si="56"/>
        <v>-1539</v>
      </c>
      <c r="AL131" s="123">
        <f t="shared" ca="1" si="57"/>
        <v>-1333</v>
      </c>
      <c r="AM131" s="123" t="str">
        <f t="shared" si="58"/>
        <v>NC</v>
      </c>
      <c r="AN131" s="138"/>
      <c r="AO131" s="139" t="e">
        <f t="shared" si="59"/>
        <v>#DIV/0!</v>
      </c>
      <c r="AP131" s="138"/>
      <c r="AQ131" s="138"/>
      <c r="AR131" s="138" t="s">
        <v>471</v>
      </c>
      <c r="AS131" s="138" t="s">
        <v>922</v>
      </c>
      <c r="AT131" s="138" t="s">
        <v>790</v>
      </c>
      <c r="AU131" s="142" t="s">
        <v>1215</v>
      </c>
      <c r="AV131" s="143" t="s">
        <v>1237</v>
      </c>
      <c r="AW131" s="143" t="s">
        <v>1418</v>
      </c>
    </row>
    <row r="132" spans="1:49" s="138" customFormat="1" ht="14.4" customHeight="1" x14ac:dyDescent="0.3">
      <c r="A132" s="116"/>
      <c r="B132" s="116"/>
      <c r="C132" s="117"/>
      <c r="D132" s="116"/>
      <c r="E132" s="116"/>
      <c r="F132" s="117"/>
      <c r="G132" s="120"/>
      <c r="H132" s="120"/>
      <c r="I132" s="120"/>
      <c r="J132" s="120"/>
      <c r="K132" s="134"/>
      <c r="L132" s="120"/>
      <c r="M132" s="132"/>
      <c r="N132" s="116"/>
      <c r="O132" s="116"/>
      <c r="P132" s="135" t="s">
        <v>596</v>
      </c>
      <c r="Q132" s="116"/>
      <c r="R132" s="57">
        <v>43892</v>
      </c>
      <c r="S132" s="57" t="s">
        <v>30</v>
      </c>
      <c r="T132" s="57" t="s">
        <v>30</v>
      </c>
      <c r="U132" s="34" t="s">
        <v>30</v>
      </c>
      <c r="V132" s="57"/>
      <c r="W132" s="57"/>
      <c r="X132" s="34" t="s">
        <v>30</v>
      </c>
      <c r="Y132" s="137">
        <f t="shared" si="60"/>
        <v>44257</v>
      </c>
      <c r="Z132" s="57" t="str">
        <f t="shared" si="46"/>
        <v>NC</v>
      </c>
      <c r="AA132" s="57" t="str">
        <f t="shared" si="47"/>
        <v>NC</v>
      </c>
      <c r="AB132" s="57" t="str">
        <f t="shared" si="48"/>
        <v>NC</v>
      </c>
      <c r="AC132" s="57" t="str">
        <f t="shared" si="49"/>
        <v>erreur</v>
      </c>
      <c r="AD132" s="57" t="str">
        <f t="shared" si="50"/>
        <v>erreur</v>
      </c>
      <c r="AE132" s="57" t="str">
        <f t="shared" si="51"/>
        <v>NC</v>
      </c>
      <c r="AG132" s="116">
        <f t="shared" ca="1" si="52"/>
        <v>-1330</v>
      </c>
      <c r="AH132" s="116" t="str">
        <f t="shared" si="53"/>
        <v>NC</v>
      </c>
      <c r="AI132" s="116" t="str">
        <f t="shared" si="54"/>
        <v>NC</v>
      </c>
      <c r="AJ132" s="116" t="str">
        <f t="shared" si="55"/>
        <v>NC</v>
      </c>
      <c r="AK132" s="116" t="str">
        <f t="shared" si="56"/>
        <v>erreur</v>
      </c>
      <c r="AL132" s="116" t="str">
        <f t="shared" si="57"/>
        <v>erreur</v>
      </c>
      <c r="AM132" s="116" t="str">
        <f t="shared" si="58"/>
        <v>NC</v>
      </c>
      <c r="AO132" s="139" t="e">
        <f t="shared" si="59"/>
        <v>#DIV/0!</v>
      </c>
      <c r="AR132" s="138" t="s">
        <v>473</v>
      </c>
      <c r="AT132" s="138" t="s">
        <v>757</v>
      </c>
      <c r="AU132" s="142" t="s">
        <v>1215</v>
      </c>
      <c r="AV132" s="142" t="s">
        <v>1237</v>
      </c>
      <c r="AW132" s="142" t="s">
        <v>1418</v>
      </c>
    </row>
    <row r="133" spans="1:49" s="124" customFormat="1" ht="14.4" customHeight="1" x14ac:dyDescent="0.3">
      <c r="A133" s="116"/>
      <c r="B133" s="116"/>
      <c r="C133" s="117"/>
      <c r="D133" s="116"/>
      <c r="E133" s="116"/>
      <c r="F133" s="117"/>
      <c r="G133" s="120"/>
      <c r="H133" s="120"/>
      <c r="I133" s="120"/>
      <c r="J133" s="156">
        <v>44196</v>
      </c>
      <c r="K133" s="134"/>
      <c r="L133" s="120"/>
      <c r="M133" s="132"/>
      <c r="N133" s="158">
        <v>43983</v>
      </c>
      <c r="O133" s="116"/>
      <c r="P133" s="135" t="s">
        <v>596</v>
      </c>
      <c r="Q133" s="116"/>
      <c r="R133" s="57">
        <v>43852</v>
      </c>
      <c r="S133" s="57" t="s">
        <v>30</v>
      </c>
      <c r="T133" s="57" t="s">
        <v>30</v>
      </c>
      <c r="U133" s="34" t="s">
        <v>30</v>
      </c>
      <c r="V133" s="57"/>
      <c r="W133" s="57"/>
      <c r="X133" s="34" t="s">
        <v>30</v>
      </c>
      <c r="Y133" s="137">
        <f t="shared" si="60"/>
        <v>44217</v>
      </c>
      <c r="Z133" s="57" t="str">
        <f t="shared" si="46"/>
        <v>NC</v>
      </c>
      <c r="AA133" s="57" t="str">
        <f t="shared" si="47"/>
        <v>NC</v>
      </c>
      <c r="AB133" s="57" t="str">
        <f t="shared" si="48"/>
        <v>NC</v>
      </c>
      <c r="AC133" s="57" t="str">
        <f t="shared" si="49"/>
        <v>erreur</v>
      </c>
      <c r="AD133" s="57" t="str">
        <f t="shared" si="50"/>
        <v>erreur</v>
      </c>
      <c r="AE133" s="57" t="str">
        <f t="shared" si="51"/>
        <v>NC</v>
      </c>
      <c r="AF133" s="138"/>
      <c r="AG133" s="116">
        <f t="shared" ca="1" si="52"/>
        <v>-1370</v>
      </c>
      <c r="AH133" s="116" t="str">
        <f t="shared" si="53"/>
        <v>NC</v>
      </c>
      <c r="AI133" s="116" t="str">
        <f t="shared" si="54"/>
        <v>NC</v>
      </c>
      <c r="AJ133" s="116" t="str">
        <f t="shared" si="55"/>
        <v>NC</v>
      </c>
      <c r="AK133" s="116" t="str">
        <f t="shared" si="56"/>
        <v>erreur</v>
      </c>
      <c r="AL133" s="116" t="str">
        <f t="shared" si="57"/>
        <v>erreur</v>
      </c>
      <c r="AM133" s="116" t="str">
        <f t="shared" si="58"/>
        <v>NC</v>
      </c>
      <c r="AN133" s="138"/>
      <c r="AO133" s="139" t="e">
        <f t="shared" si="59"/>
        <v>#DIV/0!</v>
      </c>
      <c r="AP133" s="138"/>
      <c r="AQ133" s="138"/>
      <c r="AR133" s="138" t="s">
        <v>471</v>
      </c>
      <c r="AS133" s="138" t="s">
        <v>922</v>
      </c>
      <c r="AT133" s="138" t="s">
        <v>768</v>
      </c>
      <c r="AU133" s="142" t="s">
        <v>1215</v>
      </c>
      <c r="AV133" s="143" t="s">
        <v>1237</v>
      </c>
      <c r="AW133" s="142" t="s">
        <v>1418</v>
      </c>
    </row>
    <row r="134" spans="1:49" s="124" customFormat="1" ht="14.4" customHeight="1" x14ac:dyDescent="0.3">
      <c r="A134" s="121"/>
      <c r="B134" s="121"/>
      <c r="C134" s="121"/>
      <c r="D134" s="123"/>
      <c r="E134" s="123"/>
      <c r="F134" s="117"/>
      <c r="G134" s="99"/>
      <c r="H134" s="99"/>
      <c r="I134" s="99"/>
      <c r="J134" s="156">
        <v>43830</v>
      </c>
      <c r="K134" s="145"/>
      <c r="L134" s="146"/>
      <c r="M134" s="154">
        <v>43770</v>
      </c>
      <c r="N134" s="133">
        <v>43983</v>
      </c>
      <c r="O134" s="148"/>
      <c r="P134" s="149" t="s">
        <v>596</v>
      </c>
      <c r="Q134" s="150"/>
      <c r="R134" s="57">
        <v>43794</v>
      </c>
      <c r="S134" s="57" t="s">
        <v>30</v>
      </c>
      <c r="T134" s="57" t="s">
        <v>30</v>
      </c>
      <c r="U134" s="34" t="s">
        <v>30</v>
      </c>
      <c r="V134" s="57">
        <v>43860</v>
      </c>
      <c r="W134" s="57">
        <v>43889</v>
      </c>
      <c r="X134" s="163">
        <v>43777</v>
      </c>
      <c r="Y134" s="137">
        <f t="shared" si="60"/>
        <v>44159</v>
      </c>
      <c r="Z134" s="57" t="str">
        <f t="shared" ref="Z134:Z165" si="61">IF(S134="NC","NC",IF(S134="","erreur",S134+181))</f>
        <v>NC</v>
      </c>
      <c r="AA134" s="57" t="str">
        <f t="shared" ref="AA134:AA165" si="62">IF(T134="NC","NC",IF(T134="","erreur",T134+365))</f>
        <v>NC</v>
      </c>
      <c r="AB134" s="57" t="str">
        <f t="shared" ref="AB134:AB165" si="63">IF(U134="NC","NC",IF(U134="","erreur",U134+3650))</f>
        <v>NC</v>
      </c>
      <c r="AC134" s="57">
        <f t="shared" ref="AC134:AC165" si="64">IF(V134="NC","NC",IF(V134="","erreur",V134+365))</f>
        <v>44225</v>
      </c>
      <c r="AD134" s="57">
        <f t="shared" ref="AD134:AD165" si="65">IF(W134="NC","NC",IF(W134="","erreur",W134+365))</f>
        <v>44254</v>
      </c>
      <c r="AE134" s="57">
        <f t="shared" ref="AE134:AE165" si="66">IF(X134="NC","NC",IF(X134="","erreur",X134+730))</f>
        <v>44507</v>
      </c>
      <c r="AG134" s="123">
        <f t="shared" ref="AG134:AG165" ca="1" si="67">IF(Y134="NC","NC",IF(Y134="erreur","erreur",Y134-$F$3))</f>
        <v>-1428</v>
      </c>
      <c r="AH134" s="123" t="str">
        <f t="shared" ref="AH134:AH165" si="68">IF(Z134="NC","NC",IF(Z134="erreur","erreur",Z134-$F$3))</f>
        <v>NC</v>
      </c>
      <c r="AI134" s="123" t="str">
        <f t="shared" ref="AI134:AI165" si="69">IF(AA134="NC","NC",IF(AA134="erreur","erreur",AA134-$F$3))</f>
        <v>NC</v>
      </c>
      <c r="AJ134" s="123" t="str">
        <f t="shared" ref="AJ134:AJ165" si="70">IF(AB134="NC","NC",IF(AB134="erreur","erreur",AB134-$F$3))</f>
        <v>NC</v>
      </c>
      <c r="AK134" s="123">
        <f t="shared" ref="AK134:AK165" ca="1" si="71">IF(AC134="NC","NC",IF(AC134="erreur","erreur",AC134-$F$3))</f>
        <v>-1362</v>
      </c>
      <c r="AL134" s="123">
        <f t="shared" ref="AL134:AL165" ca="1" si="72">IF(AD134="NC","NC",IF(AD134="erreur","erreur",AD134-$F$3))</f>
        <v>-1333</v>
      </c>
      <c r="AM134" s="123">
        <f t="shared" ref="AM134:AM165" ca="1" si="73">IF(AE134="NC","NC",IF(AE134="erreur","erreur",AE134-$F$3))</f>
        <v>-1080</v>
      </c>
      <c r="AN134" s="138"/>
      <c r="AO134" s="151" t="e">
        <f t="shared" ref="AO134:AO170" si="74">K134*($AO$3-L134)/$K$4</f>
        <v>#DIV/0!</v>
      </c>
      <c r="AP134" s="152"/>
      <c r="AR134" s="124" t="s">
        <v>470</v>
      </c>
      <c r="AS134" s="141" t="s">
        <v>643</v>
      </c>
      <c r="AU134" s="143" t="s">
        <v>1211</v>
      </c>
      <c r="AV134" s="143" t="s">
        <v>1240</v>
      </c>
      <c r="AW134" s="143" t="s">
        <v>1425</v>
      </c>
    </row>
    <row r="135" spans="1:49" s="124" customFormat="1" ht="14.4" customHeight="1" x14ac:dyDescent="0.3">
      <c r="A135" s="117"/>
      <c r="B135" s="117"/>
      <c r="C135" s="121"/>
      <c r="D135" s="116"/>
      <c r="E135" s="116"/>
      <c r="F135" s="117"/>
      <c r="G135" s="99"/>
      <c r="H135" s="99"/>
      <c r="I135" s="99"/>
      <c r="J135" s="144">
        <v>43830</v>
      </c>
      <c r="K135" s="134"/>
      <c r="L135" s="131"/>
      <c r="M135" s="154">
        <v>44835</v>
      </c>
      <c r="N135" s="133">
        <v>43952</v>
      </c>
      <c r="O135" s="134"/>
      <c r="P135" s="149" t="s">
        <v>596</v>
      </c>
      <c r="Q135" s="136"/>
      <c r="R135" s="57">
        <v>43720</v>
      </c>
      <c r="S135" s="57" t="s">
        <v>30</v>
      </c>
      <c r="T135" s="57" t="s">
        <v>30</v>
      </c>
      <c r="U135" s="34" t="s">
        <v>30</v>
      </c>
      <c r="V135" s="57">
        <v>43621</v>
      </c>
      <c r="W135" s="57">
        <v>43889</v>
      </c>
      <c r="X135" s="163">
        <v>43621</v>
      </c>
      <c r="Y135" s="137">
        <f t="shared" si="60"/>
        <v>44085</v>
      </c>
      <c r="Z135" s="57" t="str">
        <f t="shared" si="61"/>
        <v>NC</v>
      </c>
      <c r="AA135" s="57" t="str">
        <f t="shared" si="62"/>
        <v>NC</v>
      </c>
      <c r="AB135" s="57" t="str">
        <f t="shared" si="63"/>
        <v>NC</v>
      </c>
      <c r="AC135" s="57">
        <f t="shared" si="64"/>
        <v>43986</v>
      </c>
      <c r="AD135" s="57">
        <f t="shared" si="65"/>
        <v>44254</v>
      </c>
      <c r="AE135" s="57">
        <f t="shared" si="66"/>
        <v>44351</v>
      </c>
      <c r="AG135" s="123">
        <f t="shared" ca="1" si="67"/>
        <v>-1502</v>
      </c>
      <c r="AH135" s="123" t="str">
        <f t="shared" si="68"/>
        <v>NC</v>
      </c>
      <c r="AI135" s="123" t="str">
        <f t="shared" si="69"/>
        <v>NC</v>
      </c>
      <c r="AJ135" s="123" t="str">
        <f t="shared" si="70"/>
        <v>NC</v>
      </c>
      <c r="AK135" s="123">
        <f t="shared" ca="1" si="71"/>
        <v>-1601</v>
      </c>
      <c r="AL135" s="123">
        <f t="shared" ca="1" si="72"/>
        <v>-1333</v>
      </c>
      <c r="AM135" s="123">
        <f t="shared" ca="1" si="73"/>
        <v>-1236</v>
      </c>
      <c r="AN135" s="138"/>
      <c r="AO135" s="151" t="e">
        <f t="shared" si="74"/>
        <v>#DIV/0!</v>
      </c>
      <c r="AP135" s="152"/>
      <c r="AQ135" s="124" t="s">
        <v>395</v>
      </c>
      <c r="AR135" s="138" t="s">
        <v>473</v>
      </c>
      <c r="AS135" s="141" t="s">
        <v>643</v>
      </c>
      <c r="AU135" s="143" t="s">
        <v>1215</v>
      </c>
      <c r="AV135" s="143" t="s">
        <v>1238</v>
      </c>
      <c r="AW135" s="143" t="s">
        <v>1242</v>
      </c>
    </row>
    <row r="136" spans="1:49" s="124" customFormat="1" ht="14.4" customHeight="1" x14ac:dyDescent="0.3">
      <c r="A136" s="117"/>
      <c r="B136" s="117"/>
      <c r="C136" s="121"/>
      <c r="D136" s="116"/>
      <c r="E136" s="116"/>
      <c r="F136" s="117"/>
      <c r="G136" s="99"/>
      <c r="H136" s="99"/>
      <c r="I136" s="99"/>
      <c r="J136" s="144">
        <v>43830</v>
      </c>
      <c r="K136" s="134"/>
      <c r="L136" s="131"/>
      <c r="M136" s="154">
        <v>44896</v>
      </c>
      <c r="N136" s="133">
        <v>43952</v>
      </c>
      <c r="O136" s="134"/>
      <c r="P136" s="149" t="s">
        <v>596</v>
      </c>
      <c r="Q136" s="136"/>
      <c r="R136" s="57">
        <v>43763</v>
      </c>
      <c r="S136" s="57" t="s">
        <v>30</v>
      </c>
      <c r="T136" s="57" t="s">
        <v>30</v>
      </c>
      <c r="U136" s="34" t="s">
        <v>30</v>
      </c>
      <c r="V136" s="57">
        <v>43621</v>
      </c>
      <c r="W136" s="57">
        <v>43889</v>
      </c>
      <c r="X136" s="163">
        <v>43621</v>
      </c>
      <c r="Y136" s="137">
        <f t="shared" si="60"/>
        <v>44128</v>
      </c>
      <c r="Z136" s="57" t="str">
        <f t="shared" si="61"/>
        <v>NC</v>
      </c>
      <c r="AA136" s="57" t="str">
        <f t="shared" si="62"/>
        <v>NC</v>
      </c>
      <c r="AB136" s="57" t="str">
        <f t="shared" si="63"/>
        <v>NC</v>
      </c>
      <c r="AC136" s="57">
        <f t="shared" si="64"/>
        <v>43986</v>
      </c>
      <c r="AD136" s="57">
        <f t="shared" si="65"/>
        <v>44254</v>
      </c>
      <c r="AE136" s="57">
        <f t="shared" si="66"/>
        <v>44351</v>
      </c>
      <c r="AG136" s="123">
        <f t="shared" ca="1" si="67"/>
        <v>-1459</v>
      </c>
      <c r="AH136" s="123" t="str">
        <f t="shared" si="68"/>
        <v>NC</v>
      </c>
      <c r="AI136" s="123" t="str">
        <f t="shared" si="69"/>
        <v>NC</v>
      </c>
      <c r="AJ136" s="123" t="str">
        <f t="shared" si="70"/>
        <v>NC</v>
      </c>
      <c r="AK136" s="123">
        <f t="shared" ca="1" si="71"/>
        <v>-1601</v>
      </c>
      <c r="AL136" s="123">
        <f t="shared" ca="1" si="72"/>
        <v>-1333</v>
      </c>
      <c r="AM136" s="123">
        <f t="shared" ca="1" si="73"/>
        <v>-1236</v>
      </c>
      <c r="AN136" s="138"/>
      <c r="AO136" s="151" t="e">
        <f t="shared" si="74"/>
        <v>#DIV/0!</v>
      </c>
      <c r="AP136" s="152"/>
      <c r="AQ136" s="124" t="s">
        <v>395</v>
      </c>
      <c r="AR136" s="138" t="s">
        <v>473</v>
      </c>
      <c r="AS136" s="141" t="s">
        <v>643</v>
      </c>
      <c r="AT136" s="138"/>
      <c r="AU136" s="142" t="s">
        <v>1215</v>
      </c>
      <c r="AV136" s="143" t="s">
        <v>1238</v>
      </c>
      <c r="AW136" s="143" t="s">
        <v>1242</v>
      </c>
    </row>
    <row r="137" spans="1:49" s="124" customFormat="1" ht="14.4" customHeight="1" x14ac:dyDescent="0.3">
      <c r="A137" s="116"/>
      <c r="B137" s="116"/>
      <c r="C137" s="117"/>
      <c r="D137" s="116"/>
      <c r="E137" s="116"/>
      <c r="F137" s="117"/>
      <c r="G137" s="120"/>
      <c r="H137" s="120"/>
      <c r="I137" s="120"/>
      <c r="J137" s="156">
        <v>43830</v>
      </c>
      <c r="K137" s="134"/>
      <c r="L137" s="120"/>
      <c r="M137" s="132"/>
      <c r="N137" s="158">
        <v>43952</v>
      </c>
      <c r="O137" s="116"/>
      <c r="P137" s="135" t="s">
        <v>596</v>
      </c>
      <c r="Q137" s="116"/>
      <c r="R137" s="57"/>
      <c r="S137" s="57" t="s">
        <v>30</v>
      </c>
      <c r="T137" s="57" t="s">
        <v>30</v>
      </c>
      <c r="U137" s="34" t="s">
        <v>30</v>
      </c>
      <c r="V137" s="57"/>
      <c r="W137" s="57"/>
      <c r="X137" s="34"/>
      <c r="Y137" s="137" t="str">
        <f t="shared" si="60"/>
        <v>erreur</v>
      </c>
      <c r="Z137" s="57" t="str">
        <f t="shared" si="61"/>
        <v>NC</v>
      </c>
      <c r="AA137" s="57" t="str">
        <f t="shared" si="62"/>
        <v>NC</v>
      </c>
      <c r="AB137" s="57" t="str">
        <f t="shared" si="63"/>
        <v>NC</v>
      </c>
      <c r="AC137" s="57" t="str">
        <f t="shared" si="64"/>
        <v>erreur</v>
      </c>
      <c r="AD137" s="57" t="str">
        <f t="shared" si="65"/>
        <v>erreur</v>
      </c>
      <c r="AE137" s="57" t="str">
        <f t="shared" si="66"/>
        <v>erreur</v>
      </c>
      <c r="AF137" s="138"/>
      <c r="AG137" s="123" t="str">
        <f t="shared" si="67"/>
        <v>erreur</v>
      </c>
      <c r="AH137" s="123" t="str">
        <f t="shared" si="68"/>
        <v>NC</v>
      </c>
      <c r="AI137" s="123" t="str">
        <f t="shared" si="69"/>
        <v>NC</v>
      </c>
      <c r="AJ137" s="123" t="str">
        <f t="shared" si="70"/>
        <v>NC</v>
      </c>
      <c r="AK137" s="123" t="str">
        <f t="shared" si="71"/>
        <v>erreur</v>
      </c>
      <c r="AL137" s="123" t="str">
        <f t="shared" si="72"/>
        <v>erreur</v>
      </c>
      <c r="AM137" s="123" t="str">
        <f t="shared" si="73"/>
        <v>erreur</v>
      </c>
      <c r="AN137" s="138"/>
      <c r="AO137" s="151" t="e">
        <f t="shared" si="74"/>
        <v>#DIV/0!</v>
      </c>
      <c r="AP137" s="138"/>
      <c r="AQ137" s="138"/>
      <c r="AR137" s="138" t="s">
        <v>470</v>
      </c>
      <c r="AS137" s="141" t="s">
        <v>643</v>
      </c>
      <c r="AU137" s="143" t="s">
        <v>1243</v>
      </c>
      <c r="AV137" s="143" t="s">
        <v>1244</v>
      </c>
      <c r="AW137" s="143" t="s">
        <v>1245</v>
      </c>
    </row>
    <row r="138" spans="1:49" s="124" customFormat="1" ht="14.4" customHeight="1" x14ac:dyDescent="0.3">
      <c r="A138" s="125"/>
      <c r="B138" s="117"/>
      <c r="C138" s="121"/>
      <c r="D138" s="116"/>
      <c r="E138" s="116"/>
      <c r="F138" s="117"/>
      <c r="G138" s="99"/>
      <c r="H138" s="99"/>
      <c r="I138" s="99"/>
      <c r="J138" s="144">
        <v>43830</v>
      </c>
      <c r="K138" s="153"/>
      <c r="L138" s="146"/>
      <c r="M138" s="154">
        <v>44652</v>
      </c>
      <c r="N138" s="133">
        <v>43831</v>
      </c>
      <c r="O138" s="148"/>
      <c r="P138" s="149" t="s">
        <v>596</v>
      </c>
      <c r="Q138" s="150">
        <v>5086</v>
      </c>
      <c r="R138" s="57">
        <v>43893</v>
      </c>
      <c r="S138" s="57" t="s">
        <v>30</v>
      </c>
      <c r="T138" s="57" t="s">
        <v>30</v>
      </c>
      <c r="U138" s="34" t="s">
        <v>30</v>
      </c>
      <c r="V138" s="57">
        <v>43860</v>
      </c>
      <c r="W138" s="57">
        <v>43889</v>
      </c>
      <c r="X138" s="163" t="s">
        <v>1515</v>
      </c>
      <c r="Y138" s="137">
        <f t="shared" si="60"/>
        <v>44258</v>
      </c>
      <c r="Z138" s="57" t="str">
        <f t="shared" si="61"/>
        <v>NC</v>
      </c>
      <c r="AA138" s="57" t="str">
        <f t="shared" si="62"/>
        <v>NC</v>
      </c>
      <c r="AB138" s="57" t="str">
        <f t="shared" si="63"/>
        <v>NC</v>
      </c>
      <c r="AC138" s="57">
        <f t="shared" si="64"/>
        <v>44225</v>
      </c>
      <c r="AD138" s="57">
        <f t="shared" si="65"/>
        <v>44254</v>
      </c>
      <c r="AE138" s="57" t="e">
        <f t="shared" si="66"/>
        <v>#VALUE!</v>
      </c>
      <c r="AG138" s="123">
        <f t="shared" ca="1" si="67"/>
        <v>-1329</v>
      </c>
      <c r="AH138" s="123" t="str">
        <f t="shared" si="68"/>
        <v>NC</v>
      </c>
      <c r="AI138" s="123" t="str">
        <f t="shared" si="69"/>
        <v>NC</v>
      </c>
      <c r="AJ138" s="123" t="str">
        <f t="shared" si="70"/>
        <v>NC</v>
      </c>
      <c r="AK138" s="123">
        <f t="shared" ca="1" si="71"/>
        <v>-1362</v>
      </c>
      <c r="AL138" s="123">
        <f t="shared" ca="1" si="72"/>
        <v>-1333</v>
      </c>
      <c r="AM138" s="123" t="e">
        <f t="shared" si="73"/>
        <v>#VALUE!</v>
      </c>
      <c r="AN138" s="138"/>
      <c r="AO138" s="151" t="e">
        <f t="shared" si="74"/>
        <v>#DIV/0!</v>
      </c>
      <c r="AP138" s="152"/>
      <c r="AR138" s="124" t="s">
        <v>470</v>
      </c>
      <c r="AS138" s="141" t="s">
        <v>643</v>
      </c>
      <c r="AU138" s="143" t="s">
        <v>1243</v>
      </c>
      <c r="AV138" s="143" t="s">
        <v>1246</v>
      </c>
      <c r="AW138" s="143" t="s">
        <v>1245</v>
      </c>
    </row>
    <row r="139" spans="1:49" s="124" customFormat="1" ht="14.4" customHeight="1" x14ac:dyDescent="0.3">
      <c r="A139" s="125"/>
      <c r="B139" s="117"/>
      <c r="C139" s="121"/>
      <c r="D139" s="116"/>
      <c r="E139" s="116"/>
      <c r="F139" s="117"/>
      <c r="G139" s="99"/>
      <c r="H139" s="99"/>
      <c r="I139" s="99"/>
      <c r="J139" s="144">
        <v>43830</v>
      </c>
      <c r="K139" s="153"/>
      <c r="L139" s="146"/>
      <c r="M139" s="154">
        <v>44652</v>
      </c>
      <c r="N139" s="133">
        <v>43831</v>
      </c>
      <c r="O139" s="148"/>
      <c r="P139" s="149" t="s">
        <v>596</v>
      </c>
      <c r="Q139" s="150">
        <v>4933</v>
      </c>
      <c r="R139" s="57">
        <v>43893</v>
      </c>
      <c r="S139" s="57" t="s">
        <v>30</v>
      </c>
      <c r="T139" s="57" t="s">
        <v>30</v>
      </c>
      <c r="U139" s="34" t="s">
        <v>30</v>
      </c>
      <c r="V139" s="57">
        <v>43860</v>
      </c>
      <c r="W139" s="57">
        <v>43889</v>
      </c>
      <c r="X139" s="163">
        <v>43185</v>
      </c>
      <c r="Y139" s="137">
        <f t="shared" si="60"/>
        <v>44258</v>
      </c>
      <c r="Z139" s="57" t="str">
        <f t="shared" si="61"/>
        <v>NC</v>
      </c>
      <c r="AA139" s="57" t="str">
        <f t="shared" si="62"/>
        <v>NC</v>
      </c>
      <c r="AB139" s="57" t="str">
        <f t="shared" si="63"/>
        <v>NC</v>
      </c>
      <c r="AC139" s="57">
        <f t="shared" si="64"/>
        <v>44225</v>
      </c>
      <c r="AD139" s="57">
        <f t="shared" si="65"/>
        <v>44254</v>
      </c>
      <c r="AE139" s="57">
        <f t="shared" si="66"/>
        <v>43915</v>
      </c>
      <c r="AG139" s="123">
        <f t="shared" ca="1" si="67"/>
        <v>-1329</v>
      </c>
      <c r="AH139" s="123" t="str">
        <f t="shared" si="68"/>
        <v>NC</v>
      </c>
      <c r="AI139" s="123" t="str">
        <f t="shared" si="69"/>
        <v>NC</v>
      </c>
      <c r="AJ139" s="123" t="str">
        <f t="shared" si="70"/>
        <v>NC</v>
      </c>
      <c r="AK139" s="123">
        <f t="shared" ca="1" si="71"/>
        <v>-1362</v>
      </c>
      <c r="AL139" s="123">
        <f t="shared" ca="1" si="72"/>
        <v>-1333</v>
      </c>
      <c r="AM139" s="123">
        <f t="shared" ca="1" si="73"/>
        <v>-1672</v>
      </c>
      <c r="AN139" s="138"/>
      <c r="AO139" s="151" t="e">
        <f t="shared" si="74"/>
        <v>#DIV/0!</v>
      </c>
      <c r="AP139" s="152"/>
      <c r="AR139" s="124" t="s">
        <v>470</v>
      </c>
      <c r="AS139" s="141" t="s">
        <v>643</v>
      </c>
      <c r="AU139" s="143" t="s">
        <v>1243</v>
      </c>
      <c r="AV139" s="143" t="s">
        <v>1246</v>
      </c>
      <c r="AW139" s="143" t="s">
        <v>1245</v>
      </c>
    </row>
    <row r="140" spans="1:49" s="124" customFormat="1" ht="14.4" customHeight="1" x14ac:dyDescent="0.3">
      <c r="A140" s="125"/>
      <c r="B140" s="117"/>
      <c r="C140" s="121"/>
      <c r="D140" s="116"/>
      <c r="E140" s="116"/>
      <c r="F140" s="117"/>
      <c r="G140" s="99"/>
      <c r="H140" s="99"/>
      <c r="I140" s="99"/>
      <c r="J140" s="144">
        <v>43830</v>
      </c>
      <c r="K140" s="153"/>
      <c r="L140" s="146"/>
      <c r="M140" s="154">
        <v>44652</v>
      </c>
      <c r="N140" s="133">
        <v>43952</v>
      </c>
      <c r="O140" s="148"/>
      <c r="P140" s="149" t="s">
        <v>596</v>
      </c>
      <c r="Q140" s="150">
        <v>5041</v>
      </c>
      <c r="R140" s="57">
        <v>43893</v>
      </c>
      <c r="S140" s="57" t="s">
        <v>30</v>
      </c>
      <c r="T140" s="57" t="s">
        <v>30</v>
      </c>
      <c r="U140" s="34" t="s">
        <v>30</v>
      </c>
      <c r="V140" s="57">
        <v>43860</v>
      </c>
      <c r="W140" s="57">
        <v>43889</v>
      </c>
      <c r="X140" s="163">
        <v>43185</v>
      </c>
      <c r="Y140" s="137">
        <f t="shared" si="60"/>
        <v>44258</v>
      </c>
      <c r="Z140" s="57" t="str">
        <f t="shared" si="61"/>
        <v>NC</v>
      </c>
      <c r="AA140" s="57" t="str">
        <f t="shared" si="62"/>
        <v>NC</v>
      </c>
      <c r="AB140" s="57" t="str">
        <f t="shared" si="63"/>
        <v>NC</v>
      </c>
      <c r="AC140" s="57">
        <f t="shared" si="64"/>
        <v>44225</v>
      </c>
      <c r="AD140" s="57">
        <f t="shared" si="65"/>
        <v>44254</v>
      </c>
      <c r="AE140" s="57">
        <f t="shared" si="66"/>
        <v>43915</v>
      </c>
      <c r="AG140" s="123">
        <f t="shared" ca="1" si="67"/>
        <v>-1329</v>
      </c>
      <c r="AH140" s="123" t="str">
        <f t="shared" si="68"/>
        <v>NC</v>
      </c>
      <c r="AI140" s="123" t="str">
        <f t="shared" si="69"/>
        <v>NC</v>
      </c>
      <c r="AJ140" s="123" t="str">
        <f t="shared" si="70"/>
        <v>NC</v>
      </c>
      <c r="AK140" s="123">
        <f t="shared" ca="1" si="71"/>
        <v>-1362</v>
      </c>
      <c r="AL140" s="123">
        <f t="shared" ca="1" si="72"/>
        <v>-1333</v>
      </c>
      <c r="AM140" s="123">
        <f t="shared" ca="1" si="73"/>
        <v>-1672</v>
      </c>
      <c r="AN140" s="138"/>
      <c r="AO140" s="151" t="e">
        <f t="shared" si="74"/>
        <v>#DIV/0!</v>
      </c>
      <c r="AP140" s="152"/>
      <c r="AR140" s="124" t="s">
        <v>470</v>
      </c>
      <c r="AS140" s="141" t="s">
        <v>643</v>
      </c>
      <c r="AU140" s="143" t="s">
        <v>1243</v>
      </c>
      <c r="AV140" s="143" t="s">
        <v>1246</v>
      </c>
      <c r="AW140" s="143" t="s">
        <v>1245</v>
      </c>
    </row>
    <row r="141" spans="1:49" s="124" customFormat="1" ht="14.4" customHeight="1" x14ac:dyDescent="0.3">
      <c r="A141" s="121"/>
      <c r="B141" s="117"/>
      <c r="C141" s="121"/>
      <c r="D141" s="123"/>
      <c r="E141" s="123"/>
      <c r="F141" s="117"/>
      <c r="G141" s="120"/>
      <c r="H141" s="120"/>
      <c r="I141" s="120"/>
      <c r="J141" s="156">
        <v>43830</v>
      </c>
      <c r="K141" s="145"/>
      <c r="L141" s="146"/>
      <c r="M141" s="154">
        <v>44652</v>
      </c>
      <c r="N141" s="133">
        <v>43952</v>
      </c>
      <c r="O141" s="148"/>
      <c r="P141" s="149" t="s">
        <v>596</v>
      </c>
      <c r="Q141" s="150">
        <v>430</v>
      </c>
      <c r="R141" s="57">
        <v>43678</v>
      </c>
      <c r="S141" s="57" t="s">
        <v>30</v>
      </c>
      <c r="T141" s="57" t="s">
        <v>30</v>
      </c>
      <c r="U141" s="34" t="s">
        <v>30</v>
      </c>
      <c r="V141" s="57">
        <v>43836</v>
      </c>
      <c r="W141" s="57">
        <v>43889</v>
      </c>
      <c r="X141" s="163">
        <v>43325</v>
      </c>
      <c r="Y141" s="137">
        <f t="shared" si="60"/>
        <v>44043</v>
      </c>
      <c r="Z141" s="57" t="str">
        <f t="shared" si="61"/>
        <v>NC</v>
      </c>
      <c r="AA141" s="57" t="str">
        <f t="shared" si="62"/>
        <v>NC</v>
      </c>
      <c r="AB141" s="57" t="str">
        <f t="shared" si="63"/>
        <v>NC</v>
      </c>
      <c r="AC141" s="57">
        <f t="shared" si="64"/>
        <v>44201</v>
      </c>
      <c r="AD141" s="57">
        <f t="shared" si="65"/>
        <v>44254</v>
      </c>
      <c r="AE141" s="57">
        <f t="shared" si="66"/>
        <v>44055</v>
      </c>
      <c r="AG141" s="123">
        <f t="shared" ca="1" si="67"/>
        <v>-1544</v>
      </c>
      <c r="AH141" s="123" t="str">
        <f t="shared" si="68"/>
        <v>NC</v>
      </c>
      <c r="AI141" s="123" t="str">
        <f t="shared" si="69"/>
        <v>NC</v>
      </c>
      <c r="AJ141" s="123" t="str">
        <f t="shared" si="70"/>
        <v>NC</v>
      </c>
      <c r="AK141" s="123">
        <f t="shared" ca="1" si="71"/>
        <v>-1386</v>
      </c>
      <c r="AL141" s="123">
        <f t="shared" ca="1" si="72"/>
        <v>-1333</v>
      </c>
      <c r="AM141" s="123">
        <f t="shared" ca="1" si="73"/>
        <v>-1532</v>
      </c>
      <c r="AN141" s="138"/>
      <c r="AO141" s="151" t="e">
        <f t="shared" si="74"/>
        <v>#DIV/0!</v>
      </c>
      <c r="AP141" s="152"/>
      <c r="AR141" s="124" t="s">
        <v>470</v>
      </c>
      <c r="AS141" s="141" t="s">
        <v>643</v>
      </c>
      <c r="AU141" s="143" t="s">
        <v>1243</v>
      </c>
      <c r="AV141" s="143" t="s">
        <v>1246</v>
      </c>
      <c r="AW141" s="143" t="s">
        <v>1245</v>
      </c>
    </row>
    <row r="142" spans="1:49" s="138" customFormat="1" ht="14.4" customHeight="1" x14ac:dyDescent="0.3">
      <c r="A142" s="121"/>
      <c r="B142" s="117"/>
      <c r="C142" s="121"/>
      <c r="D142" s="123"/>
      <c r="E142" s="123"/>
      <c r="F142" s="117"/>
      <c r="G142" s="120"/>
      <c r="H142" s="167"/>
      <c r="I142" s="167"/>
      <c r="J142" s="164">
        <v>43830</v>
      </c>
      <c r="K142" s="153"/>
      <c r="L142" s="146"/>
      <c r="M142" s="154">
        <v>43983</v>
      </c>
      <c r="N142" s="133">
        <v>43952</v>
      </c>
      <c r="O142" s="148"/>
      <c r="P142" s="149" t="s">
        <v>596</v>
      </c>
      <c r="Q142" s="150">
        <v>4844</v>
      </c>
      <c r="R142" s="57">
        <v>43847</v>
      </c>
      <c r="S142" s="57" t="s">
        <v>30</v>
      </c>
      <c r="T142" s="57" t="s">
        <v>30</v>
      </c>
      <c r="U142" s="34" t="s">
        <v>30</v>
      </c>
      <c r="V142" s="57">
        <v>43860</v>
      </c>
      <c r="W142" s="57">
        <v>43889</v>
      </c>
      <c r="X142" s="163">
        <v>43503</v>
      </c>
      <c r="Y142" s="137">
        <f t="shared" si="60"/>
        <v>44212</v>
      </c>
      <c r="Z142" s="57" t="str">
        <f t="shared" si="61"/>
        <v>NC</v>
      </c>
      <c r="AA142" s="57" t="str">
        <f t="shared" si="62"/>
        <v>NC</v>
      </c>
      <c r="AB142" s="57" t="str">
        <f t="shared" si="63"/>
        <v>NC</v>
      </c>
      <c r="AC142" s="57">
        <f t="shared" si="64"/>
        <v>44225</v>
      </c>
      <c r="AD142" s="57">
        <f t="shared" si="65"/>
        <v>44254</v>
      </c>
      <c r="AE142" s="57">
        <f t="shared" si="66"/>
        <v>44233</v>
      </c>
      <c r="AF142" s="124"/>
      <c r="AG142" s="123">
        <f t="shared" ca="1" si="67"/>
        <v>-1375</v>
      </c>
      <c r="AH142" s="123" t="str">
        <f t="shared" si="68"/>
        <v>NC</v>
      </c>
      <c r="AI142" s="123" t="str">
        <f t="shared" si="69"/>
        <v>NC</v>
      </c>
      <c r="AJ142" s="123" t="str">
        <f t="shared" si="70"/>
        <v>NC</v>
      </c>
      <c r="AK142" s="123">
        <f t="shared" ca="1" si="71"/>
        <v>-1362</v>
      </c>
      <c r="AL142" s="123">
        <f t="shared" ca="1" si="72"/>
        <v>-1333</v>
      </c>
      <c r="AM142" s="123">
        <f t="shared" ca="1" si="73"/>
        <v>-1354</v>
      </c>
      <c r="AO142" s="151" t="e">
        <f t="shared" si="74"/>
        <v>#DIV/0!</v>
      </c>
      <c r="AP142" s="152"/>
      <c r="AQ142" s="124"/>
      <c r="AR142" s="124" t="s">
        <v>470</v>
      </c>
      <c r="AS142" s="141" t="s">
        <v>643</v>
      </c>
      <c r="AT142" s="124"/>
      <c r="AU142" s="143" t="s">
        <v>1243</v>
      </c>
      <c r="AV142" s="143" t="s">
        <v>1246</v>
      </c>
      <c r="AW142" s="143" t="s">
        <v>1245</v>
      </c>
    </row>
    <row r="143" spans="1:49" s="124" customFormat="1" ht="14.4" customHeight="1" x14ac:dyDescent="0.3">
      <c r="A143" s="121"/>
      <c r="B143" s="117"/>
      <c r="C143" s="121"/>
      <c r="D143" s="123"/>
      <c r="E143" s="123"/>
      <c r="F143" s="117"/>
      <c r="G143" s="120"/>
      <c r="H143" s="120"/>
      <c r="I143" s="120"/>
      <c r="J143" s="156">
        <v>43830</v>
      </c>
      <c r="K143" s="153"/>
      <c r="L143" s="146"/>
      <c r="M143" s="154">
        <v>43983</v>
      </c>
      <c r="N143" s="133">
        <v>43952</v>
      </c>
      <c r="O143" s="148"/>
      <c r="P143" s="149" t="s">
        <v>596</v>
      </c>
      <c r="Q143" s="150">
        <v>4913</v>
      </c>
      <c r="R143" s="57">
        <v>43847</v>
      </c>
      <c r="S143" s="57" t="s">
        <v>30</v>
      </c>
      <c r="T143" s="57" t="s">
        <v>30</v>
      </c>
      <c r="U143" s="34" t="s">
        <v>30</v>
      </c>
      <c r="V143" s="57">
        <v>43860</v>
      </c>
      <c r="W143" s="57">
        <v>43889</v>
      </c>
      <c r="X143" s="163">
        <v>43503</v>
      </c>
      <c r="Y143" s="137">
        <f t="shared" si="60"/>
        <v>44212</v>
      </c>
      <c r="Z143" s="57" t="str">
        <f t="shared" si="61"/>
        <v>NC</v>
      </c>
      <c r="AA143" s="57" t="str">
        <f t="shared" si="62"/>
        <v>NC</v>
      </c>
      <c r="AB143" s="57" t="str">
        <f t="shared" si="63"/>
        <v>NC</v>
      </c>
      <c r="AC143" s="57">
        <f t="shared" si="64"/>
        <v>44225</v>
      </c>
      <c r="AD143" s="57">
        <f t="shared" si="65"/>
        <v>44254</v>
      </c>
      <c r="AE143" s="57">
        <f t="shared" si="66"/>
        <v>44233</v>
      </c>
      <c r="AG143" s="123">
        <f t="shared" ca="1" si="67"/>
        <v>-1375</v>
      </c>
      <c r="AH143" s="123" t="str">
        <f t="shared" si="68"/>
        <v>NC</v>
      </c>
      <c r="AI143" s="123" t="str">
        <f t="shared" si="69"/>
        <v>NC</v>
      </c>
      <c r="AJ143" s="123" t="str">
        <f t="shared" si="70"/>
        <v>NC</v>
      </c>
      <c r="AK143" s="123">
        <f t="shared" ca="1" si="71"/>
        <v>-1362</v>
      </c>
      <c r="AL143" s="123">
        <f t="shared" ca="1" si="72"/>
        <v>-1333</v>
      </c>
      <c r="AM143" s="123">
        <f t="shared" ca="1" si="73"/>
        <v>-1354</v>
      </c>
      <c r="AN143" s="138"/>
      <c r="AO143" s="151" t="e">
        <f t="shared" si="74"/>
        <v>#DIV/0!</v>
      </c>
      <c r="AP143" s="152"/>
      <c r="AR143" s="124" t="s">
        <v>470</v>
      </c>
      <c r="AS143" s="141" t="s">
        <v>643</v>
      </c>
      <c r="AU143" s="143" t="s">
        <v>1243</v>
      </c>
      <c r="AV143" s="143" t="s">
        <v>1246</v>
      </c>
      <c r="AW143" s="143" t="s">
        <v>1245</v>
      </c>
    </row>
    <row r="144" spans="1:49" s="124" customFormat="1" ht="14.4" customHeight="1" x14ac:dyDescent="0.3">
      <c r="A144" s="121"/>
      <c r="B144" s="117"/>
      <c r="C144" s="121"/>
      <c r="D144" s="123"/>
      <c r="E144" s="123"/>
      <c r="F144" s="117"/>
      <c r="G144" s="120"/>
      <c r="H144" s="120"/>
      <c r="I144" s="120"/>
      <c r="J144" s="156">
        <v>43830</v>
      </c>
      <c r="K144" s="153"/>
      <c r="L144" s="146"/>
      <c r="M144" s="154">
        <v>44013</v>
      </c>
      <c r="N144" s="133">
        <v>43952</v>
      </c>
      <c r="O144" s="148"/>
      <c r="P144" s="149" t="s">
        <v>596</v>
      </c>
      <c r="Q144" s="150">
        <v>5020</v>
      </c>
      <c r="R144" s="57">
        <v>43847</v>
      </c>
      <c r="S144" s="57" t="s">
        <v>30</v>
      </c>
      <c r="T144" s="57" t="s">
        <v>30</v>
      </c>
      <c r="U144" s="34" t="s">
        <v>30</v>
      </c>
      <c r="V144" s="57">
        <v>43860</v>
      </c>
      <c r="W144" s="57">
        <v>43889</v>
      </c>
      <c r="X144" s="163">
        <v>43503</v>
      </c>
      <c r="Y144" s="137">
        <f t="shared" si="60"/>
        <v>44212</v>
      </c>
      <c r="Z144" s="57" t="str">
        <f t="shared" si="61"/>
        <v>NC</v>
      </c>
      <c r="AA144" s="57" t="str">
        <f t="shared" si="62"/>
        <v>NC</v>
      </c>
      <c r="AB144" s="57" t="str">
        <f t="shared" si="63"/>
        <v>NC</v>
      </c>
      <c r="AC144" s="57">
        <f t="shared" si="64"/>
        <v>44225</v>
      </c>
      <c r="AD144" s="57">
        <f t="shared" si="65"/>
        <v>44254</v>
      </c>
      <c r="AE144" s="57">
        <f t="shared" si="66"/>
        <v>44233</v>
      </c>
      <c r="AG144" s="123">
        <f t="shared" ca="1" si="67"/>
        <v>-1375</v>
      </c>
      <c r="AH144" s="123" t="str">
        <f t="shared" si="68"/>
        <v>NC</v>
      </c>
      <c r="AI144" s="123" t="str">
        <f t="shared" si="69"/>
        <v>NC</v>
      </c>
      <c r="AJ144" s="123" t="str">
        <f t="shared" si="70"/>
        <v>NC</v>
      </c>
      <c r="AK144" s="123">
        <f t="shared" ca="1" si="71"/>
        <v>-1362</v>
      </c>
      <c r="AL144" s="123">
        <f t="shared" ca="1" si="72"/>
        <v>-1333</v>
      </c>
      <c r="AM144" s="123">
        <f t="shared" ca="1" si="73"/>
        <v>-1354</v>
      </c>
      <c r="AN144" s="138"/>
      <c r="AO144" s="151" t="e">
        <f t="shared" si="74"/>
        <v>#DIV/0!</v>
      </c>
      <c r="AP144" s="152"/>
      <c r="AR144" s="124" t="s">
        <v>470</v>
      </c>
      <c r="AS144" s="141" t="s">
        <v>643</v>
      </c>
      <c r="AU144" s="143" t="s">
        <v>1243</v>
      </c>
      <c r="AV144" s="143" t="s">
        <v>1246</v>
      </c>
      <c r="AW144" s="143" t="s">
        <v>1245</v>
      </c>
    </row>
    <row r="145" spans="1:49" s="124" customFormat="1" ht="14.4" customHeight="1" x14ac:dyDescent="0.3">
      <c r="A145" s="121"/>
      <c r="B145" s="117"/>
      <c r="C145" s="121"/>
      <c r="D145" s="165"/>
      <c r="E145" s="165"/>
      <c r="F145" s="117"/>
      <c r="G145" s="120"/>
      <c r="H145" s="120"/>
      <c r="I145" s="120"/>
      <c r="J145" s="156">
        <v>43830</v>
      </c>
      <c r="K145" s="153"/>
      <c r="L145" s="146"/>
      <c r="M145" s="154">
        <v>43983</v>
      </c>
      <c r="N145" s="133">
        <v>43952</v>
      </c>
      <c r="O145" s="148"/>
      <c r="P145" s="149" t="s">
        <v>596</v>
      </c>
      <c r="Q145" s="150">
        <v>4786</v>
      </c>
      <c r="R145" s="57">
        <v>43847</v>
      </c>
      <c r="S145" s="57" t="s">
        <v>30</v>
      </c>
      <c r="T145" s="57" t="s">
        <v>30</v>
      </c>
      <c r="U145" s="34" t="s">
        <v>30</v>
      </c>
      <c r="V145" s="57">
        <v>43860</v>
      </c>
      <c r="W145" s="57">
        <v>43889</v>
      </c>
      <c r="X145" s="163">
        <v>43503</v>
      </c>
      <c r="Y145" s="137">
        <f t="shared" si="60"/>
        <v>44212</v>
      </c>
      <c r="Z145" s="57" t="str">
        <f t="shared" si="61"/>
        <v>NC</v>
      </c>
      <c r="AA145" s="57" t="str">
        <f t="shared" si="62"/>
        <v>NC</v>
      </c>
      <c r="AB145" s="57" t="str">
        <f t="shared" si="63"/>
        <v>NC</v>
      </c>
      <c r="AC145" s="57">
        <f t="shared" si="64"/>
        <v>44225</v>
      </c>
      <c r="AD145" s="57">
        <f t="shared" si="65"/>
        <v>44254</v>
      </c>
      <c r="AE145" s="57">
        <f t="shared" si="66"/>
        <v>44233</v>
      </c>
      <c r="AG145" s="123">
        <f t="shared" ca="1" si="67"/>
        <v>-1375</v>
      </c>
      <c r="AH145" s="123" t="str">
        <f t="shared" si="68"/>
        <v>NC</v>
      </c>
      <c r="AI145" s="123" t="str">
        <f t="shared" si="69"/>
        <v>NC</v>
      </c>
      <c r="AJ145" s="123" t="str">
        <f t="shared" si="70"/>
        <v>NC</v>
      </c>
      <c r="AK145" s="123">
        <f t="shared" ca="1" si="71"/>
        <v>-1362</v>
      </c>
      <c r="AL145" s="123">
        <f t="shared" ca="1" si="72"/>
        <v>-1333</v>
      </c>
      <c r="AM145" s="123">
        <f t="shared" ca="1" si="73"/>
        <v>-1354</v>
      </c>
      <c r="AN145" s="138"/>
      <c r="AO145" s="151" t="e">
        <f t="shared" si="74"/>
        <v>#DIV/0!</v>
      </c>
      <c r="AP145" s="152"/>
      <c r="AR145" s="124" t="s">
        <v>470</v>
      </c>
      <c r="AS145" s="141" t="s">
        <v>643</v>
      </c>
      <c r="AU145" s="143" t="s">
        <v>1243</v>
      </c>
      <c r="AV145" s="143" t="s">
        <v>1246</v>
      </c>
      <c r="AW145" s="143" t="s">
        <v>1245</v>
      </c>
    </row>
    <row r="146" spans="1:49" s="124" customFormat="1" ht="14.4" customHeight="1" x14ac:dyDescent="0.3">
      <c r="A146" s="121"/>
      <c r="B146" s="117"/>
      <c r="C146" s="121"/>
      <c r="D146" s="123"/>
      <c r="E146" s="123"/>
      <c r="F146" s="117"/>
      <c r="G146" s="120"/>
      <c r="H146" s="120"/>
      <c r="I146" s="120"/>
      <c r="J146" s="156">
        <v>43830</v>
      </c>
      <c r="K146" s="153"/>
      <c r="L146" s="146"/>
      <c r="M146" s="154">
        <v>43983</v>
      </c>
      <c r="N146" s="133">
        <v>43952</v>
      </c>
      <c r="O146" s="148"/>
      <c r="P146" s="149" t="s">
        <v>596</v>
      </c>
      <c r="Q146" s="150">
        <v>4811</v>
      </c>
      <c r="R146" s="57">
        <v>43847</v>
      </c>
      <c r="S146" s="57" t="s">
        <v>30</v>
      </c>
      <c r="T146" s="57" t="s">
        <v>30</v>
      </c>
      <c r="U146" s="34" t="s">
        <v>30</v>
      </c>
      <c r="V146" s="57">
        <v>43860</v>
      </c>
      <c r="W146" s="57">
        <v>43889</v>
      </c>
      <c r="X146" s="163">
        <v>43503</v>
      </c>
      <c r="Y146" s="137">
        <f t="shared" ref="Y146:Y177" si="75">IF(R146="NC","NC",IF(R146="","erreur",R146+365))</f>
        <v>44212</v>
      </c>
      <c r="Z146" s="57" t="str">
        <f t="shared" si="61"/>
        <v>NC</v>
      </c>
      <c r="AA146" s="57" t="str">
        <f t="shared" si="62"/>
        <v>NC</v>
      </c>
      <c r="AB146" s="57" t="str">
        <f t="shared" si="63"/>
        <v>NC</v>
      </c>
      <c r="AC146" s="57">
        <f t="shared" si="64"/>
        <v>44225</v>
      </c>
      <c r="AD146" s="57">
        <f t="shared" si="65"/>
        <v>44254</v>
      </c>
      <c r="AE146" s="57">
        <f t="shared" si="66"/>
        <v>44233</v>
      </c>
      <c r="AG146" s="123">
        <f t="shared" ca="1" si="67"/>
        <v>-1375</v>
      </c>
      <c r="AH146" s="123" t="str">
        <f t="shared" si="68"/>
        <v>NC</v>
      </c>
      <c r="AI146" s="123" t="str">
        <f t="shared" si="69"/>
        <v>NC</v>
      </c>
      <c r="AJ146" s="123" t="str">
        <f t="shared" si="70"/>
        <v>NC</v>
      </c>
      <c r="AK146" s="123">
        <f t="shared" ca="1" si="71"/>
        <v>-1362</v>
      </c>
      <c r="AL146" s="123">
        <f t="shared" ca="1" si="72"/>
        <v>-1333</v>
      </c>
      <c r="AM146" s="123">
        <f t="shared" ca="1" si="73"/>
        <v>-1354</v>
      </c>
      <c r="AN146" s="138"/>
      <c r="AO146" s="151" t="e">
        <f t="shared" si="74"/>
        <v>#DIV/0!</v>
      </c>
      <c r="AP146" s="152"/>
      <c r="AR146" s="124" t="s">
        <v>470</v>
      </c>
      <c r="AS146" s="141" t="s">
        <v>643</v>
      </c>
      <c r="AU146" s="143" t="s">
        <v>1243</v>
      </c>
      <c r="AV146" s="143" t="s">
        <v>1246</v>
      </c>
      <c r="AW146" s="143" t="s">
        <v>1245</v>
      </c>
    </row>
    <row r="147" spans="1:49" s="124" customFormat="1" ht="14.4" customHeight="1" x14ac:dyDescent="0.3">
      <c r="A147" s="121"/>
      <c r="B147" s="117"/>
      <c r="C147" s="121"/>
      <c r="D147" s="123"/>
      <c r="E147" s="123"/>
      <c r="F147" s="117"/>
      <c r="G147" s="120"/>
      <c r="H147" s="120"/>
      <c r="I147" s="120"/>
      <c r="J147" s="156">
        <v>43830</v>
      </c>
      <c r="K147" s="153"/>
      <c r="L147" s="146"/>
      <c r="M147" s="154">
        <v>43983</v>
      </c>
      <c r="N147" s="133">
        <v>43952</v>
      </c>
      <c r="O147" s="148"/>
      <c r="P147" s="149" t="s">
        <v>596</v>
      </c>
      <c r="Q147" s="150">
        <v>4905</v>
      </c>
      <c r="R147" s="57">
        <v>43847</v>
      </c>
      <c r="S147" s="57" t="s">
        <v>30</v>
      </c>
      <c r="T147" s="57" t="s">
        <v>30</v>
      </c>
      <c r="U147" s="34" t="s">
        <v>30</v>
      </c>
      <c r="V147" s="57">
        <v>43860</v>
      </c>
      <c r="W147" s="57">
        <v>43889</v>
      </c>
      <c r="X147" s="163">
        <v>43503</v>
      </c>
      <c r="Y147" s="137">
        <f t="shared" si="75"/>
        <v>44212</v>
      </c>
      <c r="Z147" s="57" t="str">
        <f t="shared" si="61"/>
        <v>NC</v>
      </c>
      <c r="AA147" s="57" t="str">
        <f t="shared" si="62"/>
        <v>NC</v>
      </c>
      <c r="AB147" s="57" t="str">
        <f t="shared" si="63"/>
        <v>NC</v>
      </c>
      <c r="AC147" s="57">
        <f t="shared" si="64"/>
        <v>44225</v>
      </c>
      <c r="AD147" s="57">
        <f t="shared" si="65"/>
        <v>44254</v>
      </c>
      <c r="AE147" s="57">
        <f t="shared" si="66"/>
        <v>44233</v>
      </c>
      <c r="AG147" s="123">
        <f t="shared" ca="1" si="67"/>
        <v>-1375</v>
      </c>
      <c r="AH147" s="123" t="str">
        <f t="shared" si="68"/>
        <v>NC</v>
      </c>
      <c r="AI147" s="123" t="str">
        <f t="shared" si="69"/>
        <v>NC</v>
      </c>
      <c r="AJ147" s="123" t="str">
        <f t="shared" si="70"/>
        <v>NC</v>
      </c>
      <c r="AK147" s="123">
        <f t="shared" ca="1" si="71"/>
        <v>-1362</v>
      </c>
      <c r="AL147" s="123">
        <f t="shared" ca="1" si="72"/>
        <v>-1333</v>
      </c>
      <c r="AM147" s="123">
        <f t="shared" ca="1" si="73"/>
        <v>-1354</v>
      </c>
      <c r="AN147" s="138"/>
      <c r="AO147" s="151" t="e">
        <f t="shared" si="74"/>
        <v>#DIV/0!</v>
      </c>
      <c r="AP147" s="152"/>
      <c r="AR147" s="124" t="s">
        <v>470</v>
      </c>
      <c r="AS147" s="141" t="s">
        <v>643</v>
      </c>
      <c r="AT147" s="138"/>
      <c r="AU147" s="142" t="s">
        <v>1243</v>
      </c>
      <c r="AV147" s="143" t="s">
        <v>1246</v>
      </c>
      <c r="AW147" s="143" t="s">
        <v>1245</v>
      </c>
    </row>
    <row r="148" spans="1:49" s="124" customFormat="1" x14ac:dyDescent="0.3">
      <c r="A148" s="116"/>
      <c r="B148" s="117"/>
      <c r="C148" s="117"/>
      <c r="D148" s="116"/>
      <c r="E148" s="116"/>
      <c r="F148" s="117"/>
      <c r="G148" s="120"/>
      <c r="H148" s="120"/>
      <c r="I148" s="120"/>
      <c r="J148" s="156">
        <v>43830</v>
      </c>
      <c r="K148" s="161"/>
      <c r="L148" s="146"/>
      <c r="M148" s="132"/>
      <c r="N148" s="158">
        <v>44166</v>
      </c>
      <c r="O148" s="116"/>
      <c r="P148" s="135" t="s">
        <v>596</v>
      </c>
      <c r="Q148" s="116"/>
      <c r="R148" s="57">
        <v>43795</v>
      </c>
      <c r="S148" s="57">
        <v>43886</v>
      </c>
      <c r="T148" s="57" t="s">
        <v>30</v>
      </c>
      <c r="U148" s="34" t="s">
        <v>30</v>
      </c>
      <c r="V148" s="57">
        <v>43796</v>
      </c>
      <c r="W148" s="57">
        <v>43889</v>
      </c>
      <c r="X148" s="34">
        <v>43796</v>
      </c>
      <c r="Y148" s="137">
        <f t="shared" si="75"/>
        <v>44160</v>
      </c>
      <c r="Z148" s="57">
        <f t="shared" si="61"/>
        <v>44067</v>
      </c>
      <c r="AA148" s="57" t="str">
        <f t="shared" si="62"/>
        <v>NC</v>
      </c>
      <c r="AB148" s="57" t="str">
        <f t="shared" si="63"/>
        <v>NC</v>
      </c>
      <c r="AC148" s="57">
        <f t="shared" si="64"/>
        <v>44161</v>
      </c>
      <c r="AD148" s="57">
        <f t="shared" si="65"/>
        <v>44254</v>
      </c>
      <c r="AE148" s="57">
        <f t="shared" si="66"/>
        <v>44526</v>
      </c>
      <c r="AF148" s="138"/>
      <c r="AG148" s="123">
        <f t="shared" ca="1" si="67"/>
        <v>-1427</v>
      </c>
      <c r="AH148" s="123">
        <f t="shared" ca="1" si="68"/>
        <v>-1520</v>
      </c>
      <c r="AI148" s="123" t="str">
        <f t="shared" si="69"/>
        <v>NC</v>
      </c>
      <c r="AJ148" s="123" t="str">
        <f t="shared" si="70"/>
        <v>NC</v>
      </c>
      <c r="AK148" s="123">
        <f t="shared" ca="1" si="71"/>
        <v>-1426</v>
      </c>
      <c r="AL148" s="123">
        <f t="shared" ca="1" si="72"/>
        <v>-1333</v>
      </c>
      <c r="AM148" s="123">
        <f t="shared" ca="1" si="73"/>
        <v>-1061</v>
      </c>
      <c r="AN148" s="138"/>
      <c r="AO148" s="151" t="e">
        <f t="shared" si="74"/>
        <v>#DIV/0!</v>
      </c>
      <c r="AP148" s="138"/>
      <c r="AQ148" s="138"/>
      <c r="AR148" s="138" t="s">
        <v>470</v>
      </c>
      <c r="AS148" s="141" t="s">
        <v>643</v>
      </c>
      <c r="AU148" s="143" t="s">
        <v>1243</v>
      </c>
      <c r="AV148" s="143" t="s">
        <v>1246</v>
      </c>
      <c r="AW148" s="143" t="s">
        <v>1247</v>
      </c>
    </row>
    <row r="149" spans="1:49" s="124" customFormat="1" ht="14.4" customHeight="1" x14ac:dyDescent="0.3">
      <c r="A149" s="116"/>
      <c r="B149" s="117"/>
      <c r="C149" s="117"/>
      <c r="D149" s="116"/>
      <c r="E149" s="116"/>
      <c r="F149" s="117"/>
      <c r="G149" s="120"/>
      <c r="H149" s="120"/>
      <c r="I149" s="120"/>
      <c r="J149" s="156">
        <v>43830</v>
      </c>
      <c r="K149" s="145"/>
      <c r="L149" s="120"/>
      <c r="M149" s="132"/>
      <c r="N149" s="158">
        <v>44075</v>
      </c>
      <c r="O149" s="116"/>
      <c r="P149" s="135" t="s">
        <v>596</v>
      </c>
      <c r="Q149" s="116"/>
      <c r="R149" s="57">
        <v>43796</v>
      </c>
      <c r="S149" s="57" t="s">
        <v>30</v>
      </c>
      <c r="T149" s="57" t="s">
        <v>30</v>
      </c>
      <c r="U149" s="34" t="s">
        <v>30</v>
      </c>
      <c r="V149" s="57"/>
      <c r="W149" s="57"/>
      <c r="X149" s="34"/>
      <c r="Y149" s="137">
        <f t="shared" si="75"/>
        <v>44161</v>
      </c>
      <c r="Z149" s="57" t="str">
        <f t="shared" si="61"/>
        <v>NC</v>
      </c>
      <c r="AA149" s="57" t="str">
        <f t="shared" si="62"/>
        <v>NC</v>
      </c>
      <c r="AB149" s="57" t="str">
        <f t="shared" si="63"/>
        <v>NC</v>
      </c>
      <c r="AC149" s="57" t="str">
        <f t="shared" si="64"/>
        <v>erreur</v>
      </c>
      <c r="AD149" s="57" t="str">
        <f t="shared" si="65"/>
        <v>erreur</v>
      </c>
      <c r="AE149" s="57" t="str">
        <f t="shared" si="66"/>
        <v>erreur</v>
      </c>
      <c r="AF149" s="138"/>
      <c r="AG149" s="123">
        <f t="shared" ca="1" si="67"/>
        <v>-1426</v>
      </c>
      <c r="AH149" s="123" t="str">
        <f t="shared" si="68"/>
        <v>NC</v>
      </c>
      <c r="AI149" s="123" t="str">
        <f t="shared" si="69"/>
        <v>NC</v>
      </c>
      <c r="AJ149" s="123" t="str">
        <f t="shared" si="70"/>
        <v>NC</v>
      </c>
      <c r="AK149" s="123" t="str">
        <f t="shared" si="71"/>
        <v>erreur</v>
      </c>
      <c r="AL149" s="123" t="str">
        <f t="shared" si="72"/>
        <v>erreur</v>
      </c>
      <c r="AM149" s="123" t="str">
        <f t="shared" si="73"/>
        <v>erreur</v>
      </c>
      <c r="AN149" s="138"/>
      <c r="AO149" s="139" t="e">
        <f t="shared" si="74"/>
        <v>#DIV/0!</v>
      </c>
      <c r="AP149" s="138"/>
      <c r="AQ149" s="138"/>
      <c r="AR149" s="138" t="s">
        <v>735</v>
      </c>
      <c r="AS149" s="141" t="s">
        <v>643</v>
      </c>
      <c r="AT149" s="138"/>
      <c r="AU149" s="142" t="s">
        <v>1243</v>
      </c>
      <c r="AV149" s="143" t="s">
        <v>1246</v>
      </c>
      <c r="AW149" s="143" t="s">
        <v>1245</v>
      </c>
    </row>
    <row r="150" spans="1:49" s="124" customFormat="1" ht="14.4" customHeight="1" x14ac:dyDescent="0.3">
      <c r="A150" s="116"/>
      <c r="B150" s="117"/>
      <c r="C150" s="117"/>
      <c r="D150" s="116"/>
      <c r="E150" s="116"/>
      <c r="F150" s="117"/>
      <c r="G150" s="120"/>
      <c r="H150" s="120"/>
      <c r="I150" s="120"/>
      <c r="J150" s="156">
        <v>43830</v>
      </c>
      <c r="K150" s="145"/>
      <c r="L150" s="120"/>
      <c r="M150" s="132"/>
      <c r="N150" s="158">
        <v>43831</v>
      </c>
      <c r="O150" s="116"/>
      <c r="P150" s="135" t="s">
        <v>596</v>
      </c>
      <c r="Q150" s="116"/>
      <c r="R150" s="57">
        <v>43819</v>
      </c>
      <c r="S150" s="57" t="s">
        <v>30</v>
      </c>
      <c r="T150" s="57" t="s">
        <v>30</v>
      </c>
      <c r="U150" s="34" t="s">
        <v>30</v>
      </c>
      <c r="V150" s="57"/>
      <c r="W150" s="57"/>
      <c r="X150" s="34"/>
      <c r="Y150" s="137">
        <f t="shared" si="75"/>
        <v>44184</v>
      </c>
      <c r="Z150" s="57" t="str">
        <f t="shared" si="61"/>
        <v>NC</v>
      </c>
      <c r="AA150" s="57" t="str">
        <f t="shared" si="62"/>
        <v>NC</v>
      </c>
      <c r="AB150" s="57" t="str">
        <f t="shared" si="63"/>
        <v>NC</v>
      </c>
      <c r="AC150" s="57" t="str">
        <f t="shared" si="64"/>
        <v>erreur</v>
      </c>
      <c r="AD150" s="57" t="str">
        <f t="shared" si="65"/>
        <v>erreur</v>
      </c>
      <c r="AE150" s="57" t="str">
        <f t="shared" si="66"/>
        <v>erreur</v>
      </c>
      <c r="AF150" s="138"/>
      <c r="AG150" s="123">
        <f t="shared" ca="1" si="67"/>
        <v>-1403</v>
      </c>
      <c r="AH150" s="123" t="str">
        <f t="shared" si="68"/>
        <v>NC</v>
      </c>
      <c r="AI150" s="123" t="str">
        <f t="shared" si="69"/>
        <v>NC</v>
      </c>
      <c r="AJ150" s="123" t="str">
        <f t="shared" si="70"/>
        <v>NC</v>
      </c>
      <c r="AK150" s="123" t="str">
        <f t="shared" si="71"/>
        <v>erreur</v>
      </c>
      <c r="AL150" s="123" t="str">
        <f t="shared" si="72"/>
        <v>erreur</v>
      </c>
      <c r="AM150" s="123" t="str">
        <f t="shared" si="73"/>
        <v>erreur</v>
      </c>
      <c r="AN150" s="138"/>
      <c r="AO150" s="139" t="e">
        <f t="shared" si="74"/>
        <v>#DIV/0!</v>
      </c>
      <c r="AP150" s="138"/>
      <c r="AQ150" s="138"/>
      <c r="AR150" s="138" t="s">
        <v>735</v>
      </c>
      <c r="AS150" s="141" t="s">
        <v>643</v>
      </c>
      <c r="AT150" s="138"/>
      <c r="AU150" s="142" t="s">
        <v>1243</v>
      </c>
      <c r="AV150" s="143" t="s">
        <v>1246</v>
      </c>
      <c r="AW150" s="143" t="s">
        <v>1245</v>
      </c>
    </row>
    <row r="151" spans="1:49" s="124" customFormat="1" ht="14.4" customHeight="1" x14ac:dyDescent="0.3">
      <c r="A151" s="116"/>
      <c r="B151" s="116"/>
      <c r="C151" s="117"/>
      <c r="D151" s="116"/>
      <c r="E151" s="116"/>
      <c r="F151" s="117"/>
      <c r="G151" s="120"/>
      <c r="H151" s="120"/>
      <c r="I151" s="120"/>
      <c r="J151" s="156">
        <v>43830</v>
      </c>
      <c r="K151" s="145"/>
      <c r="L151" s="120"/>
      <c r="M151" s="132"/>
      <c r="N151" s="158">
        <v>44075</v>
      </c>
      <c r="O151" s="116"/>
      <c r="P151" s="135" t="s">
        <v>596</v>
      </c>
      <c r="Q151" s="116"/>
      <c r="R151" s="57">
        <v>43790</v>
      </c>
      <c r="S151" s="57" t="s">
        <v>30</v>
      </c>
      <c r="T151" s="57" t="s">
        <v>30</v>
      </c>
      <c r="U151" s="34" t="s">
        <v>30</v>
      </c>
      <c r="V151" s="57">
        <v>43795</v>
      </c>
      <c r="W151" s="57">
        <v>43889</v>
      </c>
      <c r="X151" s="34">
        <v>43795</v>
      </c>
      <c r="Y151" s="137">
        <f t="shared" si="75"/>
        <v>44155</v>
      </c>
      <c r="Z151" s="57" t="str">
        <f t="shared" si="61"/>
        <v>NC</v>
      </c>
      <c r="AA151" s="57" t="str">
        <f t="shared" si="62"/>
        <v>NC</v>
      </c>
      <c r="AB151" s="57" t="str">
        <f t="shared" si="63"/>
        <v>NC</v>
      </c>
      <c r="AC151" s="57">
        <f t="shared" si="64"/>
        <v>44160</v>
      </c>
      <c r="AD151" s="57">
        <f t="shared" si="65"/>
        <v>44254</v>
      </c>
      <c r="AE151" s="57">
        <f t="shared" si="66"/>
        <v>44525</v>
      </c>
      <c r="AF151" s="138"/>
      <c r="AG151" s="123">
        <f t="shared" ca="1" si="67"/>
        <v>-1432</v>
      </c>
      <c r="AH151" s="123" t="str">
        <f t="shared" si="68"/>
        <v>NC</v>
      </c>
      <c r="AI151" s="123" t="str">
        <f t="shared" si="69"/>
        <v>NC</v>
      </c>
      <c r="AJ151" s="123" t="str">
        <f t="shared" si="70"/>
        <v>NC</v>
      </c>
      <c r="AK151" s="123">
        <f t="shared" ca="1" si="71"/>
        <v>-1427</v>
      </c>
      <c r="AL151" s="123">
        <f t="shared" ca="1" si="72"/>
        <v>-1333</v>
      </c>
      <c r="AM151" s="123">
        <f t="shared" ca="1" si="73"/>
        <v>-1062</v>
      </c>
      <c r="AN151" s="138"/>
      <c r="AO151" s="139" t="e">
        <f t="shared" si="74"/>
        <v>#DIV/0!</v>
      </c>
      <c r="AP151" s="138"/>
      <c r="AQ151" s="138"/>
      <c r="AR151" s="138" t="s">
        <v>735</v>
      </c>
      <c r="AS151" s="141" t="s">
        <v>643</v>
      </c>
      <c r="AT151" s="138"/>
      <c r="AU151" s="142" t="s">
        <v>1243</v>
      </c>
      <c r="AV151" s="143" t="s">
        <v>1248</v>
      </c>
      <c r="AW151" s="143" t="s">
        <v>1245</v>
      </c>
    </row>
    <row r="152" spans="1:49" s="124" customFormat="1" ht="14.4" customHeight="1" x14ac:dyDescent="0.3">
      <c r="A152" s="121"/>
      <c r="B152" s="116"/>
      <c r="C152" s="121"/>
      <c r="D152" s="123"/>
      <c r="E152" s="123"/>
      <c r="F152" s="117"/>
      <c r="G152" s="120"/>
      <c r="H152" s="120"/>
      <c r="I152" s="120"/>
      <c r="J152" s="144">
        <v>43830</v>
      </c>
      <c r="K152" s="153"/>
      <c r="L152" s="146"/>
      <c r="M152" s="154">
        <v>44866</v>
      </c>
      <c r="N152" s="133">
        <v>44166</v>
      </c>
      <c r="O152" s="148"/>
      <c r="P152" s="149" t="s">
        <v>596</v>
      </c>
      <c r="Q152" s="150">
        <v>879</v>
      </c>
      <c r="R152" s="57">
        <v>43566</v>
      </c>
      <c r="S152" s="116" t="s">
        <v>30</v>
      </c>
      <c r="T152" s="116" t="s">
        <v>30</v>
      </c>
      <c r="U152" s="34" t="s">
        <v>30</v>
      </c>
      <c r="V152" s="57">
        <v>43570</v>
      </c>
      <c r="W152" s="57">
        <v>43889</v>
      </c>
      <c r="X152" s="163">
        <v>43572</v>
      </c>
      <c r="Y152" s="137">
        <f t="shared" si="75"/>
        <v>43931</v>
      </c>
      <c r="Z152" s="57" t="str">
        <f t="shared" si="61"/>
        <v>NC</v>
      </c>
      <c r="AA152" s="57" t="str">
        <f t="shared" si="62"/>
        <v>NC</v>
      </c>
      <c r="AB152" s="57" t="str">
        <f t="shared" si="63"/>
        <v>NC</v>
      </c>
      <c r="AC152" s="57">
        <f t="shared" si="64"/>
        <v>43935</v>
      </c>
      <c r="AD152" s="57">
        <f t="shared" si="65"/>
        <v>44254</v>
      </c>
      <c r="AE152" s="57">
        <f t="shared" si="66"/>
        <v>44302</v>
      </c>
      <c r="AG152" s="123">
        <f t="shared" ca="1" si="67"/>
        <v>-1656</v>
      </c>
      <c r="AH152" s="123" t="str">
        <f t="shared" si="68"/>
        <v>NC</v>
      </c>
      <c r="AI152" s="123" t="str">
        <f t="shared" si="69"/>
        <v>NC</v>
      </c>
      <c r="AJ152" s="123" t="str">
        <f t="shared" si="70"/>
        <v>NC</v>
      </c>
      <c r="AK152" s="123">
        <f t="shared" ca="1" si="71"/>
        <v>-1652</v>
      </c>
      <c r="AL152" s="123">
        <f t="shared" ca="1" si="72"/>
        <v>-1333</v>
      </c>
      <c r="AM152" s="123">
        <f t="shared" ca="1" si="73"/>
        <v>-1285</v>
      </c>
      <c r="AN152" s="138"/>
      <c r="AO152" s="151" t="e">
        <f t="shared" si="74"/>
        <v>#DIV/0!</v>
      </c>
      <c r="AP152" s="152"/>
      <c r="AR152" s="124" t="s">
        <v>470</v>
      </c>
      <c r="AS152" s="141" t="s">
        <v>643</v>
      </c>
      <c r="AU152" s="143" t="s">
        <v>1243</v>
      </c>
      <c r="AV152" s="143" t="s">
        <v>1248</v>
      </c>
      <c r="AW152" s="143" t="s">
        <v>1245</v>
      </c>
    </row>
    <row r="153" spans="1:49" s="124" customFormat="1" ht="14.4" customHeight="1" x14ac:dyDescent="0.3">
      <c r="A153" s="121"/>
      <c r="B153" s="116"/>
      <c r="C153" s="121"/>
      <c r="D153" s="123"/>
      <c r="E153" s="123"/>
      <c r="F153" s="117"/>
      <c r="G153" s="120"/>
      <c r="H153" s="120"/>
      <c r="I153" s="120"/>
      <c r="J153" s="144">
        <v>43830</v>
      </c>
      <c r="K153" s="153"/>
      <c r="L153" s="146"/>
      <c r="M153" s="154">
        <v>44866</v>
      </c>
      <c r="N153" s="133">
        <v>43891</v>
      </c>
      <c r="O153" s="148"/>
      <c r="P153" s="149" t="s">
        <v>596</v>
      </c>
      <c r="Q153" s="150">
        <v>910</v>
      </c>
      <c r="R153" s="57">
        <v>43566</v>
      </c>
      <c r="S153" s="116" t="s">
        <v>30</v>
      </c>
      <c r="T153" s="116" t="s">
        <v>30</v>
      </c>
      <c r="U153" s="34" t="s">
        <v>30</v>
      </c>
      <c r="V153" s="57">
        <v>43570</v>
      </c>
      <c r="W153" s="57">
        <v>43889</v>
      </c>
      <c r="X153" s="163">
        <v>43573</v>
      </c>
      <c r="Y153" s="137">
        <f t="shared" si="75"/>
        <v>43931</v>
      </c>
      <c r="Z153" s="57" t="str">
        <f t="shared" si="61"/>
        <v>NC</v>
      </c>
      <c r="AA153" s="57" t="str">
        <f t="shared" si="62"/>
        <v>NC</v>
      </c>
      <c r="AB153" s="57" t="str">
        <f t="shared" si="63"/>
        <v>NC</v>
      </c>
      <c r="AC153" s="57">
        <f t="shared" si="64"/>
        <v>43935</v>
      </c>
      <c r="AD153" s="57">
        <f t="shared" si="65"/>
        <v>44254</v>
      </c>
      <c r="AE153" s="57">
        <f t="shared" si="66"/>
        <v>44303</v>
      </c>
      <c r="AG153" s="123">
        <f t="shared" ca="1" si="67"/>
        <v>-1656</v>
      </c>
      <c r="AH153" s="123" t="str">
        <f t="shared" si="68"/>
        <v>NC</v>
      </c>
      <c r="AI153" s="123" t="str">
        <f t="shared" si="69"/>
        <v>NC</v>
      </c>
      <c r="AJ153" s="123" t="str">
        <f t="shared" si="70"/>
        <v>NC</v>
      </c>
      <c r="AK153" s="123">
        <f t="shared" ca="1" si="71"/>
        <v>-1652</v>
      </c>
      <c r="AL153" s="123">
        <f t="shared" ca="1" si="72"/>
        <v>-1333</v>
      </c>
      <c r="AM153" s="123">
        <f t="shared" ca="1" si="73"/>
        <v>-1284</v>
      </c>
      <c r="AN153" s="138"/>
      <c r="AO153" s="151" t="e">
        <f t="shared" si="74"/>
        <v>#DIV/0!</v>
      </c>
      <c r="AP153" s="152"/>
      <c r="AR153" s="124" t="s">
        <v>470</v>
      </c>
      <c r="AS153" s="141" t="s">
        <v>643</v>
      </c>
      <c r="AU153" s="143" t="s">
        <v>1243</v>
      </c>
      <c r="AV153" s="143" t="s">
        <v>1248</v>
      </c>
      <c r="AW153" s="143" t="s">
        <v>1245</v>
      </c>
    </row>
    <row r="154" spans="1:49" s="124" customFormat="1" ht="14.4" customHeight="1" x14ac:dyDescent="0.3">
      <c r="A154" s="121"/>
      <c r="B154" s="116"/>
      <c r="C154" s="121"/>
      <c r="D154" s="123"/>
      <c r="E154" s="123"/>
      <c r="F154" s="117"/>
      <c r="G154" s="120"/>
      <c r="H154" s="120"/>
      <c r="I154" s="120"/>
      <c r="J154" s="144">
        <v>43830</v>
      </c>
      <c r="K154" s="153"/>
      <c r="L154" s="146"/>
      <c r="M154" s="154">
        <v>44866</v>
      </c>
      <c r="N154" s="133">
        <v>43891</v>
      </c>
      <c r="O154" s="148"/>
      <c r="P154" s="149" t="s">
        <v>596</v>
      </c>
      <c r="Q154" s="150">
        <v>827</v>
      </c>
      <c r="R154" s="57">
        <v>43566</v>
      </c>
      <c r="S154" s="116" t="s">
        <v>30</v>
      </c>
      <c r="T154" s="116" t="s">
        <v>30</v>
      </c>
      <c r="U154" s="34" t="s">
        <v>30</v>
      </c>
      <c r="V154" s="57">
        <v>43570</v>
      </c>
      <c r="W154" s="57">
        <v>43889</v>
      </c>
      <c r="X154" s="166">
        <v>43572</v>
      </c>
      <c r="Y154" s="137">
        <f t="shared" si="75"/>
        <v>43931</v>
      </c>
      <c r="Z154" s="57" t="str">
        <f t="shared" si="61"/>
        <v>NC</v>
      </c>
      <c r="AA154" s="57" t="str">
        <f t="shared" si="62"/>
        <v>NC</v>
      </c>
      <c r="AB154" s="57" t="str">
        <f t="shared" si="63"/>
        <v>NC</v>
      </c>
      <c r="AC154" s="57">
        <f t="shared" si="64"/>
        <v>43935</v>
      </c>
      <c r="AD154" s="57">
        <f t="shared" si="65"/>
        <v>44254</v>
      </c>
      <c r="AE154" s="57">
        <f t="shared" si="66"/>
        <v>44302</v>
      </c>
      <c r="AG154" s="123">
        <f t="shared" ca="1" si="67"/>
        <v>-1656</v>
      </c>
      <c r="AH154" s="123" t="str">
        <f t="shared" si="68"/>
        <v>NC</v>
      </c>
      <c r="AI154" s="123" t="str">
        <f t="shared" si="69"/>
        <v>NC</v>
      </c>
      <c r="AJ154" s="123" t="str">
        <f t="shared" si="70"/>
        <v>NC</v>
      </c>
      <c r="AK154" s="123">
        <f t="shared" ca="1" si="71"/>
        <v>-1652</v>
      </c>
      <c r="AL154" s="123">
        <f t="shared" ca="1" si="72"/>
        <v>-1333</v>
      </c>
      <c r="AM154" s="123">
        <f t="shared" ca="1" si="73"/>
        <v>-1285</v>
      </c>
      <c r="AN154" s="138"/>
      <c r="AO154" s="151" t="e">
        <f t="shared" si="74"/>
        <v>#DIV/0!</v>
      </c>
      <c r="AP154" s="152"/>
      <c r="AR154" s="124" t="s">
        <v>470</v>
      </c>
      <c r="AS154" s="141" t="s">
        <v>643</v>
      </c>
      <c r="AU154" s="143" t="s">
        <v>1243</v>
      </c>
      <c r="AV154" s="143" t="s">
        <v>1248</v>
      </c>
      <c r="AW154" s="143" t="s">
        <v>1245</v>
      </c>
    </row>
    <row r="155" spans="1:49" s="124" customFormat="1" ht="14.4" customHeight="1" x14ac:dyDescent="0.3">
      <c r="A155" s="121"/>
      <c r="B155" s="117"/>
      <c r="C155" s="121"/>
      <c r="D155" s="123"/>
      <c r="E155" s="123"/>
      <c r="F155" s="117"/>
      <c r="G155" s="99"/>
      <c r="H155" s="99"/>
      <c r="I155" s="99"/>
      <c r="J155" s="144">
        <v>43830</v>
      </c>
      <c r="K155" s="153"/>
      <c r="L155" s="146"/>
      <c r="M155" s="147" t="s">
        <v>609</v>
      </c>
      <c r="N155" s="133">
        <v>43891</v>
      </c>
      <c r="O155" s="148"/>
      <c r="P155" s="149" t="s">
        <v>596</v>
      </c>
      <c r="Q155" s="150"/>
      <c r="R155" s="57">
        <v>43698</v>
      </c>
      <c r="S155" s="57">
        <v>43860</v>
      </c>
      <c r="T155" s="57" t="s">
        <v>30</v>
      </c>
      <c r="U155" s="34" t="s">
        <v>30</v>
      </c>
      <c r="V155" s="57">
        <v>43860</v>
      </c>
      <c r="W155" s="57">
        <v>43889</v>
      </c>
      <c r="X155" s="163">
        <v>43444</v>
      </c>
      <c r="Y155" s="137">
        <f t="shared" si="75"/>
        <v>44063</v>
      </c>
      <c r="Z155" s="57">
        <f t="shared" si="61"/>
        <v>44041</v>
      </c>
      <c r="AA155" s="57" t="str">
        <f t="shared" si="62"/>
        <v>NC</v>
      </c>
      <c r="AB155" s="57" t="str">
        <f t="shared" si="63"/>
        <v>NC</v>
      </c>
      <c r="AC155" s="57">
        <f t="shared" si="64"/>
        <v>44225</v>
      </c>
      <c r="AD155" s="57">
        <f t="shared" si="65"/>
        <v>44254</v>
      </c>
      <c r="AE155" s="57">
        <f t="shared" si="66"/>
        <v>44174</v>
      </c>
      <c r="AG155" s="123">
        <f t="shared" ca="1" si="67"/>
        <v>-1524</v>
      </c>
      <c r="AH155" s="123">
        <f t="shared" ca="1" si="68"/>
        <v>-1546</v>
      </c>
      <c r="AI155" s="123" t="str">
        <f t="shared" si="69"/>
        <v>NC</v>
      </c>
      <c r="AJ155" s="123" t="str">
        <f t="shared" si="70"/>
        <v>NC</v>
      </c>
      <c r="AK155" s="123">
        <f t="shared" ca="1" si="71"/>
        <v>-1362</v>
      </c>
      <c r="AL155" s="123">
        <f t="shared" ca="1" si="72"/>
        <v>-1333</v>
      </c>
      <c r="AM155" s="123">
        <f t="shared" ca="1" si="73"/>
        <v>-1413</v>
      </c>
      <c r="AN155" s="138"/>
      <c r="AO155" s="151" t="e">
        <f t="shared" si="74"/>
        <v>#DIV/0!</v>
      </c>
      <c r="AP155" s="152"/>
      <c r="AR155" s="124" t="s">
        <v>470</v>
      </c>
      <c r="AS155" s="141" t="s">
        <v>643</v>
      </c>
      <c r="AU155" s="143" t="s">
        <v>1243</v>
      </c>
      <c r="AV155" s="143" t="s">
        <v>1249</v>
      </c>
      <c r="AW155" s="143" t="s">
        <v>1247</v>
      </c>
    </row>
    <row r="156" spans="1:49" s="124" customFormat="1" ht="14.4" customHeight="1" x14ac:dyDescent="0.3">
      <c r="A156" s="26"/>
      <c r="B156" s="26"/>
      <c r="C156" s="121"/>
      <c r="D156" s="116"/>
      <c r="E156" s="116"/>
      <c r="F156" s="117"/>
      <c r="G156" s="120"/>
      <c r="H156" s="120"/>
      <c r="I156" s="120"/>
      <c r="J156" s="144">
        <v>43830</v>
      </c>
      <c r="K156" s="130"/>
      <c r="L156" s="131"/>
      <c r="M156" s="147" t="s">
        <v>609</v>
      </c>
      <c r="N156" s="133">
        <v>43952</v>
      </c>
      <c r="O156" s="134"/>
      <c r="P156" s="149" t="s">
        <v>596</v>
      </c>
      <c r="Q156" s="136">
        <v>4553</v>
      </c>
      <c r="R156" s="57">
        <v>43801</v>
      </c>
      <c r="S156" s="116" t="s">
        <v>30</v>
      </c>
      <c r="T156" s="57" t="s">
        <v>30</v>
      </c>
      <c r="U156" s="34" t="s">
        <v>30</v>
      </c>
      <c r="V156" s="57">
        <v>43804</v>
      </c>
      <c r="W156" s="57">
        <v>43889</v>
      </c>
      <c r="X156" s="57">
        <v>43804</v>
      </c>
      <c r="Y156" s="137">
        <f t="shared" si="75"/>
        <v>44166</v>
      </c>
      <c r="Z156" s="57" t="str">
        <f t="shared" si="61"/>
        <v>NC</v>
      </c>
      <c r="AA156" s="57" t="str">
        <f t="shared" si="62"/>
        <v>NC</v>
      </c>
      <c r="AB156" s="57" t="str">
        <f t="shared" si="63"/>
        <v>NC</v>
      </c>
      <c r="AC156" s="57">
        <f t="shared" si="64"/>
        <v>44169</v>
      </c>
      <c r="AD156" s="57">
        <f t="shared" si="65"/>
        <v>44254</v>
      </c>
      <c r="AE156" s="57">
        <f t="shared" si="66"/>
        <v>44534</v>
      </c>
      <c r="AG156" s="123">
        <f t="shared" ca="1" si="67"/>
        <v>-1421</v>
      </c>
      <c r="AH156" s="123" t="str">
        <f t="shared" si="68"/>
        <v>NC</v>
      </c>
      <c r="AI156" s="123" t="str">
        <f t="shared" si="69"/>
        <v>NC</v>
      </c>
      <c r="AJ156" s="123" t="str">
        <f t="shared" si="70"/>
        <v>NC</v>
      </c>
      <c r="AK156" s="123">
        <f t="shared" ca="1" si="71"/>
        <v>-1418</v>
      </c>
      <c r="AL156" s="123">
        <f t="shared" ca="1" si="72"/>
        <v>-1333</v>
      </c>
      <c r="AM156" s="123">
        <f t="shared" ca="1" si="73"/>
        <v>-1053</v>
      </c>
      <c r="AN156" s="138"/>
      <c r="AO156" s="151" t="e">
        <f t="shared" si="74"/>
        <v>#DIV/0!</v>
      </c>
      <c r="AP156" s="140"/>
      <c r="AR156" s="124" t="s">
        <v>470</v>
      </c>
      <c r="AS156" s="141" t="s">
        <v>643</v>
      </c>
      <c r="AU156" s="143" t="s">
        <v>1243</v>
      </c>
      <c r="AV156" s="143" t="s">
        <v>1246</v>
      </c>
      <c r="AW156" s="143" t="s">
        <v>1245</v>
      </c>
    </row>
    <row r="157" spans="1:49" s="124" customFormat="1" ht="14.4" customHeight="1" x14ac:dyDescent="0.3">
      <c r="A157" s="116"/>
      <c r="B157" s="117"/>
      <c r="C157" s="117"/>
      <c r="D157" s="116"/>
      <c r="E157" s="116"/>
      <c r="F157" s="117"/>
      <c r="G157" s="120"/>
      <c r="H157" s="120"/>
      <c r="I157" s="120"/>
      <c r="J157" s="156">
        <v>43830</v>
      </c>
      <c r="K157" s="145"/>
      <c r="L157" s="120"/>
      <c r="M157" s="132"/>
      <c r="N157" s="158">
        <v>43831</v>
      </c>
      <c r="O157" s="116"/>
      <c r="P157" s="135" t="s">
        <v>596</v>
      </c>
      <c r="Q157" s="116"/>
      <c r="R157" s="57"/>
      <c r="S157" s="57" t="s">
        <v>30</v>
      </c>
      <c r="T157" s="57" t="s">
        <v>30</v>
      </c>
      <c r="U157" s="34" t="s">
        <v>30</v>
      </c>
      <c r="V157" s="57"/>
      <c r="W157" s="57"/>
      <c r="X157" s="34"/>
      <c r="Y157" s="137" t="str">
        <f t="shared" si="75"/>
        <v>erreur</v>
      </c>
      <c r="Z157" s="57" t="str">
        <f t="shared" si="61"/>
        <v>NC</v>
      </c>
      <c r="AA157" s="57" t="str">
        <f t="shared" si="62"/>
        <v>NC</v>
      </c>
      <c r="AB157" s="57" t="str">
        <f t="shared" si="63"/>
        <v>NC</v>
      </c>
      <c r="AC157" s="57" t="str">
        <f t="shared" si="64"/>
        <v>erreur</v>
      </c>
      <c r="AD157" s="57" t="str">
        <f t="shared" si="65"/>
        <v>erreur</v>
      </c>
      <c r="AE157" s="57" t="str">
        <f t="shared" si="66"/>
        <v>erreur</v>
      </c>
      <c r="AF157" s="138"/>
      <c r="AG157" s="123" t="str">
        <f t="shared" si="67"/>
        <v>erreur</v>
      </c>
      <c r="AH157" s="123" t="str">
        <f t="shared" si="68"/>
        <v>NC</v>
      </c>
      <c r="AI157" s="123" t="str">
        <f t="shared" si="69"/>
        <v>NC</v>
      </c>
      <c r="AJ157" s="123" t="str">
        <f t="shared" si="70"/>
        <v>NC</v>
      </c>
      <c r="AK157" s="123" t="str">
        <f t="shared" si="71"/>
        <v>erreur</v>
      </c>
      <c r="AL157" s="123" t="str">
        <f t="shared" si="72"/>
        <v>erreur</v>
      </c>
      <c r="AM157" s="123" t="str">
        <f t="shared" si="73"/>
        <v>erreur</v>
      </c>
      <c r="AN157" s="138"/>
      <c r="AO157" s="139" t="e">
        <f t="shared" si="74"/>
        <v>#DIV/0!</v>
      </c>
      <c r="AP157" s="138"/>
      <c r="AQ157" s="138"/>
      <c r="AR157" s="138" t="s">
        <v>735</v>
      </c>
      <c r="AS157" s="141" t="s">
        <v>643</v>
      </c>
      <c r="AT157" s="138"/>
      <c r="AU157" s="142" t="s">
        <v>1243</v>
      </c>
      <c r="AV157" s="143" t="s">
        <v>1246</v>
      </c>
      <c r="AW157" s="143" t="s">
        <v>1245</v>
      </c>
    </row>
    <row r="158" spans="1:49" s="138" customFormat="1" ht="14.4" customHeight="1" x14ac:dyDescent="0.3">
      <c r="A158" s="125"/>
      <c r="B158" s="117"/>
      <c r="C158" s="121"/>
      <c r="D158" s="116"/>
      <c r="E158" s="116"/>
      <c r="F158" s="117"/>
      <c r="G158" s="120"/>
      <c r="H158" s="120"/>
      <c r="I158" s="120"/>
      <c r="J158" s="156">
        <v>43830</v>
      </c>
      <c r="K158" s="153"/>
      <c r="L158" s="146"/>
      <c r="M158" s="154">
        <v>43497</v>
      </c>
      <c r="N158" s="133">
        <v>43862</v>
      </c>
      <c r="O158" s="148"/>
      <c r="P158" s="149" t="s">
        <v>596</v>
      </c>
      <c r="Q158" s="150">
        <v>3960</v>
      </c>
      <c r="R158" s="57">
        <v>43801</v>
      </c>
      <c r="S158" s="57" t="s">
        <v>30</v>
      </c>
      <c r="T158" s="57" t="s">
        <v>30</v>
      </c>
      <c r="U158" s="34" t="s">
        <v>30</v>
      </c>
      <c r="V158" s="57">
        <v>43804</v>
      </c>
      <c r="W158" s="57">
        <v>43889</v>
      </c>
      <c r="X158" s="34">
        <v>43804</v>
      </c>
      <c r="Y158" s="137">
        <f t="shared" si="75"/>
        <v>44166</v>
      </c>
      <c r="Z158" s="57" t="str">
        <f t="shared" si="61"/>
        <v>NC</v>
      </c>
      <c r="AA158" s="57" t="str">
        <f t="shared" si="62"/>
        <v>NC</v>
      </c>
      <c r="AB158" s="57" t="str">
        <f t="shared" si="63"/>
        <v>NC</v>
      </c>
      <c r="AC158" s="57">
        <f t="shared" si="64"/>
        <v>44169</v>
      </c>
      <c r="AD158" s="57">
        <f t="shared" si="65"/>
        <v>44254</v>
      </c>
      <c r="AE158" s="57">
        <f t="shared" si="66"/>
        <v>44534</v>
      </c>
      <c r="AF158" s="124"/>
      <c r="AG158" s="123">
        <f t="shared" ca="1" si="67"/>
        <v>-1421</v>
      </c>
      <c r="AH158" s="123" t="str">
        <f t="shared" si="68"/>
        <v>NC</v>
      </c>
      <c r="AI158" s="123" t="str">
        <f t="shared" si="69"/>
        <v>NC</v>
      </c>
      <c r="AJ158" s="123" t="str">
        <f t="shared" si="70"/>
        <v>NC</v>
      </c>
      <c r="AK158" s="123">
        <f t="shared" ca="1" si="71"/>
        <v>-1418</v>
      </c>
      <c r="AL158" s="123">
        <f t="shared" ca="1" si="72"/>
        <v>-1333</v>
      </c>
      <c r="AM158" s="123">
        <f t="shared" ca="1" si="73"/>
        <v>-1053</v>
      </c>
      <c r="AO158" s="151" t="e">
        <f t="shared" si="74"/>
        <v>#DIV/0!</v>
      </c>
      <c r="AP158" s="152"/>
      <c r="AQ158" s="124"/>
      <c r="AR158" s="124" t="s">
        <v>470</v>
      </c>
      <c r="AS158" s="141" t="s">
        <v>643</v>
      </c>
      <c r="AT158" s="124"/>
      <c r="AU158" s="143" t="s">
        <v>1243</v>
      </c>
      <c r="AV158" s="143" t="s">
        <v>1246</v>
      </c>
      <c r="AW158" s="143" t="s">
        <v>1245</v>
      </c>
    </row>
    <row r="159" spans="1:49" s="138" customFormat="1" ht="14.4" customHeight="1" x14ac:dyDescent="0.3">
      <c r="A159" s="117"/>
      <c r="B159" s="117"/>
      <c r="C159" s="121"/>
      <c r="D159" s="123"/>
      <c r="E159" s="123"/>
      <c r="F159" s="117"/>
      <c r="G159" s="120"/>
      <c r="H159" s="120"/>
      <c r="I159" s="120"/>
      <c r="J159" s="156">
        <v>43830</v>
      </c>
      <c r="K159" s="153"/>
      <c r="L159" s="146"/>
      <c r="M159" s="154">
        <v>43617</v>
      </c>
      <c r="N159" s="133">
        <v>43952</v>
      </c>
      <c r="O159" s="148"/>
      <c r="P159" s="149" t="s">
        <v>596</v>
      </c>
      <c r="Q159" s="150">
        <v>5373</v>
      </c>
      <c r="R159" s="57">
        <v>43858</v>
      </c>
      <c r="S159" s="57">
        <v>43818</v>
      </c>
      <c r="T159" s="57" t="s">
        <v>30</v>
      </c>
      <c r="U159" s="34" t="s">
        <v>30</v>
      </c>
      <c r="V159" s="57">
        <v>43860</v>
      </c>
      <c r="W159" s="57">
        <v>43889</v>
      </c>
      <c r="X159" s="163">
        <v>43503</v>
      </c>
      <c r="Y159" s="137">
        <f t="shared" si="75"/>
        <v>44223</v>
      </c>
      <c r="Z159" s="57">
        <f t="shared" si="61"/>
        <v>43999</v>
      </c>
      <c r="AA159" s="57" t="str">
        <f t="shared" si="62"/>
        <v>NC</v>
      </c>
      <c r="AB159" s="57" t="str">
        <f t="shared" si="63"/>
        <v>NC</v>
      </c>
      <c r="AC159" s="57">
        <f t="shared" si="64"/>
        <v>44225</v>
      </c>
      <c r="AD159" s="57">
        <f t="shared" si="65"/>
        <v>44254</v>
      </c>
      <c r="AE159" s="57">
        <f t="shared" si="66"/>
        <v>44233</v>
      </c>
      <c r="AF159" s="124"/>
      <c r="AG159" s="123">
        <f t="shared" ca="1" si="67"/>
        <v>-1364</v>
      </c>
      <c r="AH159" s="123">
        <f t="shared" ca="1" si="68"/>
        <v>-1588</v>
      </c>
      <c r="AI159" s="123" t="str">
        <f t="shared" si="69"/>
        <v>NC</v>
      </c>
      <c r="AJ159" s="123" t="str">
        <f t="shared" si="70"/>
        <v>NC</v>
      </c>
      <c r="AK159" s="123">
        <f t="shared" ca="1" si="71"/>
        <v>-1362</v>
      </c>
      <c r="AL159" s="123">
        <f t="shared" ca="1" si="72"/>
        <v>-1333</v>
      </c>
      <c r="AM159" s="123">
        <f t="shared" ca="1" si="73"/>
        <v>-1354</v>
      </c>
      <c r="AO159" s="151" t="e">
        <f t="shared" si="74"/>
        <v>#DIV/0!</v>
      </c>
      <c r="AP159" s="152"/>
      <c r="AQ159" s="124" t="s">
        <v>395</v>
      </c>
      <c r="AR159" s="124" t="s">
        <v>470</v>
      </c>
      <c r="AS159" s="141" t="s">
        <v>643</v>
      </c>
      <c r="AT159" s="124"/>
      <c r="AU159" s="143" t="s">
        <v>1243</v>
      </c>
      <c r="AV159" s="143" t="s">
        <v>1246</v>
      </c>
      <c r="AW159" s="143" t="s">
        <v>1247</v>
      </c>
    </row>
    <row r="160" spans="1:49" s="138" customFormat="1" ht="14.4" customHeight="1" x14ac:dyDescent="0.3">
      <c r="A160" s="121"/>
      <c r="B160" s="116"/>
      <c r="C160" s="121"/>
      <c r="D160" s="123"/>
      <c r="E160" s="123"/>
      <c r="F160" s="117"/>
      <c r="G160" s="120"/>
      <c r="H160" s="120"/>
      <c r="I160" s="120"/>
      <c r="J160" s="144">
        <v>43830</v>
      </c>
      <c r="K160" s="145"/>
      <c r="L160" s="146"/>
      <c r="M160" s="154">
        <v>44774</v>
      </c>
      <c r="N160" s="133">
        <v>43952</v>
      </c>
      <c r="O160" s="148"/>
      <c r="P160" s="149" t="s">
        <v>596</v>
      </c>
      <c r="Q160" s="150">
        <v>113</v>
      </c>
      <c r="R160" s="57">
        <v>43811</v>
      </c>
      <c r="S160" s="116" t="s">
        <v>30</v>
      </c>
      <c r="T160" s="57" t="s">
        <v>30</v>
      </c>
      <c r="U160" s="34" t="s">
        <v>30</v>
      </c>
      <c r="V160" s="57">
        <v>43860</v>
      </c>
      <c r="W160" s="57">
        <v>43889</v>
      </c>
      <c r="X160" s="163">
        <v>43458</v>
      </c>
      <c r="Y160" s="137">
        <f t="shared" si="75"/>
        <v>44176</v>
      </c>
      <c r="Z160" s="57" t="str">
        <f t="shared" si="61"/>
        <v>NC</v>
      </c>
      <c r="AA160" s="57" t="str">
        <f t="shared" si="62"/>
        <v>NC</v>
      </c>
      <c r="AB160" s="57" t="str">
        <f t="shared" si="63"/>
        <v>NC</v>
      </c>
      <c r="AC160" s="57">
        <f t="shared" si="64"/>
        <v>44225</v>
      </c>
      <c r="AD160" s="57">
        <f t="shared" si="65"/>
        <v>44254</v>
      </c>
      <c r="AE160" s="57">
        <f t="shared" si="66"/>
        <v>44188</v>
      </c>
      <c r="AF160" s="124"/>
      <c r="AG160" s="123">
        <f t="shared" ca="1" si="67"/>
        <v>-1411</v>
      </c>
      <c r="AH160" s="123" t="str">
        <f t="shared" si="68"/>
        <v>NC</v>
      </c>
      <c r="AI160" s="123" t="str">
        <f t="shared" si="69"/>
        <v>NC</v>
      </c>
      <c r="AJ160" s="123" t="str">
        <f t="shared" si="70"/>
        <v>NC</v>
      </c>
      <c r="AK160" s="123">
        <f t="shared" ca="1" si="71"/>
        <v>-1362</v>
      </c>
      <c r="AL160" s="123">
        <f t="shared" ca="1" si="72"/>
        <v>-1333</v>
      </c>
      <c r="AM160" s="123">
        <f t="shared" ca="1" si="73"/>
        <v>-1399</v>
      </c>
      <c r="AO160" s="151" t="e">
        <f t="shared" si="74"/>
        <v>#DIV/0!</v>
      </c>
      <c r="AP160" s="152"/>
      <c r="AQ160" s="124"/>
      <c r="AR160" s="124" t="s">
        <v>470</v>
      </c>
      <c r="AS160" s="141" t="s">
        <v>643</v>
      </c>
      <c r="AT160" s="124"/>
      <c r="AU160" s="143" t="s">
        <v>1243</v>
      </c>
      <c r="AV160" s="143" t="s">
        <v>1248</v>
      </c>
      <c r="AW160" s="143" t="s">
        <v>1245</v>
      </c>
    </row>
    <row r="161" spans="1:49" s="138" customFormat="1" ht="14.4" customHeight="1" x14ac:dyDescent="0.3">
      <c r="A161" s="121"/>
      <c r="B161" s="116"/>
      <c r="C161" s="121"/>
      <c r="D161" s="123"/>
      <c r="E161" s="123"/>
      <c r="F161" s="117"/>
      <c r="G161" s="120"/>
      <c r="H161" s="120"/>
      <c r="I161" s="120"/>
      <c r="J161" s="144">
        <v>43830</v>
      </c>
      <c r="K161" s="145"/>
      <c r="L161" s="146"/>
      <c r="M161" s="154">
        <v>44774</v>
      </c>
      <c r="N161" s="133">
        <v>43952</v>
      </c>
      <c r="O161" s="148"/>
      <c r="P161" s="149" t="s">
        <v>596</v>
      </c>
      <c r="Q161" s="150">
        <v>103</v>
      </c>
      <c r="R161" s="57">
        <v>43811</v>
      </c>
      <c r="S161" s="116" t="s">
        <v>30</v>
      </c>
      <c r="T161" s="57" t="s">
        <v>30</v>
      </c>
      <c r="U161" s="34" t="s">
        <v>30</v>
      </c>
      <c r="V161" s="57">
        <v>43836</v>
      </c>
      <c r="W161" s="57">
        <v>43889</v>
      </c>
      <c r="X161" s="163">
        <v>43458</v>
      </c>
      <c r="Y161" s="137">
        <f t="shared" si="75"/>
        <v>44176</v>
      </c>
      <c r="Z161" s="57" t="str">
        <f t="shared" si="61"/>
        <v>NC</v>
      </c>
      <c r="AA161" s="57" t="str">
        <f t="shared" si="62"/>
        <v>NC</v>
      </c>
      <c r="AB161" s="57" t="str">
        <f t="shared" si="63"/>
        <v>NC</v>
      </c>
      <c r="AC161" s="57">
        <f t="shared" si="64"/>
        <v>44201</v>
      </c>
      <c r="AD161" s="57">
        <f t="shared" si="65"/>
        <v>44254</v>
      </c>
      <c r="AE161" s="57">
        <f t="shared" si="66"/>
        <v>44188</v>
      </c>
      <c r="AF161" s="124"/>
      <c r="AG161" s="123">
        <f t="shared" ca="1" si="67"/>
        <v>-1411</v>
      </c>
      <c r="AH161" s="123" t="str">
        <f t="shared" si="68"/>
        <v>NC</v>
      </c>
      <c r="AI161" s="123" t="str">
        <f t="shared" si="69"/>
        <v>NC</v>
      </c>
      <c r="AJ161" s="123" t="str">
        <f t="shared" si="70"/>
        <v>NC</v>
      </c>
      <c r="AK161" s="123">
        <f t="shared" ca="1" si="71"/>
        <v>-1386</v>
      </c>
      <c r="AL161" s="123">
        <f t="shared" ca="1" si="72"/>
        <v>-1333</v>
      </c>
      <c r="AM161" s="123">
        <f t="shared" ca="1" si="73"/>
        <v>-1399</v>
      </c>
      <c r="AO161" s="151" t="e">
        <f t="shared" si="74"/>
        <v>#DIV/0!</v>
      </c>
      <c r="AP161" s="152"/>
      <c r="AQ161" s="124"/>
      <c r="AR161" s="124" t="s">
        <v>470</v>
      </c>
      <c r="AS161" s="141" t="s">
        <v>643</v>
      </c>
      <c r="AT161" s="124"/>
      <c r="AU161" s="143" t="s">
        <v>1243</v>
      </c>
      <c r="AV161" s="143" t="s">
        <v>1248</v>
      </c>
      <c r="AW161" s="143" t="s">
        <v>1245</v>
      </c>
    </row>
    <row r="162" spans="1:49" s="124" customFormat="1" ht="14.4" customHeight="1" x14ac:dyDescent="0.3">
      <c r="A162" s="121"/>
      <c r="B162" s="116"/>
      <c r="C162" s="121"/>
      <c r="D162" s="123"/>
      <c r="E162" s="123"/>
      <c r="F162" s="117"/>
      <c r="G162" s="120"/>
      <c r="H162" s="120"/>
      <c r="I162" s="120"/>
      <c r="J162" s="144">
        <v>43830</v>
      </c>
      <c r="K162" s="145"/>
      <c r="L162" s="146"/>
      <c r="M162" s="154">
        <v>44774</v>
      </c>
      <c r="N162" s="133">
        <v>43952</v>
      </c>
      <c r="O162" s="148"/>
      <c r="P162" s="149" t="s">
        <v>596</v>
      </c>
      <c r="Q162" s="150">
        <v>121</v>
      </c>
      <c r="R162" s="57">
        <v>43811</v>
      </c>
      <c r="S162" s="116" t="s">
        <v>30</v>
      </c>
      <c r="T162" s="57" t="s">
        <v>30</v>
      </c>
      <c r="U162" s="34" t="s">
        <v>30</v>
      </c>
      <c r="V162" s="57">
        <v>43836</v>
      </c>
      <c r="W162" s="57">
        <v>43889</v>
      </c>
      <c r="X162" s="163">
        <v>43458</v>
      </c>
      <c r="Y162" s="137">
        <f t="shared" si="75"/>
        <v>44176</v>
      </c>
      <c r="Z162" s="57" t="str">
        <f t="shared" si="61"/>
        <v>NC</v>
      </c>
      <c r="AA162" s="57" t="str">
        <f t="shared" si="62"/>
        <v>NC</v>
      </c>
      <c r="AB162" s="57" t="str">
        <f t="shared" si="63"/>
        <v>NC</v>
      </c>
      <c r="AC162" s="57">
        <f t="shared" si="64"/>
        <v>44201</v>
      </c>
      <c r="AD162" s="57">
        <f t="shared" si="65"/>
        <v>44254</v>
      </c>
      <c r="AE162" s="57">
        <f t="shared" si="66"/>
        <v>44188</v>
      </c>
      <c r="AG162" s="123">
        <f t="shared" ca="1" si="67"/>
        <v>-1411</v>
      </c>
      <c r="AH162" s="123" t="str">
        <f t="shared" si="68"/>
        <v>NC</v>
      </c>
      <c r="AI162" s="123" t="str">
        <f t="shared" si="69"/>
        <v>NC</v>
      </c>
      <c r="AJ162" s="123" t="str">
        <f t="shared" si="70"/>
        <v>NC</v>
      </c>
      <c r="AK162" s="123">
        <f t="shared" ca="1" si="71"/>
        <v>-1386</v>
      </c>
      <c r="AL162" s="123">
        <f t="shared" ca="1" si="72"/>
        <v>-1333</v>
      </c>
      <c r="AM162" s="123">
        <f t="shared" ca="1" si="73"/>
        <v>-1399</v>
      </c>
      <c r="AN162" s="138"/>
      <c r="AO162" s="151" t="e">
        <f t="shared" si="74"/>
        <v>#DIV/0!</v>
      </c>
      <c r="AP162" s="152"/>
      <c r="AR162" s="124" t="s">
        <v>470</v>
      </c>
      <c r="AS162" s="141" t="s">
        <v>643</v>
      </c>
      <c r="AU162" s="143" t="s">
        <v>1243</v>
      </c>
      <c r="AV162" s="143" t="s">
        <v>1248</v>
      </c>
      <c r="AW162" s="143" t="s">
        <v>1245</v>
      </c>
    </row>
    <row r="163" spans="1:49" s="124" customFormat="1" ht="14.4" customHeight="1" x14ac:dyDescent="0.3">
      <c r="A163" s="121"/>
      <c r="B163" s="116"/>
      <c r="C163" s="121"/>
      <c r="D163" s="123"/>
      <c r="E163" s="123"/>
      <c r="F163" s="117"/>
      <c r="G163" s="167"/>
      <c r="H163" s="167"/>
      <c r="I163" s="167"/>
      <c r="J163" s="144">
        <v>43830</v>
      </c>
      <c r="K163" s="145"/>
      <c r="L163" s="146"/>
      <c r="M163" s="154">
        <v>44774</v>
      </c>
      <c r="N163" s="133">
        <v>43952</v>
      </c>
      <c r="O163" s="148"/>
      <c r="P163" s="149" t="s">
        <v>596</v>
      </c>
      <c r="Q163" s="150">
        <v>66</v>
      </c>
      <c r="R163" s="57">
        <v>43811</v>
      </c>
      <c r="S163" s="116" t="s">
        <v>30</v>
      </c>
      <c r="T163" s="57" t="s">
        <v>30</v>
      </c>
      <c r="U163" s="57" t="s">
        <v>30</v>
      </c>
      <c r="V163" s="57">
        <v>43836</v>
      </c>
      <c r="W163" s="57">
        <v>43889</v>
      </c>
      <c r="X163" s="163">
        <v>43458</v>
      </c>
      <c r="Y163" s="137">
        <f t="shared" si="75"/>
        <v>44176</v>
      </c>
      <c r="Z163" s="57" t="str">
        <f t="shared" si="61"/>
        <v>NC</v>
      </c>
      <c r="AA163" s="57" t="str">
        <f t="shared" si="62"/>
        <v>NC</v>
      </c>
      <c r="AB163" s="57" t="str">
        <f t="shared" si="63"/>
        <v>NC</v>
      </c>
      <c r="AC163" s="57">
        <f t="shared" si="64"/>
        <v>44201</v>
      </c>
      <c r="AD163" s="57">
        <f t="shared" si="65"/>
        <v>44254</v>
      </c>
      <c r="AE163" s="57">
        <f t="shared" si="66"/>
        <v>44188</v>
      </c>
      <c r="AG163" s="123">
        <f t="shared" ca="1" si="67"/>
        <v>-1411</v>
      </c>
      <c r="AH163" s="123" t="str">
        <f t="shared" si="68"/>
        <v>NC</v>
      </c>
      <c r="AI163" s="123" t="str">
        <f t="shared" si="69"/>
        <v>NC</v>
      </c>
      <c r="AJ163" s="123" t="str">
        <f t="shared" si="70"/>
        <v>NC</v>
      </c>
      <c r="AK163" s="123">
        <f t="shared" ca="1" si="71"/>
        <v>-1386</v>
      </c>
      <c r="AL163" s="123">
        <f t="shared" ca="1" si="72"/>
        <v>-1333</v>
      </c>
      <c r="AM163" s="123">
        <f t="shared" ca="1" si="73"/>
        <v>-1399</v>
      </c>
      <c r="AN163" s="138"/>
      <c r="AO163" s="151" t="e">
        <f t="shared" si="74"/>
        <v>#DIV/0!</v>
      </c>
      <c r="AP163" s="152"/>
      <c r="AR163" s="124" t="s">
        <v>470</v>
      </c>
      <c r="AS163" s="141" t="s">
        <v>643</v>
      </c>
      <c r="AU163" s="143" t="s">
        <v>1243</v>
      </c>
      <c r="AV163" s="143" t="s">
        <v>1248</v>
      </c>
      <c r="AW163" s="143" t="s">
        <v>1245</v>
      </c>
    </row>
    <row r="164" spans="1:49" s="160" customFormat="1" ht="14.4" customHeight="1" x14ac:dyDescent="0.3">
      <c r="A164" s="121"/>
      <c r="B164" s="116"/>
      <c r="C164" s="121"/>
      <c r="D164" s="123"/>
      <c r="E164" s="123"/>
      <c r="F164" s="117"/>
      <c r="G164" s="120"/>
      <c r="H164" s="120"/>
      <c r="I164" s="120"/>
      <c r="J164" s="156">
        <v>43830</v>
      </c>
      <c r="K164" s="145"/>
      <c r="L164" s="146"/>
      <c r="M164" s="154">
        <v>44774</v>
      </c>
      <c r="N164" s="133">
        <v>43952</v>
      </c>
      <c r="O164" s="148"/>
      <c r="P164" s="149" t="s">
        <v>596</v>
      </c>
      <c r="Q164" s="150">
        <v>116</v>
      </c>
      <c r="R164" s="57">
        <v>43811</v>
      </c>
      <c r="S164" s="116" t="s">
        <v>30</v>
      </c>
      <c r="T164" s="57" t="s">
        <v>30</v>
      </c>
      <c r="U164" s="57" t="s">
        <v>30</v>
      </c>
      <c r="V164" s="57">
        <v>43860</v>
      </c>
      <c r="W164" s="57">
        <v>43889</v>
      </c>
      <c r="X164" s="163">
        <v>43458</v>
      </c>
      <c r="Y164" s="137">
        <f t="shared" si="75"/>
        <v>44176</v>
      </c>
      <c r="Z164" s="57" t="str">
        <f t="shared" si="61"/>
        <v>NC</v>
      </c>
      <c r="AA164" s="57" t="str">
        <f t="shared" si="62"/>
        <v>NC</v>
      </c>
      <c r="AB164" s="57" t="str">
        <f t="shared" si="63"/>
        <v>NC</v>
      </c>
      <c r="AC164" s="57">
        <f t="shared" si="64"/>
        <v>44225</v>
      </c>
      <c r="AD164" s="57">
        <f t="shared" si="65"/>
        <v>44254</v>
      </c>
      <c r="AE164" s="57">
        <f t="shared" si="66"/>
        <v>44188</v>
      </c>
      <c r="AF164" s="124"/>
      <c r="AG164" s="123">
        <f t="shared" ca="1" si="67"/>
        <v>-1411</v>
      </c>
      <c r="AH164" s="123" t="str">
        <f t="shared" si="68"/>
        <v>NC</v>
      </c>
      <c r="AI164" s="123" t="str">
        <f t="shared" si="69"/>
        <v>NC</v>
      </c>
      <c r="AJ164" s="123" t="str">
        <f t="shared" si="70"/>
        <v>NC</v>
      </c>
      <c r="AK164" s="123">
        <f t="shared" ca="1" si="71"/>
        <v>-1362</v>
      </c>
      <c r="AL164" s="123">
        <f t="shared" ca="1" si="72"/>
        <v>-1333</v>
      </c>
      <c r="AM164" s="123">
        <f t="shared" ca="1" si="73"/>
        <v>-1399</v>
      </c>
      <c r="AN164" s="138"/>
      <c r="AO164" s="151" t="e">
        <f t="shared" si="74"/>
        <v>#DIV/0!</v>
      </c>
      <c r="AP164" s="152"/>
      <c r="AQ164" s="124"/>
      <c r="AR164" s="124" t="s">
        <v>470</v>
      </c>
      <c r="AS164" s="141" t="s">
        <v>643</v>
      </c>
      <c r="AT164" s="124"/>
      <c r="AU164" s="143" t="s">
        <v>1243</v>
      </c>
      <c r="AV164" s="143" t="s">
        <v>1248</v>
      </c>
      <c r="AW164" s="143" t="s">
        <v>1245</v>
      </c>
    </row>
    <row r="165" spans="1:49" s="160" customFormat="1" ht="14.4" customHeight="1" x14ac:dyDescent="0.3">
      <c r="A165" s="116"/>
      <c r="B165" s="117"/>
      <c r="C165" s="117"/>
      <c r="D165" s="116"/>
      <c r="E165" s="116"/>
      <c r="F165" s="117"/>
      <c r="G165" s="120"/>
      <c r="H165" s="120"/>
      <c r="I165" s="120"/>
      <c r="J165" s="156">
        <v>43830</v>
      </c>
      <c r="K165" s="153"/>
      <c r="L165" s="120"/>
      <c r="M165" s="132"/>
      <c r="N165" s="158">
        <v>43952</v>
      </c>
      <c r="O165" s="116"/>
      <c r="P165" s="135" t="s">
        <v>596</v>
      </c>
      <c r="Q165" s="116"/>
      <c r="R165" s="57">
        <v>43707</v>
      </c>
      <c r="S165" s="57">
        <v>43886</v>
      </c>
      <c r="T165" s="57" t="s">
        <v>30</v>
      </c>
      <c r="U165" s="34" t="s">
        <v>30</v>
      </c>
      <c r="V165" s="57">
        <v>43798</v>
      </c>
      <c r="W165" s="57">
        <v>43889</v>
      </c>
      <c r="X165" s="34">
        <v>43798</v>
      </c>
      <c r="Y165" s="137">
        <f t="shared" si="75"/>
        <v>44072</v>
      </c>
      <c r="Z165" s="57">
        <f t="shared" si="61"/>
        <v>44067</v>
      </c>
      <c r="AA165" s="57" t="str">
        <f t="shared" si="62"/>
        <v>NC</v>
      </c>
      <c r="AB165" s="57" t="str">
        <f t="shared" si="63"/>
        <v>NC</v>
      </c>
      <c r="AC165" s="57">
        <f t="shared" si="64"/>
        <v>44163</v>
      </c>
      <c r="AD165" s="57">
        <f t="shared" si="65"/>
        <v>44254</v>
      </c>
      <c r="AE165" s="57">
        <f t="shared" si="66"/>
        <v>44528</v>
      </c>
      <c r="AF165" s="138"/>
      <c r="AG165" s="123">
        <f t="shared" ca="1" si="67"/>
        <v>-1515</v>
      </c>
      <c r="AH165" s="123">
        <f t="shared" ca="1" si="68"/>
        <v>-1520</v>
      </c>
      <c r="AI165" s="123" t="str">
        <f t="shared" si="69"/>
        <v>NC</v>
      </c>
      <c r="AJ165" s="123" t="str">
        <f t="shared" si="70"/>
        <v>NC</v>
      </c>
      <c r="AK165" s="123">
        <f t="shared" ca="1" si="71"/>
        <v>-1424</v>
      </c>
      <c r="AL165" s="123">
        <f t="shared" ca="1" si="72"/>
        <v>-1333</v>
      </c>
      <c r="AM165" s="123">
        <f t="shared" ca="1" si="73"/>
        <v>-1059</v>
      </c>
      <c r="AN165" s="138"/>
      <c r="AO165" s="139" t="e">
        <f t="shared" si="74"/>
        <v>#DIV/0!</v>
      </c>
      <c r="AP165" s="138"/>
      <c r="AQ165" s="138"/>
      <c r="AR165" s="138" t="s">
        <v>861</v>
      </c>
      <c r="AS165" s="141" t="s">
        <v>643</v>
      </c>
      <c r="AT165" s="138"/>
      <c r="AU165" s="142" t="s">
        <v>1243</v>
      </c>
      <c r="AV165" s="143" t="s">
        <v>1248</v>
      </c>
      <c r="AW165" s="143" t="s">
        <v>1247</v>
      </c>
    </row>
    <row r="166" spans="1:49" s="124" customFormat="1" ht="14.4" customHeight="1" x14ac:dyDescent="0.3">
      <c r="A166" s="157"/>
      <c r="B166" s="157"/>
      <c r="C166" s="168"/>
      <c r="D166" s="157"/>
      <c r="E166" s="157"/>
      <c r="F166" s="168"/>
      <c r="G166" s="169"/>
      <c r="H166" s="169"/>
      <c r="I166" s="169"/>
      <c r="J166" s="170"/>
      <c r="K166" s="171"/>
      <c r="L166" s="172"/>
      <c r="M166" s="133"/>
      <c r="N166" s="157"/>
      <c r="O166" s="157"/>
      <c r="P166" s="135" t="s">
        <v>596</v>
      </c>
      <c r="Q166" s="157"/>
      <c r="R166" s="173"/>
      <c r="S166" s="173" t="s">
        <v>30</v>
      </c>
      <c r="T166" s="173" t="s">
        <v>30</v>
      </c>
      <c r="U166" s="174" t="s">
        <v>30</v>
      </c>
      <c r="V166" s="173"/>
      <c r="W166" s="173"/>
      <c r="X166" s="174"/>
      <c r="Y166" s="137" t="str">
        <f t="shared" si="75"/>
        <v>erreur</v>
      </c>
      <c r="Z166" s="57" t="str">
        <f t="shared" ref="Z166:Z188" si="76">IF(S166="NC","NC",IF(S166="","erreur",S166+181))</f>
        <v>NC</v>
      </c>
      <c r="AA166" s="57" t="str">
        <f t="shared" ref="AA166:AA188" si="77">IF(T166="NC","NC",IF(T166="","erreur",T166+365))</f>
        <v>NC</v>
      </c>
      <c r="AB166" s="57" t="str">
        <f t="shared" ref="AB166:AB188" si="78">IF(U166="NC","NC",IF(U166="","erreur",U166+3650))</f>
        <v>NC</v>
      </c>
      <c r="AC166" s="57" t="str">
        <f t="shared" ref="AC166:AC188" si="79">IF(V166="NC","NC",IF(V166="","erreur",V166+365))</f>
        <v>erreur</v>
      </c>
      <c r="AD166" s="57" t="str">
        <f t="shared" ref="AD166:AD188" si="80">IF(W166="NC","NC",IF(W166="","erreur",W166+365))</f>
        <v>erreur</v>
      </c>
      <c r="AE166" s="57" t="str">
        <f t="shared" ref="AE166:AE188" si="81">IF(X166="NC","NC",IF(X166="","erreur",X166+730))</f>
        <v>erreur</v>
      </c>
      <c r="AF166" s="138"/>
      <c r="AG166" s="123" t="str">
        <f t="shared" ref="AG166:AG188" si="82">IF(Y166="NC","NC",IF(Y166="erreur","erreur",Y166-$F$3))</f>
        <v>erreur</v>
      </c>
      <c r="AH166" s="123" t="str">
        <f t="shared" ref="AH166:AH188" si="83">IF(Z166="NC","NC",IF(Z166="erreur","erreur",Z166-$F$3))</f>
        <v>NC</v>
      </c>
      <c r="AI166" s="123" t="str">
        <f t="shared" ref="AI166:AI188" si="84">IF(AA166="NC","NC",IF(AA166="erreur","erreur",AA166-$F$3))</f>
        <v>NC</v>
      </c>
      <c r="AJ166" s="123" t="str">
        <f t="shared" ref="AJ166:AJ188" si="85">IF(AB166="NC","NC",IF(AB166="erreur","erreur",AB166-$F$3))</f>
        <v>NC</v>
      </c>
      <c r="AK166" s="123" t="str">
        <f t="shared" ref="AK166:AK188" si="86">IF(AC166="NC","NC",IF(AC166="erreur","erreur",AC166-$F$3))</f>
        <v>erreur</v>
      </c>
      <c r="AL166" s="123" t="str">
        <f t="shared" ref="AL166:AL188" si="87">IF(AD166="NC","NC",IF(AD166="erreur","erreur",AD166-$F$3))</f>
        <v>erreur</v>
      </c>
      <c r="AM166" s="123" t="str">
        <f t="shared" ref="AM166:AM188" si="88">IF(AE166="NC","NC",IF(AE166="erreur","erreur",AE166-$F$3))</f>
        <v>erreur</v>
      </c>
      <c r="AN166" s="138"/>
      <c r="AO166" s="139" t="e">
        <f t="shared" si="74"/>
        <v>#DIV/0!</v>
      </c>
      <c r="AP166" s="160"/>
      <c r="AQ166" s="160"/>
      <c r="AR166" s="141"/>
      <c r="AS166" s="141" t="s">
        <v>643</v>
      </c>
      <c r="AT166" s="160"/>
      <c r="AU166" s="175" t="s">
        <v>1243</v>
      </c>
      <c r="AV166" s="175" t="s">
        <v>1248</v>
      </c>
      <c r="AW166" s="175" t="s">
        <v>587</v>
      </c>
    </row>
    <row r="167" spans="1:49" s="138" customFormat="1" ht="14.4" customHeight="1" x14ac:dyDescent="0.3">
      <c r="A167" s="157"/>
      <c r="B167" s="157"/>
      <c r="C167" s="168"/>
      <c r="D167" s="157"/>
      <c r="E167" s="157"/>
      <c r="F167" s="168"/>
      <c r="G167" s="172"/>
      <c r="H167" s="172"/>
      <c r="I167" s="172"/>
      <c r="J167" s="170"/>
      <c r="K167" s="171"/>
      <c r="L167" s="172"/>
      <c r="M167" s="133"/>
      <c r="N167" s="157"/>
      <c r="O167" s="157"/>
      <c r="P167" s="135" t="s">
        <v>596</v>
      </c>
      <c r="Q167" s="157"/>
      <c r="R167" s="173"/>
      <c r="S167" s="173" t="s">
        <v>30</v>
      </c>
      <c r="T167" s="173" t="s">
        <v>30</v>
      </c>
      <c r="U167" s="174" t="s">
        <v>30</v>
      </c>
      <c r="V167" s="173"/>
      <c r="W167" s="173"/>
      <c r="X167" s="174"/>
      <c r="Y167" s="137" t="str">
        <f t="shared" si="75"/>
        <v>erreur</v>
      </c>
      <c r="Z167" s="57" t="str">
        <f t="shared" si="76"/>
        <v>NC</v>
      </c>
      <c r="AA167" s="57" t="str">
        <f t="shared" si="77"/>
        <v>NC</v>
      </c>
      <c r="AB167" s="57" t="str">
        <f t="shared" si="78"/>
        <v>NC</v>
      </c>
      <c r="AC167" s="57" t="str">
        <f t="shared" si="79"/>
        <v>erreur</v>
      </c>
      <c r="AD167" s="57" t="str">
        <f t="shared" si="80"/>
        <v>erreur</v>
      </c>
      <c r="AE167" s="57" t="str">
        <f t="shared" si="81"/>
        <v>erreur</v>
      </c>
      <c r="AG167" s="123" t="str">
        <f t="shared" si="82"/>
        <v>erreur</v>
      </c>
      <c r="AH167" s="123" t="str">
        <f t="shared" si="83"/>
        <v>NC</v>
      </c>
      <c r="AI167" s="123" t="str">
        <f t="shared" si="84"/>
        <v>NC</v>
      </c>
      <c r="AJ167" s="123" t="str">
        <f t="shared" si="85"/>
        <v>NC</v>
      </c>
      <c r="AK167" s="123" t="str">
        <f t="shared" si="86"/>
        <v>erreur</v>
      </c>
      <c r="AL167" s="123" t="str">
        <f t="shared" si="87"/>
        <v>erreur</v>
      </c>
      <c r="AM167" s="123" t="str">
        <f t="shared" si="88"/>
        <v>erreur</v>
      </c>
      <c r="AO167" s="139" t="e">
        <f t="shared" si="74"/>
        <v>#DIV/0!</v>
      </c>
      <c r="AP167" s="160"/>
      <c r="AQ167" s="160"/>
      <c r="AR167" s="141"/>
      <c r="AS167" s="141" t="s">
        <v>643</v>
      </c>
      <c r="AT167" s="160"/>
      <c r="AU167" s="175" t="s">
        <v>1243</v>
      </c>
      <c r="AV167" s="175" t="s">
        <v>1248</v>
      </c>
      <c r="AW167" s="175" t="s">
        <v>587</v>
      </c>
    </row>
    <row r="168" spans="1:49" s="138" customFormat="1" ht="14.4" customHeight="1" x14ac:dyDescent="0.3">
      <c r="A168" s="116"/>
      <c r="B168" s="126"/>
      <c r="C168" s="117"/>
      <c r="D168" s="116"/>
      <c r="E168" s="116"/>
      <c r="F168" s="117"/>
      <c r="G168" s="120"/>
      <c r="H168" s="120"/>
      <c r="I168" s="120"/>
      <c r="J168" s="156">
        <v>43830</v>
      </c>
      <c r="K168" s="130"/>
      <c r="L168" s="120"/>
      <c r="M168" s="132"/>
      <c r="N168" s="158">
        <v>43952</v>
      </c>
      <c r="O168" s="116"/>
      <c r="P168" s="135" t="s">
        <v>596</v>
      </c>
      <c r="Q168" s="116"/>
      <c r="R168" s="57">
        <v>43893</v>
      </c>
      <c r="S168" s="57" t="s">
        <v>30</v>
      </c>
      <c r="T168" s="57" t="s">
        <v>30</v>
      </c>
      <c r="U168" s="34" t="s">
        <v>30</v>
      </c>
      <c r="V168" s="57">
        <v>43902</v>
      </c>
      <c r="W168" s="57">
        <v>43889</v>
      </c>
      <c r="X168" s="163">
        <v>43570</v>
      </c>
      <c r="Y168" s="137">
        <f t="shared" si="75"/>
        <v>44258</v>
      </c>
      <c r="Z168" s="57" t="str">
        <f t="shared" si="76"/>
        <v>NC</v>
      </c>
      <c r="AA168" s="57" t="str">
        <f t="shared" si="77"/>
        <v>NC</v>
      </c>
      <c r="AB168" s="57" t="str">
        <f t="shared" si="78"/>
        <v>NC</v>
      </c>
      <c r="AC168" s="57">
        <f t="shared" si="79"/>
        <v>44267</v>
      </c>
      <c r="AD168" s="57">
        <f t="shared" si="80"/>
        <v>44254</v>
      </c>
      <c r="AE168" s="57">
        <f t="shared" si="81"/>
        <v>44300</v>
      </c>
      <c r="AF168" s="124"/>
      <c r="AG168" s="123">
        <f t="shared" ca="1" si="82"/>
        <v>-1329</v>
      </c>
      <c r="AH168" s="123" t="str">
        <f t="shared" si="83"/>
        <v>NC</v>
      </c>
      <c r="AI168" s="123" t="str">
        <f t="shared" si="84"/>
        <v>NC</v>
      </c>
      <c r="AJ168" s="123" t="str">
        <f t="shared" si="85"/>
        <v>NC</v>
      </c>
      <c r="AK168" s="123">
        <f t="shared" ca="1" si="86"/>
        <v>-1320</v>
      </c>
      <c r="AL168" s="123">
        <f t="shared" ca="1" si="87"/>
        <v>-1333</v>
      </c>
      <c r="AM168" s="123">
        <f t="shared" ca="1" si="88"/>
        <v>-1287</v>
      </c>
      <c r="AO168" s="151" t="e">
        <f t="shared" si="74"/>
        <v>#DIV/0!</v>
      </c>
      <c r="AQ168" s="138" t="s">
        <v>395</v>
      </c>
      <c r="AR168" s="138" t="s">
        <v>735</v>
      </c>
      <c r="AU168" s="142" t="s">
        <v>1243</v>
      </c>
      <c r="AV168" s="143" t="s">
        <v>1253</v>
      </c>
      <c r="AW168" s="143" t="s">
        <v>1241</v>
      </c>
    </row>
    <row r="169" spans="1:49" s="138" customFormat="1" ht="14.4" customHeight="1" x14ac:dyDescent="0.3">
      <c r="A169" s="121"/>
      <c r="B169" s="117"/>
      <c r="C169" s="121"/>
      <c r="D169" s="123"/>
      <c r="E169" s="123"/>
      <c r="F169" s="117"/>
      <c r="G169" s="99"/>
      <c r="H169" s="99"/>
      <c r="I169" s="99"/>
      <c r="J169" s="156">
        <v>43830</v>
      </c>
      <c r="K169" s="153"/>
      <c r="L169" s="146"/>
      <c r="M169" s="154">
        <v>44440</v>
      </c>
      <c r="N169" s="133">
        <v>43952</v>
      </c>
      <c r="O169" s="148"/>
      <c r="P169" s="149" t="s">
        <v>596</v>
      </c>
      <c r="Q169" s="150">
        <v>641</v>
      </c>
      <c r="R169" s="57">
        <v>43641</v>
      </c>
      <c r="S169" s="116" t="s">
        <v>30</v>
      </c>
      <c r="T169" s="57" t="s">
        <v>30</v>
      </c>
      <c r="U169" s="34" t="s">
        <v>30</v>
      </c>
      <c r="V169" s="57">
        <v>43860</v>
      </c>
      <c r="W169" s="57">
        <v>43889</v>
      </c>
      <c r="X169" s="163">
        <v>43364</v>
      </c>
      <c r="Y169" s="137">
        <f t="shared" si="75"/>
        <v>44006</v>
      </c>
      <c r="Z169" s="57" t="str">
        <f t="shared" si="76"/>
        <v>NC</v>
      </c>
      <c r="AA169" s="57" t="str">
        <f t="shared" si="77"/>
        <v>NC</v>
      </c>
      <c r="AB169" s="57" t="str">
        <f t="shared" si="78"/>
        <v>NC</v>
      </c>
      <c r="AC169" s="57">
        <f t="shared" si="79"/>
        <v>44225</v>
      </c>
      <c r="AD169" s="57">
        <f t="shared" si="80"/>
        <v>44254</v>
      </c>
      <c r="AE169" s="57">
        <f t="shared" si="81"/>
        <v>44094</v>
      </c>
      <c r="AF169" s="124"/>
      <c r="AG169" s="123">
        <f t="shared" ca="1" si="82"/>
        <v>-1581</v>
      </c>
      <c r="AH169" s="123" t="str">
        <f t="shared" si="83"/>
        <v>NC</v>
      </c>
      <c r="AI169" s="123" t="str">
        <f t="shared" si="84"/>
        <v>NC</v>
      </c>
      <c r="AJ169" s="123" t="str">
        <f t="shared" si="85"/>
        <v>NC</v>
      </c>
      <c r="AK169" s="123">
        <f t="shared" ca="1" si="86"/>
        <v>-1362</v>
      </c>
      <c r="AL169" s="123">
        <f t="shared" ca="1" si="87"/>
        <v>-1333</v>
      </c>
      <c r="AM169" s="123">
        <f t="shared" ca="1" si="88"/>
        <v>-1493</v>
      </c>
      <c r="AO169" s="151" t="e">
        <f t="shared" si="74"/>
        <v>#DIV/0!</v>
      </c>
      <c r="AP169" s="152"/>
      <c r="AQ169" s="124" t="s">
        <v>395</v>
      </c>
      <c r="AR169" s="124" t="s">
        <v>470</v>
      </c>
      <c r="AS169" s="141" t="s">
        <v>643</v>
      </c>
      <c r="AT169" s="124"/>
      <c r="AU169" s="143" t="s">
        <v>1243</v>
      </c>
      <c r="AV169" s="143" t="s">
        <v>1254</v>
      </c>
      <c r="AW169" s="143" t="s">
        <v>1241</v>
      </c>
    </row>
    <row r="170" spans="1:49" s="138" customFormat="1" ht="14.4" customHeight="1" x14ac:dyDescent="0.3">
      <c r="A170" s="121"/>
      <c r="B170" s="126"/>
      <c r="C170" s="121"/>
      <c r="D170" s="123"/>
      <c r="E170" s="123"/>
      <c r="F170" s="117"/>
      <c r="G170" s="120"/>
      <c r="H170" s="120"/>
      <c r="I170" s="120"/>
      <c r="J170" s="156">
        <v>43830</v>
      </c>
      <c r="K170" s="153"/>
      <c r="L170" s="146"/>
      <c r="M170" s="154">
        <v>44866</v>
      </c>
      <c r="N170" s="133">
        <v>44166</v>
      </c>
      <c r="O170" s="148"/>
      <c r="P170" s="149" t="s">
        <v>596</v>
      </c>
      <c r="Q170" s="150">
        <v>920</v>
      </c>
      <c r="R170" s="57">
        <v>43566</v>
      </c>
      <c r="S170" s="116" t="s">
        <v>30</v>
      </c>
      <c r="T170" s="57" t="s">
        <v>30</v>
      </c>
      <c r="U170" s="34" t="s">
        <v>30</v>
      </c>
      <c r="V170" s="34">
        <v>43570</v>
      </c>
      <c r="W170" s="57">
        <v>43889</v>
      </c>
      <c r="X170" s="163">
        <v>43573</v>
      </c>
      <c r="Y170" s="137">
        <f t="shared" si="75"/>
        <v>43931</v>
      </c>
      <c r="Z170" s="57" t="str">
        <f t="shared" si="76"/>
        <v>NC</v>
      </c>
      <c r="AA170" s="57" t="str">
        <f t="shared" si="77"/>
        <v>NC</v>
      </c>
      <c r="AB170" s="57" t="str">
        <f t="shared" si="78"/>
        <v>NC</v>
      </c>
      <c r="AC170" s="57">
        <f t="shared" si="79"/>
        <v>43935</v>
      </c>
      <c r="AD170" s="57">
        <f t="shared" si="80"/>
        <v>44254</v>
      </c>
      <c r="AE170" s="57">
        <f t="shared" si="81"/>
        <v>44303</v>
      </c>
      <c r="AF170" s="124"/>
      <c r="AG170" s="123">
        <f t="shared" ca="1" si="82"/>
        <v>-1656</v>
      </c>
      <c r="AH170" s="123" t="str">
        <f t="shared" si="83"/>
        <v>NC</v>
      </c>
      <c r="AI170" s="123" t="str">
        <f t="shared" si="84"/>
        <v>NC</v>
      </c>
      <c r="AJ170" s="123" t="str">
        <f t="shared" si="85"/>
        <v>NC</v>
      </c>
      <c r="AK170" s="123">
        <f t="shared" ca="1" si="86"/>
        <v>-1652</v>
      </c>
      <c r="AL170" s="123">
        <f t="shared" ca="1" si="87"/>
        <v>-1333</v>
      </c>
      <c r="AM170" s="123">
        <f t="shared" ca="1" si="88"/>
        <v>-1284</v>
      </c>
      <c r="AO170" s="151" t="e">
        <f t="shared" si="74"/>
        <v>#DIV/0!</v>
      </c>
      <c r="AP170" s="152"/>
      <c r="AQ170" s="124"/>
      <c r="AR170" s="124" t="s">
        <v>470</v>
      </c>
      <c r="AS170" s="141" t="s">
        <v>643</v>
      </c>
      <c r="AT170" s="124"/>
      <c r="AU170" s="143" t="s">
        <v>1243</v>
      </c>
      <c r="AV170" s="143" t="s">
        <v>1253</v>
      </c>
      <c r="AW170" s="143" t="s">
        <v>1241</v>
      </c>
    </row>
    <row r="171" spans="1:49" s="124" customFormat="1" ht="14.4" customHeight="1" x14ac:dyDescent="0.3">
      <c r="A171" s="168"/>
      <c r="B171" s="176"/>
      <c r="C171" s="168"/>
      <c r="D171" s="157"/>
      <c r="F171" s="117"/>
      <c r="G171" s="120"/>
      <c r="H171" s="120"/>
      <c r="I171" s="120"/>
      <c r="J171" s="156"/>
      <c r="K171" s="153"/>
      <c r="L171" s="146"/>
      <c r="M171" s="154"/>
      <c r="N171" s="133">
        <v>44044</v>
      </c>
      <c r="O171" s="148"/>
      <c r="P171" s="149" t="s">
        <v>596</v>
      </c>
      <c r="Q171" s="150"/>
      <c r="R171" s="57"/>
      <c r="S171" s="116" t="s">
        <v>30</v>
      </c>
      <c r="T171" s="57" t="s">
        <v>30</v>
      </c>
      <c r="U171" s="34" t="s">
        <v>30</v>
      </c>
      <c r="V171" s="57"/>
      <c r="W171" s="57"/>
      <c r="X171" s="163"/>
      <c r="Y171" s="137" t="str">
        <f t="shared" si="75"/>
        <v>erreur</v>
      </c>
      <c r="Z171" s="57" t="str">
        <f t="shared" si="76"/>
        <v>NC</v>
      </c>
      <c r="AA171" s="57" t="str">
        <f t="shared" si="77"/>
        <v>NC</v>
      </c>
      <c r="AB171" s="57" t="str">
        <f t="shared" si="78"/>
        <v>NC</v>
      </c>
      <c r="AC171" s="57" t="str">
        <f t="shared" si="79"/>
        <v>erreur</v>
      </c>
      <c r="AD171" s="57" t="str">
        <f t="shared" si="80"/>
        <v>erreur</v>
      </c>
      <c r="AE171" s="57" t="str">
        <f t="shared" si="81"/>
        <v>erreur</v>
      </c>
      <c r="AG171" s="123" t="str">
        <f t="shared" si="82"/>
        <v>erreur</v>
      </c>
      <c r="AH171" s="123" t="str">
        <f t="shared" si="83"/>
        <v>NC</v>
      </c>
      <c r="AI171" s="123" t="str">
        <f t="shared" si="84"/>
        <v>NC</v>
      </c>
      <c r="AJ171" s="123" t="str">
        <f t="shared" si="85"/>
        <v>NC</v>
      </c>
      <c r="AK171" s="123" t="str">
        <f t="shared" si="86"/>
        <v>erreur</v>
      </c>
      <c r="AL171" s="123" t="str">
        <f t="shared" si="87"/>
        <v>erreur</v>
      </c>
      <c r="AM171" s="123" t="str">
        <f t="shared" si="88"/>
        <v>erreur</v>
      </c>
      <c r="AN171" s="138"/>
      <c r="AO171" s="151"/>
      <c r="AP171" s="152"/>
      <c r="AR171" s="141" t="s">
        <v>643</v>
      </c>
      <c r="AS171" s="141" t="s">
        <v>643</v>
      </c>
      <c r="AU171" s="143"/>
      <c r="AV171" s="143"/>
      <c r="AW171" s="143" t="s">
        <v>1241</v>
      </c>
    </row>
    <row r="172" spans="1:49" s="124" customFormat="1" ht="14.4" customHeight="1" x14ac:dyDescent="0.3">
      <c r="A172" s="121"/>
      <c r="B172" s="117"/>
      <c r="C172" s="121"/>
      <c r="D172" s="123"/>
      <c r="E172" s="123"/>
      <c r="F172" s="117"/>
      <c r="G172" s="99"/>
      <c r="H172" s="99"/>
      <c r="I172" s="99"/>
      <c r="J172" s="156">
        <v>43830</v>
      </c>
      <c r="K172" s="145"/>
      <c r="L172" s="146"/>
      <c r="M172" s="154">
        <v>44440</v>
      </c>
      <c r="N172" s="133">
        <v>43952</v>
      </c>
      <c r="O172" s="148"/>
      <c r="P172" s="149" t="s">
        <v>596</v>
      </c>
      <c r="Q172" s="150"/>
      <c r="R172" s="57">
        <v>43641</v>
      </c>
      <c r="S172" s="116" t="s">
        <v>30</v>
      </c>
      <c r="T172" s="57" t="s">
        <v>30</v>
      </c>
      <c r="U172" s="34" t="s">
        <v>30</v>
      </c>
      <c r="V172" s="57">
        <v>43860</v>
      </c>
      <c r="W172" s="57">
        <v>43889</v>
      </c>
      <c r="X172" s="163">
        <v>43528</v>
      </c>
      <c r="Y172" s="137">
        <f t="shared" si="75"/>
        <v>44006</v>
      </c>
      <c r="Z172" s="57" t="str">
        <f t="shared" si="76"/>
        <v>NC</v>
      </c>
      <c r="AA172" s="57" t="str">
        <f t="shared" si="77"/>
        <v>NC</v>
      </c>
      <c r="AB172" s="57" t="str">
        <f t="shared" si="78"/>
        <v>NC</v>
      </c>
      <c r="AC172" s="57">
        <f t="shared" si="79"/>
        <v>44225</v>
      </c>
      <c r="AD172" s="57">
        <f t="shared" si="80"/>
        <v>44254</v>
      </c>
      <c r="AE172" s="57">
        <f t="shared" si="81"/>
        <v>44258</v>
      </c>
      <c r="AG172" s="123">
        <f t="shared" ca="1" si="82"/>
        <v>-1581</v>
      </c>
      <c r="AH172" s="123" t="str">
        <f t="shared" si="83"/>
        <v>NC</v>
      </c>
      <c r="AI172" s="123" t="str">
        <f t="shared" si="84"/>
        <v>NC</v>
      </c>
      <c r="AJ172" s="123" t="str">
        <f t="shared" si="85"/>
        <v>NC</v>
      </c>
      <c r="AK172" s="123">
        <f t="shared" ca="1" si="86"/>
        <v>-1362</v>
      </c>
      <c r="AL172" s="123">
        <f t="shared" ca="1" si="87"/>
        <v>-1333</v>
      </c>
      <c r="AM172" s="123">
        <f t="shared" ca="1" si="88"/>
        <v>-1329</v>
      </c>
      <c r="AN172" s="138"/>
      <c r="AO172" s="151" t="e">
        <f t="shared" ref="AO172:AO188" si="89">K172*($AO$3-L172)/$K$4</f>
        <v>#DIV/0!</v>
      </c>
      <c r="AP172" s="152"/>
      <c r="AR172" s="141" t="s">
        <v>643</v>
      </c>
      <c r="AS172" s="141" t="s">
        <v>643</v>
      </c>
      <c r="AT172" s="138"/>
      <c r="AU172" s="142" t="s">
        <v>1255</v>
      </c>
      <c r="AV172" s="143" t="s">
        <v>1256</v>
      </c>
      <c r="AW172" s="143" t="s">
        <v>1257</v>
      </c>
    </row>
    <row r="173" spans="1:49" s="124" customFormat="1" ht="14.4" customHeight="1" x14ac:dyDescent="0.3">
      <c r="A173" s="116"/>
      <c r="B173" s="116"/>
      <c r="C173" s="117"/>
      <c r="D173" s="177"/>
      <c r="E173" s="177"/>
      <c r="F173" s="117"/>
      <c r="G173" s="120"/>
      <c r="H173" s="120"/>
      <c r="I173" s="120"/>
      <c r="J173" s="156">
        <v>43830</v>
      </c>
      <c r="K173" s="134"/>
      <c r="L173" s="120"/>
      <c r="M173" s="154"/>
      <c r="N173" s="162">
        <v>44044</v>
      </c>
      <c r="O173" s="116"/>
      <c r="P173" s="149" t="s">
        <v>596</v>
      </c>
      <c r="Q173" s="136"/>
      <c r="R173" s="57" t="s">
        <v>30</v>
      </c>
      <c r="S173" s="57" t="s">
        <v>30</v>
      </c>
      <c r="T173" s="57" t="s">
        <v>30</v>
      </c>
      <c r="U173" s="34" t="s">
        <v>30</v>
      </c>
      <c r="V173" s="57" t="s">
        <v>30</v>
      </c>
      <c r="W173" s="57" t="s">
        <v>30</v>
      </c>
      <c r="X173" s="34" t="s">
        <v>30</v>
      </c>
      <c r="Y173" s="137" t="str">
        <f t="shared" si="75"/>
        <v>NC</v>
      </c>
      <c r="Z173" s="57" t="str">
        <f t="shared" si="76"/>
        <v>NC</v>
      </c>
      <c r="AA173" s="57" t="str">
        <f t="shared" si="77"/>
        <v>NC</v>
      </c>
      <c r="AB173" s="57" t="str">
        <f t="shared" si="78"/>
        <v>NC</v>
      </c>
      <c r="AC173" s="57" t="str">
        <f t="shared" si="79"/>
        <v>NC</v>
      </c>
      <c r="AD173" s="57" t="str">
        <f t="shared" si="80"/>
        <v>NC</v>
      </c>
      <c r="AE173" s="57" t="str">
        <f t="shared" si="81"/>
        <v>NC</v>
      </c>
      <c r="AF173" s="138"/>
      <c r="AG173" s="123" t="str">
        <f t="shared" si="82"/>
        <v>NC</v>
      </c>
      <c r="AH173" s="123" t="str">
        <f t="shared" si="83"/>
        <v>NC</v>
      </c>
      <c r="AI173" s="123" t="str">
        <f t="shared" si="84"/>
        <v>NC</v>
      </c>
      <c r="AJ173" s="123" t="str">
        <f t="shared" si="85"/>
        <v>NC</v>
      </c>
      <c r="AK173" s="123" t="str">
        <f t="shared" si="86"/>
        <v>NC</v>
      </c>
      <c r="AL173" s="123" t="str">
        <f t="shared" si="87"/>
        <v>NC</v>
      </c>
      <c r="AM173" s="123" t="str">
        <f t="shared" si="88"/>
        <v>NC</v>
      </c>
      <c r="AN173" s="138"/>
      <c r="AO173" s="151" t="e">
        <f t="shared" si="89"/>
        <v>#DIV/0!</v>
      </c>
      <c r="AP173" s="138"/>
      <c r="AQ173" s="138"/>
      <c r="AR173" s="141" t="s">
        <v>643</v>
      </c>
      <c r="AS173" s="141" t="s">
        <v>643</v>
      </c>
      <c r="AT173" s="138"/>
      <c r="AU173" s="142" t="s">
        <v>1258</v>
      </c>
      <c r="AV173" s="143" t="s">
        <v>1256</v>
      </c>
      <c r="AW173" s="143"/>
    </row>
    <row r="174" spans="1:49" s="124" customFormat="1" ht="14.4" customHeight="1" x14ac:dyDescent="0.3">
      <c r="A174" s="116"/>
      <c r="B174" s="116"/>
      <c r="C174" s="117"/>
      <c r="D174" s="116"/>
      <c r="E174" s="178"/>
      <c r="F174" s="117"/>
      <c r="G174" s="120"/>
      <c r="H174" s="120"/>
      <c r="I174" s="120"/>
      <c r="J174" s="156">
        <v>43830</v>
      </c>
      <c r="K174" s="134"/>
      <c r="L174" s="120"/>
      <c r="M174" s="132"/>
      <c r="N174" s="158">
        <v>43952</v>
      </c>
      <c r="O174" s="116"/>
      <c r="P174" s="135" t="s">
        <v>596</v>
      </c>
      <c r="Q174" s="116"/>
      <c r="R174" s="57">
        <v>43893</v>
      </c>
      <c r="S174" s="57" t="s">
        <v>30</v>
      </c>
      <c r="T174" s="57" t="s">
        <v>30</v>
      </c>
      <c r="U174" s="34" t="s">
        <v>30</v>
      </c>
      <c r="V174" s="57">
        <v>43902</v>
      </c>
      <c r="W174" s="57">
        <v>43889</v>
      </c>
      <c r="X174" s="163">
        <v>43565</v>
      </c>
      <c r="Y174" s="137">
        <f t="shared" si="75"/>
        <v>44258</v>
      </c>
      <c r="Z174" s="57" t="str">
        <f t="shared" si="76"/>
        <v>NC</v>
      </c>
      <c r="AA174" s="57" t="str">
        <f t="shared" si="77"/>
        <v>NC</v>
      </c>
      <c r="AB174" s="57" t="str">
        <f t="shared" si="78"/>
        <v>NC</v>
      </c>
      <c r="AC174" s="57">
        <f t="shared" si="79"/>
        <v>44267</v>
      </c>
      <c r="AD174" s="57">
        <f t="shared" si="80"/>
        <v>44254</v>
      </c>
      <c r="AE174" s="57">
        <f t="shared" si="81"/>
        <v>44295</v>
      </c>
      <c r="AF174" s="138"/>
      <c r="AG174" s="123">
        <f t="shared" ca="1" si="82"/>
        <v>-1329</v>
      </c>
      <c r="AH174" s="123" t="str">
        <f t="shared" si="83"/>
        <v>NC</v>
      </c>
      <c r="AI174" s="123" t="str">
        <f t="shared" si="84"/>
        <v>NC</v>
      </c>
      <c r="AJ174" s="123" t="str">
        <f t="shared" si="85"/>
        <v>NC</v>
      </c>
      <c r="AK174" s="123">
        <f t="shared" ca="1" si="86"/>
        <v>-1320</v>
      </c>
      <c r="AL174" s="123">
        <f t="shared" ca="1" si="87"/>
        <v>-1333</v>
      </c>
      <c r="AM174" s="123">
        <f t="shared" ca="1" si="88"/>
        <v>-1292</v>
      </c>
      <c r="AN174" s="138"/>
      <c r="AO174" s="151" t="e">
        <f t="shared" si="89"/>
        <v>#DIV/0!</v>
      </c>
      <c r="AP174" s="138"/>
      <c r="AQ174" s="138"/>
      <c r="AR174" s="141" t="s">
        <v>643</v>
      </c>
      <c r="AS174" s="141" t="s">
        <v>643</v>
      </c>
      <c r="AT174" s="138"/>
      <c r="AU174" s="142" t="s">
        <v>1259</v>
      </c>
      <c r="AV174" s="143" t="s">
        <v>1250</v>
      </c>
      <c r="AW174" s="143" t="s">
        <v>1260</v>
      </c>
    </row>
    <row r="175" spans="1:49" s="138" customFormat="1" ht="14.4" customHeight="1" x14ac:dyDescent="0.3">
      <c r="A175" s="116"/>
      <c r="B175" s="116"/>
      <c r="C175" s="117"/>
      <c r="D175" s="116"/>
      <c r="E175" s="116"/>
      <c r="F175" s="117"/>
      <c r="G175" s="120"/>
      <c r="H175" s="120"/>
      <c r="I175" s="120"/>
      <c r="J175" s="156">
        <v>43830</v>
      </c>
      <c r="K175" s="134"/>
      <c r="L175" s="120"/>
      <c r="M175" s="132"/>
      <c r="N175" s="158">
        <v>44166</v>
      </c>
      <c r="O175" s="116"/>
      <c r="P175" s="135" t="s">
        <v>596</v>
      </c>
      <c r="Q175" s="116"/>
      <c r="R175" s="57">
        <v>43788</v>
      </c>
      <c r="S175" s="57" t="s">
        <v>30</v>
      </c>
      <c r="T175" s="57" t="s">
        <v>30</v>
      </c>
      <c r="U175" s="34" t="s">
        <v>30</v>
      </c>
      <c r="V175" s="57">
        <v>43795</v>
      </c>
      <c r="W175" s="57">
        <v>43889</v>
      </c>
      <c r="X175" s="34">
        <v>43795</v>
      </c>
      <c r="Y175" s="137">
        <f t="shared" si="75"/>
        <v>44153</v>
      </c>
      <c r="Z175" s="57" t="str">
        <f t="shared" si="76"/>
        <v>NC</v>
      </c>
      <c r="AA175" s="57" t="str">
        <f t="shared" si="77"/>
        <v>NC</v>
      </c>
      <c r="AB175" s="57" t="str">
        <f t="shared" si="78"/>
        <v>NC</v>
      </c>
      <c r="AC175" s="57">
        <f t="shared" si="79"/>
        <v>44160</v>
      </c>
      <c r="AD175" s="57">
        <f t="shared" si="80"/>
        <v>44254</v>
      </c>
      <c r="AE175" s="57">
        <f t="shared" si="81"/>
        <v>44525</v>
      </c>
      <c r="AG175" s="123">
        <f t="shared" ca="1" si="82"/>
        <v>-1434</v>
      </c>
      <c r="AH175" s="123" t="str">
        <f t="shared" si="83"/>
        <v>NC</v>
      </c>
      <c r="AI175" s="123" t="str">
        <f t="shared" si="84"/>
        <v>NC</v>
      </c>
      <c r="AJ175" s="123" t="str">
        <f t="shared" si="85"/>
        <v>NC</v>
      </c>
      <c r="AK175" s="123">
        <f t="shared" ca="1" si="86"/>
        <v>-1427</v>
      </c>
      <c r="AL175" s="123">
        <f t="shared" ca="1" si="87"/>
        <v>-1333</v>
      </c>
      <c r="AM175" s="123">
        <f t="shared" ca="1" si="88"/>
        <v>-1062</v>
      </c>
      <c r="AO175" s="139" t="e">
        <f t="shared" si="89"/>
        <v>#DIV/0!</v>
      </c>
      <c r="AR175" s="141" t="s">
        <v>643</v>
      </c>
      <c r="AS175" s="141" t="s">
        <v>643</v>
      </c>
      <c r="AU175" s="142"/>
      <c r="AV175" s="143" t="s">
        <v>1256</v>
      </c>
      <c r="AW175" s="143"/>
    </row>
    <row r="176" spans="1:49" s="138" customFormat="1" ht="14.4" customHeight="1" x14ac:dyDescent="0.3">
      <c r="A176" s="125"/>
      <c r="B176" s="117"/>
      <c r="C176" s="121"/>
      <c r="D176" s="116"/>
      <c r="E176" s="116"/>
      <c r="F176" s="117"/>
      <c r="G176" s="120"/>
      <c r="H176" s="120"/>
      <c r="I176" s="120"/>
      <c r="J176" s="156">
        <v>43830</v>
      </c>
      <c r="K176" s="153"/>
      <c r="L176" s="146"/>
      <c r="M176" s="154">
        <v>44197</v>
      </c>
      <c r="N176" s="133">
        <v>43831</v>
      </c>
      <c r="O176" s="148"/>
      <c r="P176" s="149" t="s">
        <v>596</v>
      </c>
      <c r="Q176" s="150">
        <v>5040</v>
      </c>
      <c r="R176" s="57">
        <v>43893</v>
      </c>
      <c r="S176" s="116" t="s">
        <v>30</v>
      </c>
      <c r="T176" s="57" t="s">
        <v>30</v>
      </c>
      <c r="U176" s="34" t="s">
        <v>30</v>
      </c>
      <c r="V176" s="57">
        <v>43902</v>
      </c>
      <c r="W176" s="57">
        <v>43889</v>
      </c>
      <c r="X176" s="34">
        <v>43550</v>
      </c>
      <c r="Y176" s="137">
        <f t="shared" si="75"/>
        <v>44258</v>
      </c>
      <c r="Z176" s="57" t="str">
        <f t="shared" si="76"/>
        <v>NC</v>
      </c>
      <c r="AA176" s="57" t="str">
        <f t="shared" si="77"/>
        <v>NC</v>
      </c>
      <c r="AB176" s="57" t="str">
        <f t="shared" si="78"/>
        <v>NC</v>
      </c>
      <c r="AC176" s="57">
        <f t="shared" si="79"/>
        <v>44267</v>
      </c>
      <c r="AD176" s="57">
        <f t="shared" si="80"/>
        <v>44254</v>
      </c>
      <c r="AE176" s="57">
        <f t="shared" si="81"/>
        <v>44280</v>
      </c>
      <c r="AF176" s="124"/>
      <c r="AG176" s="123">
        <f t="shared" ca="1" si="82"/>
        <v>-1329</v>
      </c>
      <c r="AH176" s="123" t="str">
        <f t="shared" si="83"/>
        <v>NC</v>
      </c>
      <c r="AI176" s="123" t="str">
        <f t="shared" si="84"/>
        <v>NC</v>
      </c>
      <c r="AJ176" s="123" t="str">
        <f t="shared" si="85"/>
        <v>NC</v>
      </c>
      <c r="AK176" s="123">
        <f t="shared" ca="1" si="86"/>
        <v>-1320</v>
      </c>
      <c r="AL176" s="123">
        <f t="shared" ca="1" si="87"/>
        <v>-1333</v>
      </c>
      <c r="AM176" s="123">
        <f t="shared" ca="1" si="88"/>
        <v>-1307</v>
      </c>
      <c r="AO176" s="151" t="e">
        <f t="shared" si="89"/>
        <v>#DIV/0!</v>
      </c>
      <c r="AP176" s="152"/>
      <c r="AQ176" s="124"/>
      <c r="AR176" s="124" t="s">
        <v>470</v>
      </c>
      <c r="AS176" s="141" t="s">
        <v>643</v>
      </c>
      <c r="AT176" s="124"/>
      <c r="AU176" s="143" t="s">
        <v>1243</v>
      </c>
      <c r="AV176" s="143" t="s">
        <v>1261</v>
      </c>
      <c r="AW176" s="143" t="s">
        <v>1251</v>
      </c>
    </row>
    <row r="177" spans="1:49" s="124" customFormat="1" ht="14.4" customHeight="1" x14ac:dyDescent="0.3">
      <c r="A177" s="125"/>
      <c r="B177" s="117"/>
      <c r="C177" s="121"/>
      <c r="D177" s="116"/>
      <c r="E177" s="116"/>
      <c r="F177" s="117"/>
      <c r="G177" s="120"/>
      <c r="H177" s="120"/>
      <c r="I177" s="120"/>
      <c r="J177" s="156">
        <v>43830</v>
      </c>
      <c r="K177" s="145"/>
      <c r="L177" s="146"/>
      <c r="M177" s="154"/>
      <c r="N177" s="133">
        <v>43952</v>
      </c>
      <c r="O177" s="148"/>
      <c r="P177" s="149" t="s">
        <v>596</v>
      </c>
      <c r="Q177" s="150"/>
      <c r="R177" s="57">
        <v>43790</v>
      </c>
      <c r="S177" s="116" t="s">
        <v>30</v>
      </c>
      <c r="T177" s="57" t="s">
        <v>30</v>
      </c>
      <c r="U177" s="34" t="s">
        <v>30</v>
      </c>
      <c r="V177" s="57">
        <v>43795</v>
      </c>
      <c r="W177" s="57">
        <v>43889</v>
      </c>
      <c r="X177" s="34">
        <v>43795</v>
      </c>
      <c r="Y177" s="137">
        <f t="shared" si="75"/>
        <v>44155</v>
      </c>
      <c r="Z177" s="57" t="str">
        <f t="shared" si="76"/>
        <v>NC</v>
      </c>
      <c r="AA177" s="57" t="str">
        <f t="shared" si="77"/>
        <v>NC</v>
      </c>
      <c r="AB177" s="57" t="str">
        <f t="shared" si="78"/>
        <v>NC</v>
      </c>
      <c r="AC177" s="57">
        <f t="shared" si="79"/>
        <v>44160</v>
      </c>
      <c r="AD177" s="57">
        <f t="shared" si="80"/>
        <v>44254</v>
      </c>
      <c r="AE177" s="57">
        <f t="shared" si="81"/>
        <v>44525</v>
      </c>
      <c r="AG177" s="123">
        <f t="shared" ca="1" si="82"/>
        <v>-1432</v>
      </c>
      <c r="AH177" s="123" t="str">
        <f t="shared" si="83"/>
        <v>NC</v>
      </c>
      <c r="AI177" s="123" t="str">
        <f t="shared" si="84"/>
        <v>NC</v>
      </c>
      <c r="AJ177" s="123" t="str">
        <f t="shared" si="85"/>
        <v>NC</v>
      </c>
      <c r="AK177" s="123">
        <f t="shared" ca="1" si="86"/>
        <v>-1427</v>
      </c>
      <c r="AL177" s="123">
        <f t="shared" ca="1" si="87"/>
        <v>-1333</v>
      </c>
      <c r="AM177" s="123">
        <f t="shared" ca="1" si="88"/>
        <v>-1062</v>
      </c>
      <c r="AN177" s="138"/>
      <c r="AO177" s="151" t="e">
        <f t="shared" si="89"/>
        <v>#DIV/0!</v>
      </c>
      <c r="AP177" s="152"/>
      <c r="AR177" s="124" t="s">
        <v>470</v>
      </c>
      <c r="AS177" s="141" t="s">
        <v>643</v>
      </c>
      <c r="AU177" s="143" t="s">
        <v>1243</v>
      </c>
      <c r="AV177" s="143" t="s">
        <v>1248</v>
      </c>
      <c r="AW177" s="143" t="s">
        <v>1252</v>
      </c>
    </row>
    <row r="178" spans="1:49" s="124" customFormat="1" ht="14.4" customHeight="1" x14ac:dyDescent="0.3">
      <c r="A178" s="121"/>
      <c r="B178" s="117"/>
      <c r="C178" s="121"/>
      <c r="D178" s="123"/>
      <c r="E178" s="123"/>
      <c r="F178" s="117"/>
      <c r="G178" s="120"/>
      <c r="H178" s="120"/>
      <c r="I178" s="120"/>
      <c r="J178" s="144">
        <v>43830</v>
      </c>
      <c r="K178" s="145"/>
      <c r="L178" s="146"/>
      <c r="M178" s="154">
        <v>44470</v>
      </c>
      <c r="N178" s="133">
        <v>43952</v>
      </c>
      <c r="O178" s="148"/>
      <c r="P178" s="149" t="s">
        <v>596</v>
      </c>
      <c r="Q178" s="150">
        <v>3064</v>
      </c>
      <c r="R178" s="57">
        <v>43566</v>
      </c>
      <c r="S178" s="116" t="s">
        <v>30</v>
      </c>
      <c r="T178" s="116" t="s">
        <v>30</v>
      </c>
      <c r="U178" s="34" t="s">
        <v>30</v>
      </c>
      <c r="V178" s="57">
        <v>43570</v>
      </c>
      <c r="W178" s="57">
        <v>43889</v>
      </c>
      <c r="X178" s="166">
        <v>43573</v>
      </c>
      <c r="Y178" s="137">
        <f t="shared" ref="Y178:Y188" si="90">IF(R178="NC","NC",IF(R178="","erreur",R178+365))</f>
        <v>43931</v>
      </c>
      <c r="Z178" s="57" t="str">
        <f t="shared" si="76"/>
        <v>NC</v>
      </c>
      <c r="AA178" s="57" t="str">
        <f t="shared" si="77"/>
        <v>NC</v>
      </c>
      <c r="AB178" s="57" t="str">
        <f t="shared" si="78"/>
        <v>NC</v>
      </c>
      <c r="AC178" s="57">
        <f t="shared" si="79"/>
        <v>43935</v>
      </c>
      <c r="AD178" s="57">
        <f t="shared" si="80"/>
        <v>44254</v>
      </c>
      <c r="AE178" s="57">
        <f t="shared" si="81"/>
        <v>44303</v>
      </c>
      <c r="AG178" s="123">
        <f t="shared" ca="1" si="82"/>
        <v>-1656</v>
      </c>
      <c r="AH178" s="123" t="str">
        <f t="shared" si="83"/>
        <v>NC</v>
      </c>
      <c r="AI178" s="123" t="str">
        <f t="shared" si="84"/>
        <v>NC</v>
      </c>
      <c r="AJ178" s="123" t="str">
        <f t="shared" si="85"/>
        <v>NC</v>
      </c>
      <c r="AK178" s="123">
        <f t="shared" ca="1" si="86"/>
        <v>-1652</v>
      </c>
      <c r="AL178" s="123">
        <f t="shared" ca="1" si="87"/>
        <v>-1333</v>
      </c>
      <c r="AM178" s="123">
        <f t="shared" ca="1" si="88"/>
        <v>-1284</v>
      </c>
      <c r="AN178" s="138"/>
      <c r="AO178" s="151" t="e">
        <f t="shared" si="89"/>
        <v>#DIV/0!</v>
      </c>
      <c r="AP178" s="152"/>
      <c r="AR178" s="124" t="s">
        <v>470</v>
      </c>
      <c r="AS178" s="141" t="s">
        <v>643</v>
      </c>
      <c r="AU178" s="143" t="s">
        <v>1243</v>
      </c>
      <c r="AV178" s="143" t="s">
        <v>1248</v>
      </c>
      <c r="AW178" s="143" t="s">
        <v>1252</v>
      </c>
    </row>
    <row r="179" spans="1:49" s="138" customFormat="1" ht="14.4" customHeight="1" x14ac:dyDescent="0.3">
      <c r="A179" s="121"/>
      <c r="B179" s="117"/>
      <c r="C179" s="121"/>
      <c r="D179" s="123"/>
      <c r="E179" s="123"/>
      <c r="F179" s="117"/>
      <c r="G179" s="120"/>
      <c r="H179" s="120"/>
      <c r="I179" s="120"/>
      <c r="J179" s="144">
        <v>43830</v>
      </c>
      <c r="K179" s="145"/>
      <c r="L179" s="146"/>
      <c r="M179" s="154">
        <v>44835</v>
      </c>
      <c r="N179" s="133">
        <v>44136</v>
      </c>
      <c r="O179" s="148"/>
      <c r="P179" s="149" t="s">
        <v>596</v>
      </c>
      <c r="Q179" s="150">
        <v>3071</v>
      </c>
      <c r="R179" s="57">
        <v>43566</v>
      </c>
      <c r="S179" s="116" t="s">
        <v>30</v>
      </c>
      <c r="T179" s="116" t="s">
        <v>30</v>
      </c>
      <c r="U179" s="34" t="s">
        <v>30</v>
      </c>
      <c r="V179" s="57">
        <v>43570</v>
      </c>
      <c r="W179" s="57">
        <v>43889</v>
      </c>
      <c r="X179" s="166">
        <v>43572</v>
      </c>
      <c r="Y179" s="137">
        <f t="shared" si="90"/>
        <v>43931</v>
      </c>
      <c r="Z179" s="57" t="str">
        <f t="shared" si="76"/>
        <v>NC</v>
      </c>
      <c r="AA179" s="57" t="str">
        <f t="shared" si="77"/>
        <v>NC</v>
      </c>
      <c r="AB179" s="57" t="str">
        <f t="shared" si="78"/>
        <v>NC</v>
      </c>
      <c r="AC179" s="57">
        <f t="shared" si="79"/>
        <v>43935</v>
      </c>
      <c r="AD179" s="57">
        <f t="shared" si="80"/>
        <v>44254</v>
      </c>
      <c r="AE179" s="57">
        <f t="shared" si="81"/>
        <v>44302</v>
      </c>
      <c r="AF179" s="124"/>
      <c r="AG179" s="123">
        <f t="shared" ca="1" si="82"/>
        <v>-1656</v>
      </c>
      <c r="AH179" s="123" t="str">
        <f t="shared" si="83"/>
        <v>NC</v>
      </c>
      <c r="AI179" s="123" t="str">
        <f t="shared" si="84"/>
        <v>NC</v>
      </c>
      <c r="AJ179" s="123" t="str">
        <f t="shared" si="85"/>
        <v>NC</v>
      </c>
      <c r="AK179" s="123">
        <f t="shared" ca="1" si="86"/>
        <v>-1652</v>
      </c>
      <c r="AL179" s="123">
        <f t="shared" ca="1" si="87"/>
        <v>-1333</v>
      </c>
      <c r="AM179" s="123">
        <f t="shared" ca="1" si="88"/>
        <v>-1285</v>
      </c>
      <c r="AO179" s="151" t="e">
        <f t="shared" si="89"/>
        <v>#DIV/0!</v>
      </c>
      <c r="AP179" s="152"/>
      <c r="AQ179" s="124"/>
      <c r="AR179" s="124" t="s">
        <v>470</v>
      </c>
      <c r="AS179" s="141" t="s">
        <v>643</v>
      </c>
      <c r="AT179" s="124"/>
      <c r="AU179" s="143" t="s">
        <v>1243</v>
      </c>
      <c r="AV179" s="143" t="s">
        <v>1248</v>
      </c>
      <c r="AW179" s="143" t="s">
        <v>1252</v>
      </c>
    </row>
    <row r="180" spans="1:49" s="124" customFormat="1" ht="14.4" customHeight="1" x14ac:dyDescent="0.3">
      <c r="A180" s="116"/>
      <c r="B180" s="116"/>
      <c r="C180" s="117"/>
      <c r="D180" s="116"/>
      <c r="E180" s="116"/>
      <c r="F180" s="117"/>
      <c r="G180" s="120"/>
      <c r="H180" s="120"/>
      <c r="I180" s="120"/>
      <c r="J180" s="156">
        <v>43830</v>
      </c>
      <c r="K180" s="134"/>
      <c r="L180" s="120"/>
      <c r="M180" s="132"/>
      <c r="N180" s="158">
        <v>43952</v>
      </c>
      <c r="O180" s="116"/>
      <c r="P180" s="135" t="s">
        <v>596</v>
      </c>
      <c r="Q180" s="116"/>
      <c r="R180" s="57">
        <v>43801</v>
      </c>
      <c r="S180" s="57" t="s">
        <v>30</v>
      </c>
      <c r="T180" s="57" t="s">
        <v>30</v>
      </c>
      <c r="U180" s="34" t="s">
        <v>30</v>
      </c>
      <c r="V180" s="57">
        <v>43804</v>
      </c>
      <c r="W180" s="57">
        <v>43889</v>
      </c>
      <c r="X180" s="34">
        <v>43804</v>
      </c>
      <c r="Y180" s="137">
        <f t="shared" si="90"/>
        <v>44166</v>
      </c>
      <c r="Z180" s="57" t="str">
        <f t="shared" si="76"/>
        <v>NC</v>
      </c>
      <c r="AA180" s="57" t="str">
        <f t="shared" si="77"/>
        <v>NC</v>
      </c>
      <c r="AB180" s="57" t="str">
        <f t="shared" si="78"/>
        <v>NC</v>
      </c>
      <c r="AC180" s="57">
        <f t="shared" si="79"/>
        <v>44169</v>
      </c>
      <c r="AD180" s="57">
        <f t="shared" si="80"/>
        <v>44254</v>
      </c>
      <c r="AE180" s="57">
        <f t="shared" si="81"/>
        <v>44534</v>
      </c>
      <c r="AF180" s="138"/>
      <c r="AG180" s="123">
        <f t="shared" ca="1" si="82"/>
        <v>-1421</v>
      </c>
      <c r="AH180" s="123" t="str">
        <f t="shared" si="83"/>
        <v>NC</v>
      </c>
      <c r="AI180" s="123" t="str">
        <f t="shared" si="84"/>
        <v>NC</v>
      </c>
      <c r="AJ180" s="123" t="str">
        <f t="shared" si="85"/>
        <v>NC</v>
      </c>
      <c r="AK180" s="123">
        <f t="shared" ca="1" si="86"/>
        <v>-1418</v>
      </c>
      <c r="AL180" s="123">
        <f t="shared" ca="1" si="87"/>
        <v>-1333</v>
      </c>
      <c r="AM180" s="123">
        <f t="shared" ca="1" si="88"/>
        <v>-1053</v>
      </c>
      <c r="AN180" s="138"/>
      <c r="AO180" s="151" t="e">
        <f t="shared" si="89"/>
        <v>#DIV/0!</v>
      </c>
      <c r="AP180" s="138"/>
      <c r="AQ180" s="138" t="s">
        <v>395</v>
      </c>
      <c r="AR180" s="138" t="s">
        <v>470</v>
      </c>
      <c r="AS180" s="141" t="s">
        <v>643</v>
      </c>
      <c r="AT180" s="138"/>
      <c r="AU180" s="142" t="s">
        <v>1243</v>
      </c>
      <c r="AV180" s="143" t="s">
        <v>1262</v>
      </c>
      <c r="AW180" s="143" t="s">
        <v>396</v>
      </c>
    </row>
    <row r="181" spans="1:49" s="155" customFormat="1" ht="14.4" customHeight="1" x14ac:dyDescent="0.3">
      <c r="A181" s="117"/>
      <c r="B181" s="117"/>
      <c r="C181" s="121"/>
      <c r="D181" s="116"/>
      <c r="E181" s="116"/>
      <c r="F181" s="117"/>
      <c r="G181" s="120"/>
      <c r="H181" s="120"/>
      <c r="I181" s="120"/>
      <c r="J181" s="144">
        <v>43830</v>
      </c>
      <c r="K181" s="145"/>
      <c r="L181" s="131"/>
      <c r="M181" s="154">
        <v>44136</v>
      </c>
      <c r="N181" s="133">
        <v>43952</v>
      </c>
      <c r="O181" s="134"/>
      <c r="P181" s="149" t="s">
        <v>596</v>
      </c>
      <c r="Q181" s="136">
        <v>2173</v>
      </c>
      <c r="R181" s="57">
        <v>43801</v>
      </c>
      <c r="S181" s="116" t="s">
        <v>30</v>
      </c>
      <c r="T181" s="116" t="s">
        <v>30</v>
      </c>
      <c r="U181" s="34" t="s">
        <v>30</v>
      </c>
      <c r="V181" s="57">
        <v>43804</v>
      </c>
      <c r="W181" s="57">
        <v>43889</v>
      </c>
      <c r="X181" s="57">
        <v>43804</v>
      </c>
      <c r="Y181" s="137">
        <f t="shared" si="90"/>
        <v>44166</v>
      </c>
      <c r="Z181" s="57" t="str">
        <f t="shared" si="76"/>
        <v>NC</v>
      </c>
      <c r="AA181" s="57" t="str">
        <f t="shared" si="77"/>
        <v>NC</v>
      </c>
      <c r="AB181" s="57" t="str">
        <f t="shared" si="78"/>
        <v>NC</v>
      </c>
      <c r="AC181" s="57">
        <f t="shared" si="79"/>
        <v>44169</v>
      </c>
      <c r="AD181" s="57">
        <f t="shared" si="80"/>
        <v>44254</v>
      </c>
      <c r="AE181" s="57">
        <f t="shared" si="81"/>
        <v>44534</v>
      </c>
      <c r="AF181" s="124"/>
      <c r="AG181" s="123">
        <f t="shared" ca="1" si="82"/>
        <v>-1421</v>
      </c>
      <c r="AH181" s="123" t="str">
        <f t="shared" si="83"/>
        <v>NC</v>
      </c>
      <c r="AI181" s="123" t="str">
        <f t="shared" si="84"/>
        <v>NC</v>
      </c>
      <c r="AJ181" s="123" t="str">
        <f t="shared" si="85"/>
        <v>NC</v>
      </c>
      <c r="AK181" s="123">
        <f t="shared" ca="1" si="86"/>
        <v>-1418</v>
      </c>
      <c r="AL181" s="123">
        <f t="shared" ca="1" si="87"/>
        <v>-1333</v>
      </c>
      <c r="AM181" s="123">
        <f t="shared" ca="1" si="88"/>
        <v>-1053</v>
      </c>
      <c r="AN181" s="138"/>
      <c r="AO181" s="151" t="e">
        <f t="shared" si="89"/>
        <v>#DIV/0!</v>
      </c>
      <c r="AP181" s="152"/>
      <c r="AQ181" s="124"/>
      <c r="AR181" s="124" t="s">
        <v>470</v>
      </c>
      <c r="AS181" s="141" t="s">
        <v>643</v>
      </c>
      <c r="AT181" s="138"/>
      <c r="AU181" s="142" t="s">
        <v>1243</v>
      </c>
      <c r="AV181" s="143" t="s">
        <v>1248</v>
      </c>
      <c r="AW181" s="143" t="s">
        <v>1263</v>
      </c>
    </row>
    <row r="182" spans="1:49" s="124" customFormat="1" ht="14.4" customHeight="1" x14ac:dyDescent="0.3">
      <c r="A182" s="116"/>
      <c r="B182" s="117"/>
      <c r="C182" s="121"/>
      <c r="D182" s="116"/>
      <c r="E182" s="116"/>
      <c r="F182" s="117"/>
      <c r="G182" s="120"/>
      <c r="H182" s="120"/>
      <c r="I182" s="120"/>
      <c r="J182" s="156">
        <v>43830</v>
      </c>
      <c r="K182" s="145"/>
      <c r="L182" s="120"/>
      <c r="M182" s="154"/>
      <c r="N182" s="162">
        <v>44166</v>
      </c>
      <c r="O182" s="116"/>
      <c r="P182" s="149" t="s">
        <v>596</v>
      </c>
      <c r="Q182" s="136">
        <v>2332</v>
      </c>
      <c r="R182" s="57">
        <v>43795</v>
      </c>
      <c r="S182" s="57" t="s">
        <v>30</v>
      </c>
      <c r="T182" s="57" t="s">
        <v>30</v>
      </c>
      <c r="U182" s="34" t="s">
        <v>30</v>
      </c>
      <c r="V182" s="57">
        <v>43796</v>
      </c>
      <c r="W182" s="57">
        <v>43889</v>
      </c>
      <c r="X182" s="34">
        <v>43796</v>
      </c>
      <c r="Y182" s="137">
        <f t="shared" si="90"/>
        <v>44160</v>
      </c>
      <c r="Z182" s="57" t="str">
        <f t="shared" si="76"/>
        <v>NC</v>
      </c>
      <c r="AA182" s="57" t="str">
        <f t="shared" si="77"/>
        <v>NC</v>
      </c>
      <c r="AB182" s="57" t="str">
        <f t="shared" si="78"/>
        <v>NC</v>
      </c>
      <c r="AC182" s="57">
        <f t="shared" si="79"/>
        <v>44161</v>
      </c>
      <c r="AD182" s="57">
        <f t="shared" si="80"/>
        <v>44254</v>
      </c>
      <c r="AE182" s="57">
        <f t="shared" si="81"/>
        <v>44526</v>
      </c>
      <c r="AF182" s="138"/>
      <c r="AG182" s="123">
        <f t="shared" ca="1" si="82"/>
        <v>-1427</v>
      </c>
      <c r="AH182" s="123" t="str">
        <f t="shared" si="83"/>
        <v>NC</v>
      </c>
      <c r="AI182" s="123" t="str">
        <f t="shared" si="84"/>
        <v>NC</v>
      </c>
      <c r="AJ182" s="123" t="str">
        <f t="shared" si="85"/>
        <v>NC</v>
      </c>
      <c r="AK182" s="123">
        <f t="shared" ca="1" si="86"/>
        <v>-1426</v>
      </c>
      <c r="AL182" s="123">
        <f t="shared" ca="1" si="87"/>
        <v>-1333</v>
      </c>
      <c r="AM182" s="123">
        <f t="shared" ca="1" si="88"/>
        <v>-1061</v>
      </c>
      <c r="AN182" s="138"/>
      <c r="AO182" s="151" t="e">
        <f t="shared" si="89"/>
        <v>#DIV/0!</v>
      </c>
      <c r="AP182" s="138"/>
      <c r="AQ182" s="138"/>
      <c r="AR182" s="138" t="s">
        <v>470</v>
      </c>
      <c r="AS182" s="141" t="s">
        <v>643</v>
      </c>
      <c r="AU182" s="143" t="s">
        <v>1243</v>
      </c>
      <c r="AV182" s="143" t="s">
        <v>1248</v>
      </c>
      <c r="AW182" s="143" t="s">
        <v>1263</v>
      </c>
    </row>
    <row r="183" spans="1:49" s="124" customFormat="1" ht="14.4" customHeight="1" x14ac:dyDescent="0.3">
      <c r="A183" s="116"/>
      <c r="B183" s="117"/>
      <c r="C183" s="117"/>
      <c r="D183" s="116"/>
      <c r="E183" s="116"/>
      <c r="F183" s="117"/>
      <c r="G183" s="120"/>
      <c r="H183" s="120"/>
      <c r="I183" s="120"/>
      <c r="J183" s="156">
        <v>43830</v>
      </c>
      <c r="K183" s="145"/>
      <c r="L183" s="120"/>
      <c r="M183" s="132"/>
      <c r="N183" s="158">
        <v>43952</v>
      </c>
      <c r="O183" s="116"/>
      <c r="P183" s="135" t="s">
        <v>596</v>
      </c>
      <c r="Q183" s="116"/>
      <c r="R183" s="57">
        <v>43801</v>
      </c>
      <c r="S183" s="57" t="s">
        <v>30</v>
      </c>
      <c r="T183" s="57" t="s">
        <v>30</v>
      </c>
      <c r="U183" s="34" t="s">
        <v>30</v>
      </c>
      <c r="V183" s="57">
        <v>43804</v>
      </c>
      <c r="W183" s="57">
        <v>43889</v>
      </c>
      <c r="X183" s="34">
        <v>43804</v>
      </c>
      <c r="Y183" s="137">
        <f t="shared" si="90"/>
        <v>44166</v>
      </c>
      <c r="Z183" s="57" t="str">
        <f t="shared" si="76"/>
        <v>NC</v>
      </c>
      <c r="AA183" s="57" t="str">
        <f t="shared" si="77"/>
        <v>NC</v>
      </c>
      <c r="AB183" s="57" t="str">
        <f t="shared" si="78"/>
        <v>NC</v>
      </c>
      <c r="AC183" s="57">
        <f t="shared" si="79"/>
        <v>44169</v>
      </c>
      <c r="AD183" s="57">
        <f t="shared" si="80"/>
        <v>44254</v>
      </c>
      <c r="AE183" s="57">
        <f t="shared" si="81"/>
        <v>44534</v>
      </c>
      <c r="AF183" s="138"/>
      <c r="AG183" s="123">
        <f t="shared" ca="1" si="82"/>
        <v>-1421</v>
      </c>
      <c r="AH183" s="123" t="str">
        <f t="shared" si="83"/>
        <v>NC</v>
      </c>
      <c r="AI183" s="123" t="str">
        <f t="shared" si="84"/>
        <v>NC</v>
      </c>
      <c r="AJ183" s="123" t="str">
        <f t="shared" si="85"/>
        <v>NC</v>
      </c>
      <c r="AK183" s="123">
        <f t="shared" ca="1" si="86"/>
        <v>-1418</v>
      </c>
      <c r="AL183" s="123">
        <f t="shared" ca="1" si="87"/>
        <v>-1333</v>
      </c>
      <c r="AM183" s="123">
        <f t="shared" ca="1" si="88"/>
        <v>-1053</v>
      </c>
      <c r="AN183" s="138"/>
      <c r="AO183" s="151" t="e">
        <f t="shared" si="89"/>
        <v>#DIV/0!</v>
      </c>
      <c r="AP183" s="138"/>
      <c r="AQ183" s="138"/>
      <c r="AR183" s="138" t="s">
        <v>470</v>
      </c>
      <c r="AS183" s="141" t="s">
        <v>643</v>
      </c>
      <c r="AU183" s="143" t="s">
        <v>1243</v>
      </c>
      <c r="AV183" s="143" t="s">
        <v>1248</v>
      </c>
      <c r="AW183" s="143" t="s">
        <v>1263</v>
      </c>
    </row>
    <row r="184" spans="1:49" s="124" customFormat="1" ht="14.4" customHeight="1" x14ac:dyDescent="0.3">
      <c r="A184" s="179"/>
      <c r="B184" s="179"/>
      <c r="C184" s="179"/>
      <c r="D184" s="180"/>
      <c r="E184" s="180"/>
      <c r="F184" s="181"/>
      <c r="G184" s="182"/>
      <c r="H184" s="182"/>
      <c r="I184" s="182"/>
      <c r="J184" s="183">
        <v>43830</v>
      </c>
      <c r="K184" s="184"/>
      <c r="L184" s="185"/>
      <c r="M184" s="186" t="s">
        <v>609</v>
      </c>
      <c r="N184" s="187">
        <v>43922</v>
      </c>
      <c r="O184" s="184"/>
      <c r="P184" s="188" t="s">
        <v>596</v>
      </c>
      <c r="Q184" s="189"/>
      <c r="R184" s="190" t="s">
        <v>30</v>
      </c>
      <c r="S184" s="191" t="s">
        <v>30</v>
      </c>
      <c r="T184" s="190" t="s">
        <v>30</v>
      </c>
      <c r="U184" s="192" t="s">
        <v>30</v>
      </c>
      <c r="V184" s="190" t="s">
        <v>30</v>
      </c>
      <c r="W184" s="190" t="s">
        <v>30</v>
      </c>
      <c r="X184" s="193" t="s">
        <v>30</v>
      </c>
      <c r="Y184" s="194" t="str">
        <f t="shared" si="90"/>
        <v>NC</v>
      </c>
      <c r="Z184" s="190" t="str">
        <f t="shared" si="76"/>
        <v>NC</v>
      </c>
      <c r="AA184" s="190" t="str">
        <f t="shared" si="77"/>
        <v>NC</v>
      </c>
      <c r="AB184" s="190" t="str">
        <f t="shared" si="78"/>
        <v>NC</v>
      </c>
      <c r="AC184" s="190" t="str">
        <f t="shared" si="79"/>
        <v>NC</v>
      </c>
      <c r="AD184" s="190" t="str">
        <f t="shared" si="80"/>
        <v>NC</v>
      </c>
      <c r="AE184" s="190" t="str">
        <f t="shared" si="81"/>
        <v>NC</v>
      </c>
      <c r="AF184" s="155"/>
      <c r="AG184" s="180" t="str">
        <f t="shared" si="82"/>
        <v>NC</v>
      </c>
      <c r="AH184" s="180" t="str">
        <f t="shared" si="83"/>
        <v>NC</v>
      </c>
      <c r="AI184" s="180" t="str">
        <f t="shared" si="84"/>
        <v>NC</v>
      </c>
      <c r="AJ184" s="180" t="str">
        <f t="shared" si="85"/>
        <v>NC</v>
      </c>
      <c r="AK184" s="180" t="str">
        <f t="shared" si="86"/>
        <v>NC</v>
      </c>
      <c r="AL184" s="180" t="str">
        <f t="shared" si="87"/>
        <v>NC</v>
      </c>
      <c r="AM184" s="180" t="str">
        <f t="shared" si="88"/>
        <v>NC</v>
      </c>
      <c r="AN184" s="195"/>
      <c r="AO184" s="196" t="e">
        <f t="shared" si="89"/>
        <v>#DIV/0!</v>
      </c>
      <c r="AP184" s="197"/>
      <c r="AQ184" s="155"/>
      <c r="AR184" s="155" t="s">
        <v>470</v>
      </c>
      <c r="AS184" s="198" t="s">
        <v>643</v>
      </c>
      <c r="AT184" s="195"/>
      <c r="AU184" s="199" t="s">
        <v>1243</v>
      </c>
      <c r="AV184" s="200" t="s">
        <v>1249</v>
      </c>
      <c r="AW184" s="200" t="s">
        <v>1264</v>
      </c>
    </row>
    <row r="185" spans="1:49" s="124" customFormat="1" ht="14.4" customHeight="1" x14ac:dyDescent="0.3">
      <c r="A185" s="201"/>
      <c r="B185" s="202"/>
      <c r="C185" s="121"/>
      <c r="D185" s="203"/>
      <c r="E185" s="203"/>
      <c r="F185" s="128"/>
      <c r="G185" s="204"/>
      <c r="H185" s="204"/>
      <c r="I185" s="204"/>
      <c r="J185" s="205">
        <v>43830</v>
      </c>
      <c r="K185" s="206"/>
      <c r="L185" s="207"/>
      <c r="M185" s="147" t="s">
        <v>609</v>
      </c>
      <c r="N185" s="133">
        <v>43922</v>
      </c>
      <c r="O185" s="148"/>
      <c r="P185" s="149" t="s">
        <v>596</v>
      </c>
      <c r="Q185" s="150"/>
      <c r="R185" s="208">
        <v>43703</v>
      </c>
      <c r="S185" s="127" t="s">
        <v>30</v>
      </c>
      <c r="T185" s="208" t="s">
        <v>30</v>
      </c>
      <c r="U185" s="209" t="s">
        <v>30</v>
      </c>
      <c r="V185" s="208">
        <v>43860</v>
      </c>
      <c r="W185" s="57">
        <v>43889</v>
      </c>
      <c r="X185" s="210">
        <v>43677</v>
      </c>
      <c r="Y185" s="137">
        <f t="shared" si="90"/>
        <v>44068</v>
      </c>
      <c r="Z185" s="57" t="str">
        <f t="shared" si="76"/>
        <v>NC</v>
      </c>
      <c r="AA185" s="57" t="str">
        <f t="shared" si="77"/>
        <v>NC</v>
      </c>
      <c r="AB185" s="57" t="str">
        <f t="shared" si="78"/>
        <v>NC</v>
      </c>
      <c r="AC185" s="57">
        <f t="shared" si="79"/>
        <v>44225</v>
      </c>
      <c r="AD185" s="57">
        <f t="shared" si="80"/>
        <v>44254</v>
      </c>
      <c r="AE185" s="57">
        <f t="shared" si="81"/>
        <v>44407</v>
      </c>
      <c r="AG185" s="123">
        <f t="shared" ca="1" si="82"/>
        <v>-1519</v>
      </c>
      <c r="AH185" s="123" t="str">
        <f t="shared" si="83"/>
        <v>NC</v>
      </c>
      <c r="AI185" s="123" t="str">
        <f t="shared" si="84"/>
        <v>NC</v>
      </c>
      <c r="AJ185" s="123" t="str">
        <f t="shared" si="85"/>
        <v>NC</v>
      </c>
      <c r="AK185" s="123">
        <f t="shared" ca="1" si="86"/>
        <v>-1362</v>
      </c>
      <c r="AL185" s="123">
        <f t="shared" ca="1" si="87"/>
        <v>-1333</v>
      </c>
      <c r="AM185" s="123">
        <f t="shared" ca="1" si="88"/>
        <v>-1180</v>
      </c>
      <c r="AN185" s="138"/>
      <c r="AO185" s="151" t="e">
        <f t="shared" si="89"/>
        <v>#DIV/0!</v>
      </c>
      <c r="AP185" s="152"/>
      <c r="AR185" s="124" t="s">
        <v>470</v>
      </c>
      <c r="AS185" s="141" t="s">
        <v>643</v>
      </c>
      <c r="AU185" s="143" t="s">
        <v>1243</v>
      </c>
      <c r="AV185" s="143" t="s">
        <v>1265</v>
      </c>
      <c r="AW185" s="143" t="s">
        <v>1266</v>
      </c>
    </row>
    <row r="186" spans="1:49" s="212" customFormat="1" ht="14.4" customHeight="1" x14ac:dyDescent="0.3">
      <c r="A186" s="127"/>
      <c r="B186" s="116"/>
      <c r="C186" s="121"/>
      <c r="D186" s="127"/>
      <c r="E186" s="127"/>
      <c r="F186" s="128"/>
      <c r="G186" s="129"/>
      <c r="H186" s="129"/>
      <c r="I186" s="129"/>
      <c r="J186" s="205">
        <v>43830</v>
      </c>
      <c r="K186" s="211"/>
      <c r="L186" s="129"/>
      <c r="M186" s="154"/>
      <c r="N186" s="162">
        <v>43952</v>
      </c>
      <c r="O186" s="116"/>
      <c r="P186" s="149" t="s">
        <v>596</v>
      </c>
      <c r="Q186" s="136">
        <v>681</v>
      </c>
      <c r="R186" s="208">
        <v>43801</v>
      </c>
      <c r="S186" s="208" t="s">
        <v>30</v>
      </c>
      <c r="T186" s="208" t="s">
        <v>30</v>
      </c>
      <c r="U186" s="209" t="s">
        <v>30</v>
      </c>
      <c r="V186" s="208">
        <v>43804</v>
      </c>
      <c r="W186" s="57">
        <v>43889</v>
      </c>
      <c r="X186" s="209">
        <v>43804</v>
      </c>
      <c r="Y186" s="137">
        <f t="shared" si="90"/>
        <v>44166</v>
      </c>
      <c r="Z186" s="57" t="str">
        <f t="shared" si="76"/>
        <v>NC</v>
      </c>
      <c r="AA186" s="57" t="str">
        <f t="shared" si="77"/>
        <v>NC</v>
      </c>
      <c r="AB186" s="57" t="str">
        <f t="shared" si="78"/>
        <v>NC</v>
      </c>
      <c r="AC186" s="57">
        <f t="shared" si="79"/>
        <v>44169</v>
      </c>
      <c r="AD186" s="57">
        <f t="shared" si="80"/>
        <v>44254</v>
      </c>
      <c r="AE186" s="57">
        <f t="shared" si="81"/>
        <v>44534</v>
      </c>
      <c r="AF186" s="138"/>
      <c r="AG186" s="123">
        <f t="shared" ca="1" si="82"/>
        <v>-1421</v>
      </c>
      <c r="AH186" s="123" t="str">
        <f t="shared" si="83"/>
        <v>NC</v>
      </c>
      <c r="AI186" s="123" t="str">
        <f t="shared" si="84"/>
        <v>NC</v>
      </c>
      <c r="AJ186" s="123" t="str">
        <f t="shared" si="85"/>
        <v>NC</v>
      </c>
      <c r="AK186" s="123">
        <f t="shared" ca="1" si="86"/>
        <v>-1418</v>
      </c>
      <c r="AL186" s="123">
        <f t="shared" ca="1" si="87"/>
        <v>-1333</v>
      </c>
      <c r="AM186" s="123">
        <f t="shared" ca="1" si="88"/>
        <v>-1053</v>
      </c>
      <c r="AN186" s="138"/>
      <c r="AO186" s="151" t="e">
        <f t="shared" si="89"/>
        <v>#DIV/0!</v>
      </c>
      <c r="AP186" s="138"/>
      <c r="AQ186" s="138"/>
      <c r="AR186" s="124" t="s">
        <v>470</v>
      </c>
      <c r="AS186" s="141" t="s">
        <v>643</v>
      </c>
      <c r="AT186" s="124"/>
      <c r="AU186" s="143" t="s">
        <v>1243</v>
      </c>
      <c r="AV186" s="143" t="s">
        <v>1261</v>
      </c>
      <c r="AW186" s="143" t="s">
        <v>1251</v>
      </c>
    </row>
    <row r="187" spans="1:49" s="138" customFormat="1" ht="14.4" customHeight="1" x14ac:dyDescent="0.3">
      <c r="A187" s="121"/>
      <c r="B187" s="117"/>
      <c r="C187" s="121"/>
      <c r="D187" s="123"/>
      <c r="E187" s="123"/>
      <c r="F187" s="117"/>
      <c r="G187" s="120"/>
      <c r="H187" s="120"/>
      <c r="I187" s="120"/>
      <c r="J187" s="156">
        <v>43830</v>
      </c>
      <c r="K187" s="145"/>
      <c r="L187" s="146"/>
      <c r="M187" s="147" t="s">
        <v>609</v>
      </c>
      <c r="N187" s="133">
        <v>44166</v>
      </c>
      <c r="O187" s="148"/>
      <c r="P187" s="149" t="s">
        <v>596</v>
      </c>
      <c r="Q187" s="150">
        <v>4759</v>
      </c>
      <c r="R187" s="57">
        <v>43858</v>
      </c>
      <c r="S187" s="57" t="s">
        <v>30</v>
      </c>
      <c r="T187" s="57" t="s">
        <v>30</v>
      </c>
      <c r="U187" s="34" t="s">
        <v>30</v>
      </c>
      <c r="V187" s="57">
        <v>43860</v>
      </c>
      <c r="W187" s="57">
        <v>43889</v>
      </c>
      <c r="X187" s="163">
        <v>43503</v>
      </c>
      <c r="Y187" s="137">
        <f t="shared" si="90"/>
        <v>44223</v>
      </c>
      <c r="Z187" s="57" t="str">
        <f t="shared" si="76"/>
        <v>NC</v>
      </c>
      <c r="AA187" s="57" t="str">
        <f t="shared" si="77"/>
        <v>NC</v>
      </c>
      <c r="AB187" s="57" t="str">
        <f t="shared" si="78"/>
        <v>NC</v>
      </c>
      <c r="AC187" s="57">
        <f t="shared" si="79"/>
        <v>44225</v>
      </c>
      <c r="AD187" s="57">
        <f t="shared" si="80"/>
        <v>44254</v>
      </c>
      <c r="AE187" s="57">
        <f t="shared" si="81"/>
        <v>44233</v>
      </c>
      <c r="AF187" s="124"/>
      <c r="AG187" s="123">
        <f t="shared" ca="1" si="82"/>
        <v>-1364</v>
      </c>
      <c r="AH187" s="123" t="str">
        <f t="shared" si="83"/>
        <v>NC</v>
      </c>
      <c r="AI187" s="123" t="str">
        <f t="shared" si="84"/>
        <v>NC</v>
      </c>
      <c r="AJ187" s="123" t="str">
        <f t="shared" si="85"/>
        <v>NC</v>
      </c>
      <c r="AK187" s="123">
        <f t="shared" ca="1" si="86"/>
        <v>-1362</v>
      </c>
      <c r="AL187" s="123">
        <f t="shared" ca="1" si="87"/>
        <v>-1333</v>
      </c>
      <c r="AM187" s="123">
        <f t="shared" ca="1" si="88"/>
        <v>-1354</v>
      </c>
      <c r="AO187" s="151" t="e">
        <f t="shared" si="89"/>
        <v>#DIV/0!</v>
      </c>
      <c r="AP187" s="152"/>
      <c r="AQ187" s="124" t="s">
        <v>395</v>
      </c>
      <c r="AR187" s="124" t="s">
        <v>470</v>
      </c>
      <c r="AS187" s="141" t="s">
        <v>643</v>
      </c>
      <c r="AT187" s="124"/>
      <c r="AU187" s="143" t="s">
        <v>1243</v>
      </c>
      <c r="AV187" s="143" t="s">
        <v>1267</v>
      </c>
      <c r="AW187" s="143" t="s">
        <v>1266</v>
      </c>
    </row>
    <row r="188" spans="1:49" s="138" customFormat="1" ht="14.4" customHeight="1" x14ac:dyDescent="0.3">
      <c r="A188" s="125"/>
      <c r="B188" s="117"/>
      <c r="C188" s="121"/>
      <c r="D188" s="123"/>
      <c r="E188" s="123"/>
      <c r="F188" s="117"/>
      <c r="G188" s="120"/>
      <c r="H188" s="120"/>
      <c r="I188" s="120"/>
      <c r="J188" s="156">
        <v>43830</v>
      </c>
      <c r="K188" s="153"/>
      <c r="L188" s="146"/>
      <c r="M188" s="147" t="s">
        <v>609</v>
      </c>
      <c r="N188" s="133">
        <v>43952</v>
      </c>
      <c r="O188" s="148"/>
      <c r="P188" s="149" t="s">
        <v>596</v>
      </c>
      <c r="Q188" s="150">
        <v>148</v>
      </c>
      <c r="R188" s="57">
        <v>43866</v>
      </c>
      <c r="S188" s="57" t="s">
        <v>30</v>
      </c>
      <c r="T188" s="57" t="s">
        <v>30</v>
      </c>
      <c r="U188" s="34" t="s">
        <v>30</v>
      </c>
      <c r="V188" s="57">
        <v>43795</v>
      </c>
      <c r="W188" s="57">
        <v>43889</v>
      </c>
      <c r="X188" s="34">
        <v>43532</v>
      </c>
      <c r="Y188" s="137">
        <f t="shared" si="90"/>
        <v>44231</v>
      </c>
      <c r="Z188" s="57" t="str">
        <f t="shared" si="76"/>
        <v>NC</v>
      </c>
      <c r="AA188" s="57" t="str">
        <f t="shared" si="77"/>
        <v>NC</v>
      </c>
      <c r="AB188" s="57" t="str">
        <f t="shared" si="78"/>
        <v>NC</v>
      </c>
      <c r="AC188" s="57">
        <f t="shared" si="79"/>
        <v>44160</v>
      </c>
      <c r="AD188" s="57">
        <f t="shared" si="80"/>
        <v>44254</v>
      </c>
      <c r="AE188" s="57">
        <f t="shared" si="81"/>
        <v>44262</v>
      </c>
      <c r="AF188" s="124"/>
      <c r="AG188" s="123">
        <f t="shared" ca="1" si="82"/>
        <v>-1356</v>
      </c>
      <c r="AH188" s="123" t="str">
        <f t="shared" si="83"/>
        <v>NC</v>
      </c>
      <c r="AI188" s="123" t="str">
        <f t="shared" si="84"/>
        <v>NC</v>
      </c>
      <c r="AJ188" s="123" t="str">
        <f t="shared" si="85"/>
        <v>NC</v>
      </c>
      <c r="AK188" s="123">
        <f t="shared" ca="1" si="86"/>
        <v>-1427</v>
      </c>
      <c r="AL188" s="123">
        <f t="shared" ca="1" si="87"/>
        <v>-1333</v>
      </c>
      <c r="AM188" s="123">
        <f t="shared" ca="1" si="88"/>
        <v>-1325</v>
      </c>
      <c r="AO188" s="151" t="e">
        <f t="shared" si="89"/>
        <v>#DIV/0!</v>
      </c>
      <c r="AP188" s="152"/>
      <c r="AQ188" s="124"/>
      <c r="AR188" s="124" t="s">
        <v>470</v>
      </c>
      <c r="AS188" s="141" t="s">
        <v>643</v>
      </c>
      <c r="AT188" s="124"/>
      <c r="AU188" s="143" t="s">
        <v>1243</v>
      </c>
      <c r="AV188" s="143" t="s">
        <v>1261</v>
      </c>
      <c r="AW188" s="143" t="s">
        <v>1251</v>
      </c>
    </row>
    <row r="189" spans="1:49" s="124" customFormat="1" ht="14.4" customHeight="1" x14ac:dyDescent="0.3">
      <c r="A189" s="213"/>
      <c r="B189" s="119"/>
      <c r="C189" s="214"/>
      <c r="D189" s="215"/>
      <c r="E189" s="215"/>
      <c r="F189" s="214"/>
      <c r="G189" s="216"/>
      <c r="H189" s="216"/>
      <c r="I189" s="216"/>
      <c r="J189" s="217"/>
      <c r="K189" s="218"/>
      <c r="L189" s="219"/>
      <c r="M189" s="220"/>
      <c r="N189" s="220"/>
      <c r="O189" s="221"/>
      <c r="P189" s="222"/>
      <c r="Q189" s="223"/>
      <c r="R189" s="224"/>
      <c r="S189" s="224"/>
      <c r="T189" s="224"/>
      <c r="U189" s="225"/>
      <c r="V189" s="224"/>
      <c r="W189" s="224"/>
      <c r="X189" s="225"/>
      <c r="Y189" s="226"/>
      <c r="Z189" s="224"/>
      <c r="AA189" s="224"/>
      <c r="AB189" s="224"/>
      <c r="AC189" s="224"/>
      <c r="AD189" s="224"/>
      <c r="AE189" s="224"/>
      <c r="AF189" s="212"/>
      <c r="AG189" s="215"/>
      <c r="AH189" s="215"/>
      <c r="AI189" s="215"/>
      <c r="AJ189" s="215"/>
      <c r="AK189" s="215"/>
      <c r="AL189" s="215"/>
      <c r="AM189" s="215"/>
      <c r="AN189" s="212"/>
      <c r="AO189" s="227"/>
      <c r="AP189" s="152"/>
      <c r="AQ189" s="212"/>
      <c r="AR189" s="212"/>
      <c r="AS189" s="212"/>
      <c r="AT189" s="212"/>
      <c r="AU189" s="228" t="s">
        <v>1243</v>
      </c>
      <c r="AV189" s="228" t="s">
        <v>1246</v>
      </c>
      <c r="AW189" s="228" t="s">
        <v>1263</v>
      </c>
    </row>
    <row r="190" spans="1:49" s="124" customFormat="1" ht="14.4" customHeight="1" x14ac:dyDescent="0.3">
      <c r="A190" s="121"/>
      <c r="B190" s="121"/>
      <c r="C190" s="121"/>
      <c r="D190" s="123"/>
      <c r="E190" s="123"/>
      <c r="F190" s="117"/>
      <c r="G190" s="120"/>
      <c r="H190" s="120"/>
      <c r="I190" s="120"/>
      <c r="J190" s="156">
        <v>43830</v>
      </c>
      <c r="K190" s="153"/>
      <c r="L190" s="146"/>
      <c r="M190" s="147" t="s">
        <v>609</v>
      </c>
      <c r="N190" s="133">
        <v>43952</v>
      </c>
      <c r="O190" s="148"/>
      <c r="P190" s="149" t="s">
        <v>596</v>
      </c>
      <c r="Q190" s="150">
        <v>6295</v>
      </c>
      <c r="R190" s="57">
        <v>43858</v>
      </c>
      <c r="S190" s="57" t="s">
        <v>30</v>
      </c>
      <c r="T190" s="57" t="s">
        <v>30</v>
      </c>
      <c r="U190" s="34" t="s">
        <v>30</v>
      </c>
      <c r="V190" s="57">
        <v>43860</v>
      </c>
      <c r="W190" s="57">
        <v>43889</v>
      </c>
      <c r="X190" s="163">
        <v>43503</v>
      </c>
      <c r="Y190" s="137">
        <f t="shared" ref="Y190:Y221" si="91">IF(R190="NC","NC",IF(R190="","erreur",R190+365))</f>
        <v>44223</v>
      </c>
      <c r="Z190" s="57" t="str">
        <f t="shared" ref="Z190:Z195" si="92">IF(S190="NC","NC",IF(S190="","erreur",S190+181))</f>
        <v>NC</v>
      </c>
      <c r="AA190" s="57" t="str">
        <f t="shared" ref="AA190:AA221" si="93">IF(T190="NC","NC",IF(T190="","erreur",T190+365))</f>
        <v>NC</v>
      </c>
      <c r="AB190" s="57" t="str">
        <f t="shared" ref="AB190:AB221" si="94">IF(U190="NC","NC",IF(U190="","erreur",U190+3650))</f>
        <v>NC</v>
      </c>
      <c r="AC190" s="57">
        <f t="shared" ref="AC190:AC221" si="95">IF(V190="NC","NC",IF(V190="","erreur",V190+365))</f>
        <v>44225</v>
      </c>
      <c r="AD190" s="57">
        <f t="shared" ref="AD190:AD221" si="96">IF(W190="NC","NC",IF(W190="","erreur",W190+365))</f>
        <v>44254</v>
      </c>
      <c r="AE190" s="57">
        <f t="shared" ref="AE190:AE221" si="97">IF(X190="NC","NC",IF(X190="","erreur",X190+730))</f>
        <v>44233</v>
      </c>
      <c r="AG190" s="123">
        <f t="shared" ref="AG190:AG221" ca="1" si="98">IF(Y190="NC","NC",IF(Y190="erreur","erreur",Y190-$F$3))</f>
        <v>-1364</v>
      </c>
      <c r="AH190" s="123" t="str">
        <f t="shared" ref="AH190:AH221" si="99">IF(Z190="NC","NC",IF(Z190="erreur","erreur",Z190-$F$3))</f>
        <v>NC</v>
      </c>
      <c r="AI190" s="123" t="str">
        <f t="shared" ref="AI190:AI221" si="100">IF(AA190="NC","NC",IF(AA190="erreur","erreur",AA190-$F$3))</f>
        <v>NC</v>
      </c>
      <c r="AJ190" s="123" t="str">
        <f t="shared" ref="AJ190:AJ221" si="101">IF(AB190="NC","NC",IF(AB190="erreur","erreur",AB190-$F$3))</f>
        <v>NC</v>
      </c>
      <c r="AK190" s="123">
        <f t="shared" ref="AK190:AK221" ca="1" si="102">IF(AC190="NC","NC",IF(AC190="erreur","erreur",AC190-$F$3))</f>
        <v>-1362</v>
      </c>
      <c r="AL190" s="123">
        <f t="shared" ref="AL190:AL221" ca="1" si="103">IF(AD190="NC","NC",IF(AD190="erreur","erreur",AD190-$F$3))</f>
        <v>-1333</v>
      </c>
      <c r="AM190" s="123">
        <f t="shared" ref="AM190:AM221" ca="1" si="104">IF(AE190="NC","NC",IF(AE190="erreur","erreur",AE190-$F$3))</f>
        <v>-1354</v>
      </c>
      <c r="AN190" s="138"/>
      <c r="AO190" s="151" t="e">
        <f t="shared" ref="AO190:AO202" si="105">K190*($AO$3-L190)/$K$4</f>
        <v>#DIV/0!</v>
      </c>
      <c r="AP190" s="152"/>
      <c r="AQ190" s="124" t="s">
        <v>395</v>
      </c>
      <c r="AR190" s="124" t="s">
        <v>470</v>
      </c>
      <c r="AS190" s="141" t="s">
        <v>643</v>
      </c>
      <c r="AU190" s="143" t="s">
        <v>1243</v>
      </c>
      <c r="AV190" s="143" t="s">
        <v>1268</v>
      </c>
      <c r="AW190" s="143" t="s">
        <v>1269</v>
      </c>
    </row>
    <row r="191" spans="1:49" s="124" customFormat="1" ht="14.4" customHeight="1" x14ac:dyDescent="0.3">
      <c r="A191" s="121"/>
      <c r="B191" s="201"/>
      <c r="C191" s="121"/>
      <c r="D191" s="123"/>
      <c r="E191" s="123"/>
      <c r="F191" s="117"/>
      <c r="G191" s="120"/>
      <c r="H191" s="120"/>
      <c r="I191" s="120"/>
      <c r="J191" s="156">
        <v>43830</v>
      </c>
      <c r="K191" s="153"/>
      <c r="L191" s="146"/>
      <c r="M191" s="154">
        <v>44044</v>
      </c>
      <c r="N191" s="133">
        <v>43952</v>
      </c>
      <c r="O191" s="148"/>
      <c r="P191" s="149" t="s">
        <v>596</v>
      </c>
      <c r="Q191" s="150">
        <v>5252</v>
      </c>
      <c r="R191" s="57">
        <v>43858</v>
      </c>
      <c r="S191" s="57" t="s">
        <v>30</v>
      </c>
      <c r="T191" s="57" t="s">
        <v>30</v>
      </c>
      <c r="U191" s="34" t="s">
        <v>30</v>
      </c>
      <c r="V191" s="57">
        <v>43860</v>
      </c>
      <c r="W191" s="57">
        <v>43889</v>
      </c>
      <c r="X191" s="163">
        <v>43503</v>
      </c>
      <c r="Y191" s="137">
        <f t="shared" si="91"/>
        <v>44223</v>
      </c>
      <c r="Z191" s="57" t="str">
        <f t="shared" si="92"/>
        <v>NC</v>
      </c>
      <c r="AA191" s="57" t="str">
        <f t="shared" si="93"/>
        <v>NC</v>
      </c>
      <c r="AB191" s="57" t="str">
        <f t="shared" si="94"/>
        <v>NC</v>
      </c>
      <c r="AC191" s="57">
        <f t="shared" si="95"/>
        <v>44225</v>
      </c>
      <c r="AD191" s="57">
        <f t="shared" si="96"/>
        <v>44254</v>
      </c>
      <c r="AE191" s="57">
        <f t="shared" si="97"/>
        <v>44233</v>
      </c>
      <c r="AG191" s="123">
        <f t="shared" ca="1" si="98"/>
        <v>-1364</v>
      </c>
      <c r="AH191" s="123" t="str">
        <f t="shared" si="99"/>
        <v>NC</v>
      </c>
      <c r="AI191" s="123" t="str">
        <f t="shared" si="100"/>
        <v>NC</v>
      </c>
      <c r="AJ191" s="123" t="str">
        <f t="shared" si="101"/>
        <v>NC</v>
      </c>
      <c r="AK191" s="123">
        <f t="shared" ca="1" si="102"/>
        <v>-1362</v>
      </c>
      <c r="AL191" s="123">
        <f t="shared" ca="1" si="103"/>
        <v>-1333</v>
      </c>
      <c r="AM191" s="123">
        <f t="shared" ca="1" si="104"/>
        <v>-1354</v>
      </c>
      <c r="AN191" s="138"/>
      <c r="AO191" s="151" t="e">
        <f t="shared" si="105"/>
        <v>#DIV/0!</v>
      </c>
      <c r="AP191" s="152"/>
      <c r="AR191" s="124" t="s">
        <v>470</v>
      </c>
      <c r="AS191" s="141" t="s">
        <v>643</v>
      </c>
      <c r="AU191" s="143" t="s">
        <v>1243</v>
      </c>
      <c r="AV191" s="143" t="s">
        <v>1268</v>
      </c>
      <c r="AW191" s="143" t="s">
        <v>1263</v>
      </c>
    </row>
    <row r="192" spans="1:49" s="124" customFormat="1" ht="14.4" customHeight="1" x14ac:dyDescent="0.3">
      <c r="A192" s="121"/>
      <c r="B192" s="229"/>
      <c r="C192" s="121"/>
      <c r="D192" s="123"/>
      <c r="E192" s="123"/>
      <c r="F192" s="117"/>
      <c r="G192" s="120"/>
      <c r="H192" s="120"/>
      <c r="I192" s="120"/>
      <c r="J192" s="156">
        <v>43830</v>
      </c>
      <c r="K192" s="153"/>
      <c r="L192" s="146"/>
      <c r="M192" s="154">
        <v>44044</v>
      </c>
      <c r="N192" s="133">
        <v>43952</v>
      </c>
      <c r="O192" s="148"/>
      <c r="P192" s="149" t="s">
        <v>596</v>
      </c>
      <c r="Q192" s="150">
        <v>5606</v>
      </c>
      <c r="R192" s="57">
        <v>43858</v>
      </c>
      <c r="S192" s="57" t="s">
        <v>30</v>
      </c>
      <c r="T192" s="57" t="s">
        <v>30</v>
      </c>
      <c r="U192" s="34" t="s">
        <v>30</v>
      </c>
      <c r="V192" s="57">
        <v>43860</v>
      </c>
      <c r="W192" s="57">
        <v>43889</v>
      </c>
      <c r="X192" s="163">
        <v>43503</v>
      </c>
      <c r="Y192" s="137">
        <f t="shared" si="91"/>
        <v>44223</v>
      </c>
      <c r="Z192" s="57" t="str">
        <f t="shared" si="92"/>
        <v>NC</v>
      </c>
      <c r="AA192" s="57" t="str">
        <f t="shared" si="93"/>
        <v>NC</v>
      </c>
      <c r="AB192" s="57" t="str">
        <f t="shared" si="94"/>
        <v>NC</v>
      </c>
      <c r="AC192" s="57">
        <f t="shared" si="95"/>
        <v>44225</v>
      </c>
      <c r="AD192" s="57">
        <f t="shared" si="96"/>
        <v>44254</v>
      </c>
      <c r="AE192" s="57">
        <f t="shared" si="97"/>
        <v>44233</v>
      </c>
      <c r="AG192" s="123">
        <f t="shared" ca="1" si="98"/>
        <v>-1364</v>
      </c>
      <c r="AH192" s="123" t="str">
        <f t="shared" si="99"/>
        <v>NC</v>
      </c>
      <c r="AI192" s="123" t="str">
        <f t="shared" si="100"/>
        <v>NC</v>
      </c>
      <c r="AJ192" s="123" t="str">
        <f t="shared" si="101"/>
        <v>NC</v>
      </c>
      <c r="AK192" s="123">
        <f t="shared" ca="1" si="102"/>
        <v>-1362</v>
      </c>
      <c r="AL192" s="123">
        <f t="shared" ca="1" si="103"/>
        <v>-1333</v>
      </c>
      <c r="AM192" s="123">
        <f t="shared" ca="1" si="104"/>
        <v>-1354</v>
      </c>
      <c r="AN192" s="138"/>
      <c r="AO192" s="151" t="e">
        <f t="shared" si="105"/>
        <v>#DIV/0!</v>
      </c>
      <c r="AP192" s="152"/>
      <c r="AR192" s="124" t="s">
        <v>470</v>
      </c>
      <c r="AS192" s="141" t="s">
        <v>643</v>
      </c>
      <c r="AT192" s="138"/>
      <c r="AU192" s="142" t="s">
        <v>1243</v>
      </c>
      <c r="AV192" s="143" t="s">
        <v>1268</v>
      </c>
      <c r="AW192" s="143" t="s">
        <v>1263</v>
      </c>
    </row>
    <row r="193" spans="1:49" s="124" customFormat="1" ht="14.4" customHeight="1" x14ac:dyDescent="0.3">
      <c r="A193" s="116"/>
      <c r="B193" s="123"/>
      <c r="C193" s="117"/>
      <c r="D193" s="116"/>
      <c r="E193" s="116"/>
      <c r="F193" s="117"/>
      <c r="G193" s="120"/>
      <c r="H193" s="120"/>
      <c r="I193" s="120"/>
      <c r="J193" s="156">
        <v>43830</v>
      </c>
      <c r="K193" s="134"/>
      <c r="L193" s="120"/>
      <c r="M193" s="132"/>
      <c r="N193" s="158">
        <v>43952</v>
      </c>
      <c r="O193" s="116"/>
      <c r="P193" s="135" t="s">
        <v>596</v>
      </c>
      <c r="Q193" s="116"/>
      <c r="R193" s="57">
        <v>43789</v>
      </c>
      <c r="S193" s="57" t="s">
        <v>30</v>
      </c>
      <c r="T193" s="57" t="s">
        <v>30</v>
      </c>
      <c r="U193" s="34" t="s">
        <v>30</v>
      </c>
      <c r="V193" s="57">
        <v>43836</v>
      </c>
      <c r="W193" s="57">
        <v>43889</v>
      </c>
      <c r="X193" s="34">
        <v>43837</v>
      </c>
      <c r="Y193" s="137">
        <f t="shared" si="91"/>
        <v>44154</v>
      </c>
      <c r="Z193" s="57" t="str">
        <f t="shared" si="92"/>
        <v>NC</v>
      </c>
      <c r="AA193" s="57" t="str">
        <f t="shared" si="93"/>
        <v>NC</v>
      </c>
      <c r="AB193" s="57" t="str">
        <f t="shared" si="94"/>
        <v>NC</v>
      </c>
      <c r="AC193" s="57">
        <f t="shared" si="95"/>
        <v>44201</v>
      </c>
      <c r="AD193" s="57">
        <f t="shared" si="96"/>
        <v>44254</v>
      </c>
      <c r="AE193" s="57">
        <f t="shared" si="97"/>
        <v>44567</v>
      </c>
      <c r="AF193" s="138"/>
      <c r="AG193" s="123">
        <f t="shared" ca="1" si="98"/>
        <v>-1433</v>
      </c>
      <c r="AH193" s="123" t="str">
        <f t="shared" si="99"/>
        <v>NC</v>
      </c>
      <c r="AI193" s="123" t="str">
        <f t="shared" si="100"/>
        <v>NC</v>
      </c>
      <c r="AJ193" s="123" t="str">
        <f t="shared" si="101"/>
        <v>NC</v>
      </c>
      <c r="AK193" s="123">
        <f t="shared" ca="1" si="102"/>
        <v>-1386</v>
      </c>
      <c r="AL193" s="123">
        <f t="shared" ca="1" si="103"/>
        <v>-1333</v>
      </c>
      <c r="AM193" s="123">
        <f t="shared" ca="1" si="104"/>
        <v>-1020</v>
      </c>
      <c r="AN193" s="138"/>
      <c r="AO193" s="139" t="e">
        <f t="shared" si="105"/>
        <v>#DIV/0!</v>
      </c>
      <c r="AP193" s="138"/>
      <c r="AQ193" s="138"/>
      <c r="AR193" s="138" t="s">
        <v>470</v>
      </c>
      <c r="AS193" s="141" t="s">
        <v>643</v>
      </c>
      <c r="AT193" s="138"/>
      <c r="AU193" s="142" t="s">
        <v>1243</v>
      </c>
      <c r="AV193" s="143" t="s">
        <v>1262</v>
      </c>
      <c r="AW193" s="143" t="s">
        <v>1271</v>
      </c>
    </row>
    <row r="194" spans="1:49" s="124" customFormat="1" x14ac:dyDescent="0.3">
      <c r="A194" s="121"/>
      <c r="B194" s="117"/>
      <c r="C194" s="121"/>
      <c r="D194" s="123"/>
      <c r="E194" s="123"/>
      <c r="F194" s="121"/>
      <c r="G194" s="120"/>
      <c r="H194" s="120"/>
      <c r="I194" s="120"/>
      <c r="J194" s="144">
        <v>43830</v>
      </c>
      <c r="K194" s="145"/>
      <c r="L194" s="146"/>
      <c r="M194" s="154">
        <v>45047</v>
      </c>
      <c r="N194" s="133">
        <v>43983</v>
      </c>
      <c r="O194" s="148"/>
      <c r="P194" s="149" t="s">
        <v>596</v>
      </c>
      <c r="Q194" s="150"/>
      <c r="R194" s="116" t="s">
        <v>30</v>
      </c>
      <c r="S194" s="57">
        <v>43755</v>
      </c>
      <c r="T194" s="57" t="s">
        <v>30</v>
      </c>
      <c r="U194" s="34" t="s">
        <v>30</v>
      </c>
      <c r="V194" s="57" t="s">
        <v>30</v>
      </c>
      <c r="W194" s="57" t="s">
        <v>30</v>
      </c>
      <c r="X194" s="34" t="s">
        <v>30</v>
      </c>
      <c r="Y194" s="137" t="str">
        <f t="shared" si="91"/>
        <v>NC</v>
      </c>
      <c r="Z194" s="57">
        <f t="shared" si="92"/>
        <v>43936</v>
      </c>
      <c r="AA194" s="57" t="str">
        <f t="shared" si="93"/>
        <v>NC</v>
      </c>
      <c r="AB194" s="57" t="str">
        <f t="shared" si="94"/>
        <v>NC</v>
      </c>
      <c r="AC194" s="57" t="str">
        <f t="shared" si="95"/>
        <v>NC</v>
      </c>
      <c r="AD194" s="57" t="str">
        <f t="shared" si="96"/>
        <v>NC</v>
      </c>
      <c r="AE194" s="57" t="str">
        <f t="shared" si="97"/>
        <v>NC</v>
      </c>
      <c r="AG194" s="123" t="str">
        <f t="shared" si="98"/>
        <v>NC</v>
      </c>
      <c r="AH194" s="123">
        <f t="shared" ca="1" si="99"/>
        <v>-1651</v>
      </c>
      <c r="AI194" s="123" t="str">
        <f t="shared" si="100"/>
        <v>NC</v>
      </c>
      <c r="AJ194" s="123" t="str">
        <f t="shared" si="101"/>
        <v>NC</v>
      </c>
      <c r="AK194" s="123" t="str">
        <f t="shared" si="102"/>
        <v>NC</v>
      </c>
      <c r="AL194" s="123" t="str">
        <f t="shared" si="103"/>
        <v>NC</v>
      </c>
      <c r="AM194" s="123" t="str">
        <f t="shared" si="104"/>
        <v>NC</v>
      </c>
      <c r="AN194" s="138"/>
      <c r="AO194" s="151" t="e">
        <f t="shared" si="105"/>
        <v>#DIV/0!</v>
      </c>
      <c r="AP194" s="152"/>
      <c r="AR194" s="141" t="s">
        <v>643</v>
      </c>
      <c r="AS194" s="141" t="s">
        <v>643</v>
      </c>
      <c r="AU194" s="143" t="s">
        <v>1273</v>
      </c>
      <c r="AV194" s="143" t="s">
        <v>1272</v>
      </c>
      <c r="AW194" s="143" t="s">
        <v>1274</v>
      </c>
    </row>
    <row r="195" spans="1:49" s="124" customFormat="1" x14ac:dyDescent="0.3">
      <c r="A195" s="121"/>
      <c r="B195" s="117"/>
      <c r="C195" s="121"/>
      <c r="D195" s="123"/>
      <c r="E195" s="123"/>
      <c r="F195" s="121"/>
      <c r="G195" s="120"/>
      <c r="H195" s="120"/>
      <c r="I195" s="120"/>
      <c r="J195" s="144">
        <v>43830</v>
      </c>
      <c r="K195" s="145"/>
      <c r="L195" s="146"/>
      <c r="M195" s="154">
        <v>45931</v>
      </c>
      <c r="N195" s="133">
        <v>43952</v>
      </c>
      <c r="O195" s="148"/>
      <c r="P195" s="149" t="s">
        <v>596</v>
      </c>
      <c r="Q195" s="150"/>
      <c r="R195" s="116" t="s">
        <v>30</v>
      </c>
      <c r="S195" s="57">
        <v>43755</v>
      </c>
      <c r="T195" s="57" t="s">
        <v>30</v>
      </c>
      <c r="U195" s="34" t="s">
        <v>30</v>
      </c>
      <c r="V195" s="57" t="s">
        <v>30</v>
      </c>
      <c r="W195" s="57" t="s">
        <v>30</v>
      </c>
      <c r="X195" s="34" t="s">
        <v>30</v>
      </c>
      <c r="Y195" s="137" t="str">
        <f t="shared" si="91"/>
        <v>NC</v>
      </c>
      <c r="Z195" s="57">
        <f t="shared" si="92"/>
        <v>43936</v>
      </c>
      <c r="AA195" s="57" t="str">
        <f t="shared" si="93"/>
        <v>NC</v>
      </c>
      <c r="AB195" s="57" t="str">
        <f t="shared" si="94"/>
        <v>NC</v>
      </c>
      <c r="AC195" s="57" t="str">
        <f t="shared" si="95"/>
        <v>NC</v>
      </c>
      <c r="AD195" s="57" t="str">
        <f t="shared" si="96"/>
        <v>NC</v>
      </c>
      <c r="AE195" s="57" t="str">
        <f t="shared" si="97"/>
        <v>NC</v>
      </c>
      <c r="AG195" s="123" t="str">
        <f t="shared" si="98"/>
        <v>NC</v>
      </c>
      <c r="AH195" s="123">
        <f t="shared" ca="1" si="99"/>
        <v>-1651</v>
      </c>
      <c r="AI195" s="123" t="str">
        <f t="shared" si="100"/>
        <v>NC</v>
      </c>
      <c r="AJ195" s="123" t="str">
        <f t="shared" si="101"/>
        <v>NC</v>
      </c>
      <c r="AK195" s="123" t="str">
        <f t="shared" si="102"/>
        <v>NC</v>
      </c>
      <c r="AL195" s="123" t="str">
        <f t="shared" si="103"/>
        <v>NC</v>
      </c>
      <c r="AM195" s="123" t="str">
        <f t="shared" si="104"/>
        <v>NC</v>
      </c>
      <c r="AN195" s="138"/>
      <c r="AO195" s="230" t="e">
        <f t="shared" si="105"/>
        <v>#DIV/0!</v>
      </c>
      <c r="AP195" s="152"/>
      <c r="AR195" s="141" t="s">
        <v>643</v>
      </c>
      <c r="AS195" s="141" t="s">
        <v>643</v>
      </c>
      <c r="AU195" s="143" t="s">
        <v>1273</v>
      </c>
      <c r="AV195" s="143" t="s">
        <v>1272</v>
      </c>
      <c r="AW195" s="143" t="s">
        <v>1274</v>
      </c>
    </row>
    <row r="196" spans="1:49" s="124" customFormat="1" x14ac:dyDescent="0.3">
      <c r="A196" s="121"/>
      <c r="B196" s="117"/>
      <c r="C196" s="121"/>
      <c r="D196" s="123"/>
      <c r="E196" s="123"/>
      <c r="F196" s="121"/>
      <c r="G196" s="120"/>
      <c r="H196" s="120"/>
      <c r="I196" s="120"/>
      <c r="J196" s="144">
        <v>43830</v>
      </c>
      <c r="K196" s="145"/>
      <c r="L196" s="146"/>
      <c r="M196" s="154">
        <v>45566</v>
      </c>
      <c r="N196" s="133">
        <v>44075</v>
      </c>
      <c r="O196" s="148"/>
      <c r="P196" s="149" t="s">
        <v>596</v>
      </c>
      <c r="Q196" s="150"/>
      <c r="R196" s="116" t="s">
        <v>30</v>
      </c>
      <c r="S196" s="57">
        <v>43573</v>
      </c>
      <c r="T196" s="116" t="s">
        <v>30</v>
      </c>
      <c r="U196" s="34" t="s">
        <v>30</v>
      </c>
      <c r="V196" s="57" t="s">
        <v>30</v>
      </c>
      <c r="W196" s="57" t="s">
        <v>30</v>
      </c>
      <c r="X196" s="34" t="s">
        <v>30</v>
      </c>
      <c r="Y196" s="137" t="str">
        <f t="shared" si="91"/>
        <v>NC</v>
      </c>
      <c r="Z196" s="57">
        <f>IF(S196="NC","NC",IF(S196="","erreur",S196+365))</f>
        <v>43938</v>
      </c>
      <c r="AA196" s="57" t="str">
        <f t="shared" si="93"/>
        <v>NC</v>
      </c>
      <c r="AB196" s="57" t="str">
        <f t="shared" si="94"/>
        <v>NC</v>
      </c>
      <c r="AC196" s="57" t="str">
        <f t="shared" si="95"/>
        <v>NC</v>
      </c>
      <c r="AD196" s="57" t="str">
        <f t="shared" si="96"/>
        <v>NC</v>
      </c>
      <c r="AE196" s="57" t="str">
        <f t="shared" si="97"/>
        <v>NC</v>
      </c>
      <c r="AG196" s="123" t="str">
        <f t="shared" si="98"/>
        <v>NC</v>
      </c>
      <c r="AH196" s="123">
        <f t="shared" ca="1" si="99"/>
        <v>-1649</v>
      </c>
      <c r="AI196" s="123" t="str">
        <f t="shared" si="100"/>
        <v>NC</v>
      </c>
      <c r="AJ196" s="123" t="str">
        <f t="shared" si="101"/>
        <v>NC</v>
      </c>
      <c r="AK196" s="123" t="str">
        <f t="shared" si="102"/>
        <v>NC</v>
      </c>
      <c r="AL196" s="123" t="str">
        <f t="shared" si="103"/>
        <v>NC</v>
      </c>
      <c r="AM196" s="123" t="str">
        <f t="shared" si="104"/>
        <v>NC</v>
      </c>
      <c r="AN196" s="138"/>
      <c r="AO196" s="230" t="e">
        <f t="shared" si="105"/>
        <v>#DIV/0!</v>
      </c>
      <c r="AP196" s="152"/>
      <c r="AR196" s="141" t="s">
        <v>643</v>
      </c>
      <c r="AS196" s="141" t="s">
        <v>643</v>
      </c>
      <c r="AU196" s="143" t="s">
        <v>1273</v>
      </c>
      <c r="AV196" s="143" t="s">
        <v>1275</v>
      </c>
      <c r="AW196" s="143" t="s">
        <v>1276</v>
      </c>
    </row>
    <row r="197" spans="1:49" s="138" customFormat="1" ht="14.4" customHeight="1" x14ac:dyDescent="0.3">
      <c r="A197" s="121"/>
      <c r="B197" s="117"/>
      <c r="C197" s="121"/>
      <c r="D197" s="123"/>
      <c r="E197" s="123"/>
      <c r="F197" s="121"/>
      <c r="G197" s="120"/>
      <c r="H197" s="120"/>
      <c r="I197" s="120"/>
      <c r="J197" s="231" t="s">
        <v>30</v>
      </c>
      <c r="K197" s="145"/>
      <c r="L197" s="146"/>
      <c r="M197" s="154">
        <v>45992</v>
      </c>
      <c r="N197" s="133">
        <v>44075</v>
      </c>
      <c r="O197" s="148"/>
      <c r="P197" s="149" t="s">
        <v>596</v>
      </c>
      <c r="Q197" s="150"/>
      <c r="R197" s="116" t="s">
        <v>30</v>
      </c>
      <c r="S197" s="116" t="s">
        <v>30</v>
      </c>
      <c r="T197" s="116" t="s">
        <v>30</v>
      </c>
      <c r="U197" s="34" t="s">
        <v>30</v>
      </c>
      <c r="V197" s="57" t="s">
        <v>30</v>
      </c>
      <c r="W197" s="57" t="s">
        <v>30</v>
      </c>
      <c r="X197" s="34" t="s">
        <v>30</v>
      </c>
      <c r="Y197" s="137" t="str">
        <f t="shared" si="91"/>
        <v>NC</v>
      </c>
      <c r="Z197" s="57" t="str">
        <f>IF(S197="NC","NC",IF(S197="","erreur",S197+181))</f>
        <v>NC</v>
      </c>
      <c r="AA197" s="57" t="str">
        <f t="shared" si="93"/>
        <v>NC</v>
      </c>
      <c r="AB197" s="57" t="str">
        <f t="shared" si="94"/>
        <v>NC</v>
      </c>
      <c r="AC197" s="57" t="str">
        <f t="shared" si="95"/>
        <v>NC</v>
      </c>
      <c r="AD197" s="57" t="str">
        <f t="shared" si="96"/>
        <v>NC</v>
      </c>
      <c r="AE197" s="57" t="str">
        <f t="shared" si="97"/>
        <v>NC</v>
      </c>
      <c r="AF197" s="124"/>
      <c r="AG197" s="123" t="str">
        <f t="shared" si="98"/>
        <v>NC</v>
      </c>
      <c r="AH197" s="123" t="str">
        <f t="shared" si="99"/>
        <v>NC</v>
      </c>
      <c r="AI197" s="123" t="str">
        <f t="shared" si="100"/>
        <v>NC</v>
      </c>
      <c r="AJ197" s="123" t="str">
        <f t="shared" si="101"/>
        <v>NC</v>
      </c>
      <c r="AK197" s="123" t="str">
        <f t="shared" si="102"/>
        <v>NC</v>
      </c>
      <c r="AL197" s="123" t="str">
        <f t="shared" si="103"/>
        <v>NC</v>
      </c>
      <c r="AM197" s="123" t="str">
        <f t="shared" si="104"/>
        <v>NC</v>
      </c>
      <c r="AO197" s="151" t="e">
        <f t="shared" si="105"/>
        <v>#DIV/0!</v>
      </c>
      <c r="AP197" s="152"/>
      <c r="AQ197" s="124"/>
      <c r="AR197" s="141" t="s">
        <v>643</v>
      </c>
      <c r="AS197" s="141" t="s">
        <v>643</v>
      </c>
      <c r="AT197" s="124"/>
      <c r="AU197" s="143" t="s">
        <v>1273</v>
      </c>
      <c r="AV197" s="143" t="s">
        <v>165</v>
      </c>
      <c r="AW197" s="143"/>
    </row>
    <row r="198" spans="1:49" s="232" customFormat="1" x14ac:dyDescent="0.3">
      <c r="A198" s="121"/>
      <c r="B198" s="117"/>
      <c r="C198" s="121"/>
      <c r="D198" s="123"/>
      <c r="E198" s="123"/>
      <c r="F198" s="121"/>
      <c r="G198" s="120"/>
      <c r="H198" s="120"/>
      <c r="I198" s="120"/>
      <c r="J198" s="144">
        <v>43830</v>
      </c>
      <c r="K198" s="145"/>
      <c r="L198" s="146"/>
      <c r="M198" s="147" t="s">
        <v>609</v>
      </c>
      <c r="N198" s="133">
        <v>44044</v>
      </c>
      <c r="O198" s="148"/>
      <c r="P198" s="149" t="s">
        <v>596</v>
      </c>
      <c r="Q198" s="150"/>
      <c r="R198" s="116" t="s">
        <v>30</v>
      </c>
      <c r="S198" s="57">
        <v>43692</v>
      </c>
      <c r="T198" s="116" t="s">
        <v>30</v>
      </c>
      <c r="U198" s="34" t="s">
        <v>30</v>
      </c>
      <c r="V198" s="57" t="s">
        <v>30</v>
      </c>
      <c r="W198" s="57" t="s">
        <v>30</v>
      </c>
      <c r="X198" s="34" t="s">
        <v>30</v>
      </c>
      <c r="Y198" s="137" t="str">
        <f t="shared" si="91"/>
        <v>NC</v>
      </c>
      <c r="Z198" s="57">
        <f>IF(S198="NC","NC",IF(S198="","erreur",S198+365))</f>
        <v>44057</v>
      </c>
      <c r="AA198" s="57" t="str">
        <f t="shared" si="93"/>
        <v>NC</v>
      </c>
      <c r="AB198" s="57" t="str">
        <f t="shared" si="94"/>
        <v>NC</v>
      </c>
      <c r="AC198" s="57" t="str">
        <f t="shared" si="95"/>
        <v>NC</v>
      </c>
      <c r="AD198" s="57" t="str">
        <f t="shared" si="96"/>
        <v>NC</v>
      </c>
      <c r="AE198" s="57" t="str">
        <f t="shared" si="97"/>
        <v>NC</v>
      </c>
      <c r="AF198" s="124"/>
      <c r="AG198" s="123" t="str">
        <f t="shared" si="98"/>
        <v>NC</v>
      </c>
      <c r="AH198" s="123">
        <f t="shared" ca="1" si="99"/>
        <v>-1530</v>
      </c>
      <c r="AI198" s="123" t="str">
        <f t="shared" si="100"/>
        <v>NC</v>
      </c>
      <c r="AJ198" s="123" t="str">
        <f t="shared" si="101"/>
        <v>NC</v>
      </c>
      <c r="AK198" s="123" t="str">
        <f t="shared" si="102"/>
        <v>NC</v>
      </c>
      <c r="AL198" s="123" t="str">
        <f t="shared" si="103"/>
        <v>NC</v>
      </c>
      <c r="AM198" s="123" t="str">
        <f t="shared" si="104"/>
        <v>NC</v>
      </c>
      <c r="AN198" s="138"/>
      <c r="AO198" s="230" t="e">
        <f t="shared" si="105"/>
        <v>#DIV/0!</v>
      </c>
      <c r="AP198" s="152"/>
      <c r="AQ198" s="124"/>
      <c r="AR198" s="141" t="s">
        <v>643</v>
      </c>
      <c r="AS198" s="141" t="s">
        <v>643</v>
      </c>
      <c r="AT198" s="124"/>
      <c r="AU198" s="143" t="s">
        <v>1273</v>
      </c>
      <c r="AV198" s="143" t="s">
        <v>1275</v>
      </c>
      <c r="AW198" s="143" t="s">
        <v>1276</v>
      </c>
    </row>
    <row r="199" spans="1:49" s="160" customFormat="1" ht="14.4" customHeight="1" x14ac:dyDescent="0.3">
      <c r="A199" s="121"/>
      <c r="B199" s="117"/>
      <c r="C199" s="121"/>
      <c r="D199" s="123"/>
      <c r="E199" s="123"/>
      <c r="F199" s="121"/>
      <c r="G199" s="120"/>
      <c r="H199" s="120"/>
      <c r="I199" s="120"/>
      <c r="J199" s="231" t="s">
        <v>30</v>
      </c>
      <c r="K199" s="145"/>
      <c r="L199" s="146"/>
      <c r="M199" s="154"/>
      <c r="N199" s="133"/>
      <c r="O199" s="148"/>
      <c r="P199" s="149" t="s">
        <v>596</v>
      </c>
      <c r="Q199" s="150"/>
      <c r="R199" s="116" t="s">
        <v>30</v>
      </c>
      <c r="S199" s="116" t="s">
        <v>30</v>
      </c>
      <c r="T199" s="116" t="s">
        <v>30</v>
      </c>
      <c r="U199" s="34" t="s">
        <v>30</v>
      </c>
      <c r="V199" s="57" t="s">
        <v>30</v>
      </c>
      <c r="W199" s="57" t="s">
        <v>30</v>
      </c>
      <c r="X199" s="34" t="s">
        <v>30</v>
      </c>
      <c r="Y199" s="137" t="str">
        <f t="shared" si="91"/>
        <v>NC</v>
      </c>
      <c r="Z199" s="57" t="str">
        <f t="shared" ref="Z199:Z230" si="106">IF(S199="NC","NC",IF(S199="","erreur",S199+181))</f>
        <v>NC</v>
      </c>
      <c r="AA199" s="57" t="str">
        <f t="shared" si="93"/>
        <v>NC</v>
      </c>
      <c r="AB199" s="57" t="str">
        <f t="shared" si="94"/>
        <v>NC</v>
      </c>
      <c r="AC199" s="57" t="str">
        <f t="shared" si="95"/>
        <v>NC</v>
      </c>
      <c r="AD199" s="57" t="str">
        <f t="shared" si="96"/>
        <v>NC</v>
      </c>
      <c r="AE199" s="57" t="str">
        <f t="shared" si="97"/>
        <v>NC</v>
      </c>
      <c r="AF199" s="124"/>
      <c r="AG199" s="123" t="str">
        <f t="shared" si="98"/>
        <v>NC</v>
      </c>
      <c r="AH199" s="123" t="str">
        <f t="shared" si="99"/>
        <v>NC</v>
      </c>
      <c r="AI199" s="123" t="str">
        <f t="shared" si="100"/>
        <v>NC</v>
      </c>
      <c r="AJ199" s="123" t="str">
        <f t="shared" si="101"/>
        <v>NC</v>
      </c>
      <c r="AK199" s="123" t="str">
        <f t="shared" si="102"/>
        <v>NC</v>
      </c>
      <c r="AL199" s="123" t="str">
        <f t="shared" si="103"/>
        <v>NC</v>
      </c>
      <c r="AM199" s="123" t="str">
        <f t="shared" si="104"/>
        <v>NC</v>
      </c>
      <c r="AN199" s="138"/>
      <c r="AO199" s="151" t="e">
        <f t="shared" si="105"/>
        <v>#DIV/0!</v>
      </c>
      <c r="AP199" s="152"/>
      <c r="AQ199" s="124"/>
      <c r="AR199" s="141" t="s">
        <v>643</v>
      </c>
      <c r="AS199" s="141" t="s">
        <v>643</v>
      </c>
      <c r="AT199" s="124"/>
      <c r="AU199" s="143" t="s">
        <v>1277</v>
      </c>
      <c r="AV199" s="143" t="s">
        <v>945</v>
      </c>
      <c r="AW199" s="143" t="s">
        <v>946</v>
      </c>
    </row>
    <row r="200" spans="1:49" s="124" customFormat="1" ht="14.4" customHeight="1" x14ac:dyDescent="0.3">
      <c r="A200" s="121"/>
      <c r="B200" s="117"/>
      <c r="C200" s="121"/>
      <c r="D200" s="123"/>
      <c r="E200" s="123"/>
      <c r="F200" s="121"/>
      <c r="G200" s="120"/>
      <c r="H200" s="120"/>
      <c r="I200" s="120"/>
      <c r="J200" s="231" t="s">
        <v>30</v>
      </c>
      <c r="K200" s="145"/>
      <c r="L200" s="146"/>
      <c r="M200" s="154"/>
      <c r="N200" s="133"/>
      <c r="O200" s="148"/>
      <c r="P200" s="149" t="s">
        <v>596</v>
      </c>
      <c r="Q200" s="150"/>
      <c r="R200" s="116" t="s">
        <v>30</v>
      </c>
      <c r="S200" s="116" t="s">
        <v>30</v>
      </c>
      <c r="T200" s="116" t="s">
        <v>30</v>
      </c>
      <c r="U200" s="34" t="s">
        <v>30</v>
      </c>
      <c r="V200" s="57" t="s">
        <v>30</v>
      </c>
      <c r="W200" s="57" t="s">
        <v>30</v>
      </c>
      <c r="X200" s="34" t="s">
        <v>30</v>
      </c>
      <c r="Y200" s="137" t="str">
        <f t="shared" si="91"/>
        <v>NC</v>
      </c>
      <c r="Z200" s="57" t="str">
        <f t="shared" si="106"/>
        <v>NC</v>
      </c>
      <c r="AA200" s="57" t="str">
        <f t="shared" si="93"/>
        <v>NC</v>
      </c>
      <c r="AB200" s="57" t="str">
        <f t="shared" si="94"/>
        <v>NC</v>
      </c>
      <c r="AC200" s="57" t="str">
        <f t="shared" si="95"/>
        <v>NC</v>
      </c>
      <c r="AD200" s="57" t="str">
        <f t="shared" si="96"/>
        <v>NC</v>
      </c>
      <c r="AE200" s="57" t="str">
        <f t="shared" si="97"/>
        <v>NC</v>
      </c>
      <c r="AG200" s="123" t="str">
        <f t="shared" si="98"/>
        <v>NC</v>
      </c>
      <c r="AH200" s="123" t="str">
        <f t="shared" si="99"/>
        <v>NC</v>
      </c>
      <c r="AI200" s="123" t="str">
        <f t="shared" si="100"/>
        <v>NC</v>
      </c>
      <c r="AJ200" s="123" t="str">
        <f t="shared" si="101"/>
        <v>NC</v>
      </c>
      <c r="AK200" s="123" t="str">
        <f t="shared" si="102"/>
        <v>NC</v>
      </c>
      <c r="AL200" s="123" t="str">
        <f t="shared" si="103"/>
        <v>NC</v>
      </c>
      <c r="AM200" s="123" t="str">
        <f t="shared" si="104"/>
        <v>NC</v>
      </c>
      <c r="AN200" s="138"/>
      <c r="AO200" s="151" t="e">
        <f t="shared" si="105"/>
        <v>#DIV/0!</v>
      </c>
      <c r="AP200" s="152"/>
      <c r="AR200" s="141" t="s">
        <v>643</v>
      </c>
      <c r="AS200" s="141" t="s">
        <v>643</v>
      </c>
      <c r="AU200" s="143" t="s">
        <v>1277</v>
      </c>
      <c r="AV200" s="143" t="s">
        <v>945</v>
      </c>
      <c r="AW200" s="143" t="s">
        <v>946</v>
      </c>
    </row>
    <row r="201" spans="1:49" s="212" customFormat="1" x14ac:dyDescent="0.3">
      <c r="A201" s="117"/>
      <c r="B201" s="117"/>
      <c r="C201" s="121"/>
      <c r="D201" s="116"/>
      <c r="E201" s="116"/>
      <c r="F201" s="121"/>
      <c r="G201" s="120"/>
      <c r="H201" s="120"/>
      <c r="I201" s="120"/>
      <c r="J201" s="144">
        <v>43830</v>
      </c>
      <c r="K201" s="130"/>
      <c r="L201" s="131"/>
      <c r="M201" s="154">
        <v>44501</v>
      </c>
      <c r="N201" s="133">
        <v>44166</v>
      </c>
      <c r="O201" s="134"/>
      <c r="P201" s="149" t="s">
        <v>596</v>
      </c>
      <c r="Q201" s="136">
        <v>3515</v>
      </c>
      <c r="R201" s="116" t="s">
        <v>30</v>
      </c>
      <c r="S201" s="57">
        <v>43886</v>
      </c>
      <c r="T201" s="57">
        <v>43673</v>
      </c>
      <c r="U201" s="34" t="s">
        <v>30</v>
      </c>
      <c r="V201" s="57" t="s">
        <v>30</v>
      </c>
      <c r="W201" s="57" t="s">
        <v>30</v>
      </c>
      <c r="X201" s="34" t="s">
        <v>30</v>
      </c>
      <c r="Y201" s="137" t="str">
        <f t="shared" si="91"/>
        <v>NC</v>
      </c>
      <c r="Z201" s="57">
        <f t="shared" si="106"/>
        <v>44067</v>
      </c>
      <c r="AA201" s="57">
        <f t="shared" si="93"/>
        <v>44038</v>
      </c>
      <c r="AB201" s="57" t="str">
        <f t="shared" si="94"/>
        <v>NC</v>
      </c>
      <c r="AC201" s="57" t="str">
        <f t="shared" si="95"/>
        <v>NC</v>
      </c>
      <c r="AD201" s="57" t="str">
        <f t="shared" si="96"/>
        <v>NC</v>
      </c>
      <c r="AE201" s="57" t="str">
        <f t="shared" si="97"/>
        <v>NC</v>
      </c>
      <c r="AF201" s="124"/>
      <c r="AG201" s="123" t="str">
        <f t="shared" si="98"/>
        <v>NC</v>
      </c>
      <c r="AH201" s="123">
        <f t="shared" ca="1" si="99"/>
        <v>-1520</v>
      </c>
      <c r="AI201" s="123">
        <f t="shared" ca="1" si="100"/>
        <v>-1549</v>
      </c>
      <c r="AJ201" s="123" t="str">
        <f t="shared" si="101"/>
        <v>NC</v>
      </c>
      <c r="AK201" s="123" t="str">
        <f t="shared" si="102"/>
        <v>NC</v>
      </c>
      <c r="AL201" s="123" t="str">
        <f t="shared" si="103"/>
        <v>NC</v>
      </c>
      <c r="AM201" s="123" t="str">
        <f t="shared" si="104"/>
        <v>NC</v>
      </c>
      <c r="AN201" s="138"/>
      <c r="AO201" s="151" t="e">
        <f t="shared" si="105"/>
        <v>#DIV/0!</v>
      </c>
      <c r="AP201" s="152"/>
      <c r="AQ201" s="124"/>
      <c r="AR201" s="141" t="s">
        <v>643</v>
      </c>
      <c r="AS201" s="141" t="s">
        <v>643</v>
      </c>
      <c r="AT201" s="124"/>
      <c r="AU201" s="143" t="s">
        <v>1278</v>
      </c>
      <c r="AV201" s="143" t="s">
        <v>1279</v>
      </c>
      <c r="AW201" s="143" t="s">
        <v>1280</v>
      </c>
    </row>
    <row r="202" spans="1:49" s="160" customFormat="1" ht="14.4" customHeight="1" x14ac:dyDescent="0.3">
      <c r="A202" s="117"/>
      <c r="B202" s="117"/>
      <c r="C202" s="121"/>
      <c r="D202" s="123"/>
      <c r="E202" s="123"/>
      <c r="F202" s="121"/>
      <c r="G202" s="120"/>
      <c r="H202" s="120"/>
      <c r="I202" s="120"/>
      <c r="J202" s="144">
        <v>43830</v>
      </c>
      <c r="K202" s="130"/>
      <c r="L202" s="146"/>
      <c r="M202" s="147" t="s">
        <v>609</v>
      </c>
      <c r="N202" s="133">
        <v>43983</v>
      </c>
      <c r="O202" s="148"/>
      <c r="P202" s="149" t="s">
        <v>596</v>
      </c>
      <c r="Q202" s="150"/>
      <c r="R202" s="57" t="s">
        <v>30</v>
      </c>
      <c r="S202" s="57">
        <v>43683</v>
      </c>
      <c r="T202" s="57">
        <v>43628</v>
      </c>
      <c r="U202" s="34" t="s">
        <v>30</v>
      </c>
      <c r="V202" s="57" t="s">
        <v>30</v>
      </c>
      <c r="W202" s="57" t="s">
        <v>30</v>
      </c>
      <c r="X202" s="34" t="s">
        <v>30</v>
      </c>
      <c r="Y202" s="137" t="str">
        <f t="shared" si="91"/>
        <v>NC</v>
      </c>
      <c r="Z202" s="57">
        <f t="shared" si="106"/>
        <v>43864</v>
      </c>
      <c r="AA202" s="57">
        <f t="shared" si="93"/>
        <v>43993</v>
      </c>
      <c r="AB202" s="57" t="str">
        <f t="shared" si="94"/>
        <v>NC</v>
      </c>
      <c r="AC202" s="57" t="str">
        <f t="shared" si="95"/>
        <v>NC</v>
      </c>
      <c r="AD202" s="57" t="str">
        <f t="shared" si="96"/>
        <v>NC</v>
      </c>
      <c r="AE202" s="57" t="str">
        <f t="shared" si="97"/>
        <v>NC</v>
      </c>
      <c r="AF202" s="124"/>
      <c r="AG202" s="123" t="str">
        <f t="shared" si="98"/>
        <v>NC</v>
      </c>
      <c r="AH202" s="123">
        <f t="shared" ca="1" si="99"/>
        <v>-1723</v>
      </c>
      <c r="AI202" s="123">
        <f t="shared" ca="1" si="100"/>
        <v>-1594</v>
      </c>
      <c r="AJ202" s="123" t="str">
        <f t="shared" si="101"/>
        <v>NC</v>
      </c>
      <c r="AK202" s="123" t="str">
        <f t="shared" si="102"/>
        <v>NC</v>
      </c>
      <c r="AL202" s="123" t="str">
        <f t="shared" si="103"/>
        <v>NC</v>
      </c>
      <c r="AM202" s="123" t="str">
        <f t="shared" si="104"/>
        <v>NC</v>
      </c>
      <c r="AN202" s="138"/>
      <c r="AO202" s="230" t="e">
        <f t="shared" si="105"/>
        <v>#DIV/0!</v>
      </c>
      <c r="AP202" s="152"/>
      <c r="AQ202" s="124"/>
      <c r="AR202" s="141" t="s">
        <v>643</v>
      </c>
      <c r="AS202" s="141" t="s">
        <v>643</v>
      </c>
      <c r="AT202" s="138"/>
      <c r="AU202" s="142" t="s">
        <v>1278</v>
      </c>
      <c r="AV202" s="143" t="s">
        <v>1279</v>
      </c>
      <c r="AW202" s="143" t="s">
        <v>1280</v>
      </c>
    </row>
    <row r="203" spans="1:49" s="160" customFormat="1" x14ac:dyDescent="0.3">
      <c r="A203" s="116"/>
      <c r="B203" s="117"/>
      <c r="C203" s="117"/>
      <c r="D203" s="116"/>
      <c r="E203" s="116"/>
      <c r="F203" s="117"/>
      <c r="G203" s="120"/>
      <c r="H203" s="120"/>
      <c r="I203" s="120"/>
      <c r="J203" s="156"/>
      <c r="K203" s="130"/>
      <c r="L203" s="131"/>
      <c r="M203" s="132"/>
      <c r="N203" s="233">
        <v>44044</v>
      </c>
      <c r="O203" s="116"/>
      <c r="P203" s="135"/>
      <c r="Q203" s="136"/>
      <c r="R203" s="57" t="s">
        <v>30</v>
      </c>
      <c r="S203" s="57">
        <v>43742</v>
      </c>
      <c r="T203" s="57"/>
      <c r="U203" s="34" t="s">
        <v>30</v>
      </c>
      <c r="V203" s="57" t="s">
        <v>30</v>
      </c>
      <c r="W203" s="57" t="s">
        <v>30</v>
      </c>
      <c r="X203" s="34" t="s">
        <v>30</v>
      </c>
      <c r="Y203" s="137" t="str">
        <f t="shared" si="91"/>
        <v>NC</v>
      </c>
      <c r="Z203" s="57">
        <f t="shared" si="106"/>
        <v>43923</v>
      </c>
      <c r="AA203" s="57" t="str">
        <f t="shared" si="93"/>
        <v>erreur</v>
      </c>
      <c r="AB203" s="57" t="str">
        <f t="shared" si="94"/>
        <v>NC</v>
      </c>
      <c r="AC203" s="57" t="str">
        <f t="shared" si="95"/>
        <v>NC</v>
      </c>
      <c r="AD203" s="57" t="str">
        <f t="shared" si="96"/>
        <v>NC</v>
      </c>
      <c r="AE203" s="57" t="str">
        <f t="shared" si="97"/>
        <v>NC</v>
      </c>
      <c r="AF203" s="138"/>
      <c r="AG203" s="116" t="str">
        <f t="shared" si="98"/>
        <v>NC</v>
      </c>
      <c r="AH203" s="116">
        <f t="shared" ca="1" si="99"/>
        <v>-1664</v>
      </c>
      <c r="AI203" s="116" t="str">
        <f t="shared" si="100"/>
        <v>erreur</v>
      </c>
      <c r="AJ203" s="116" t="str">
        <f t="shared" si="101"/>
        <v>NC</v>
      </c>
      <c r="AK203" s="116" t="str">
        <f t="shared" si="102"/>
        <v>NC</v>
      </c>
      <c r="AL203" s="116" t="str">
        <f t="shared" si="103"/>
        <v>NC</v>
      </c>
      <c r="AM203" s="116" t="str">
        <f t="shared" si="104"/>
        <v>NC</v>
      </c>
      <c r="AN203" s="138"/>
      <c r="AO203" s="139"/>
      <c r="AP203" s="138"/>
      <c r="AQ203" s="138"/>
      <c r="AR203" s="138" t="s">
        <v>643</v>
      </c>
      <c r="AS203" s="138" t="s">
        <v>643</v>
      </c>
      <c r="AT203" s="138"/>
      <c r="AU203" s="142" t="s">
        <v>1278</v>
      </c>
      <c r="AV203" s="142" t="s">
        <v>1279</v>
      </c>
      <c r="AW203" s="142" t="s">
        <v>1280</v>
      </c>
    </row>
    <row r="204" spans="1:49" s="138" customFormat="1" ht="14.4" customHeight="1" x14ac:dyDescent="0.3">
      <c r="A204" s="116"/>
      <c r="B204" s="116"/>
      <c r="C204" s="121"/>
      <c r="D204" s="116"/>
      <c r="E204" s="116"/>
      <c r="F204" s="117"/>
      <c r="G204" s="120"/>
      <c r="H204" s="120"/>
      <c r="I204" s="120"/>
      <c r="J204" s="156">
        <v>43830</v>
      </c>
      <c r="K204" s="130"/>
      <c r="L204" s="146"/>
      <c r="M204" s="154"/>
      <c r="N204" s="162">
        <v>43983</v>
      </c>
      <c r="O204" s="116"/>
      <c r="P204" s="149" t="s">
        <v>596</v>
      </c>
      <c r="Q204" s="136">
        <v>4752</v>
      </c>
      <c r="R204" s="57" t="s">
        <v>30</v>
      </c>
      <c r="S204" s="57">
        <v>43762</v>
      </c>
      <c r="T204" s="34">
        <v>43852</v>
      </c>
      <c r="U204" s="34" t="s">
        <v>30</v>
      </c>
      <c r="V204" s="57" t="s">
        <v>30</v>
      </c>
      <c r="W204" s="57" t="s">
        <v>30</v>
      </c>
      <c r="X204" s="34" t="s">
        <v>30</v>
      </c>
      <c r="Y204" s="137" t="str">
        <f t="shared" si="91"/>
        <v>NC</v>
      </c>
      <c r="Z204" s="57">
        <f t="shared" si="106"/>
        <v>43943</v>
      </c>
      <c r="AA204" s="57">
        <f t="shared" si="93"/>
        <v>44217</v>
      </c>
      <c r="AB204" s="57" t="str">
        <f t="shared" si="94"/>
        <v>NC</v>
      </c>
      <c r="AC204" s="57" t="str">
        <f t="shared" si="95"/>
        <v>NC</v>
      </c>
      <c r="AD204" s="57" t="str">
        <f t="shared" si="96"/>
        <v>NC</v>
      </c>
      <c r="AE204" s="57" t="str">
        <f t="shared" si="97"/>
        <v>NC</v>
      </c>
      <c r="AG204" s="123" t="str">
        <f t="shared" si="98"/>
        <v>NC</v>
      </c>
      <c r="AH204" s="123">
        <f t="shared" ca="1" si="99"/>
        <v>-1644</v>
      </c>
      <c r="AI204" s="123">
        <f t="shared" ca="1" si="100"/>
        <v>-1370</v>
      </c>
      <c r="AJ204" s="123" t="str">
        <f t="shared" si="101"/>
        <v>NC</v>
      </c>
      <c r="AK204" s="123" t="str">
        <f t="shared" si="102"/>
        <v>NC</v>
      </c>
      <c r="AL204" s="123" t="str">
        <f t="shared" si="103"/>
        <v>NC</v>
      </c>
      <c r="AM204" s="123" t="str">
        <f t="shared" si="104"/>
        <v>NC</v>
      </c>
      <c r="AO204" s="151" t="e">
        <f>K204*($AO$3-L204)/$K$4</f>
        <v>#DIV/0!</v>
      </c>
      <c r="AR204" s="141" t="s">
        <v>643</v>
      </c>
      <c r="AS204" s="141" t="s">
        <v>643</v>
      </c>
      <c r="AT204" s="232"/>
      <c r="AU204" s="143" t="s">
        <v>1278</v>
      </c>
      <c r="AV204" s="143" t="s">
        <v>1279</v>
      </c>
      <c r="AW204" s="143" t="s">
        <v>1281</v>
      </c>
    </row>
    <row r="205" spans="1:49" s="138" customFormat="1" x14ac:dyDescent="0.3">
      <c r="A205" s="157"/>
      <c r="B205" s="157"/>
      <c r="C205" s="168"/>
      <c r="D205" s="157"/>
      <c r="E205" s="157"/>
      <c r="F205" s="168"/>
      <c r="G205" s="172"/>
      <c r="H205" s="172"/>
      <c r="I205" s="172"/>
      <c r="J205" s="170"/>
      <c r="K205" s="171"/>
      <c r="L205" s="234"/>
      <c r="M205" s="133"/>
      <c r="N205" s="162">
        <v>44044</v>
      </c>
      <c r="O205" s="157"/>
      <c r="P205" s="235"/>
      <c r="Q205" s="236"/>
      <c r="R205" s="57" t="s">
        <v>30</v>
      </c>
      <c r="S205" s="173"/>
      <c r="T205" s="57"/>
      <c r="U205" s="34" t="s">
        <v>30</v>
      </c>
      <c r="V205" s="57" t="s">
        <v>30</v>
      </c>
      <c r="W205" s="57" t="s">
        <v>30</v>
      </c>
      <c r="X205" s="34" t="s">
        <v>30</v>
      </c>
      <c r="Y205" s="137" t="str">
        <f t="shared" si="91"/>
        <v>NC</v>
      </c>
      <c r="Z205" s="57" t="str">
        <f t="shared" si="106"/>
        <v>erreur</v>
      </c>
      <c r="AA205" s="57" t="str">
        <f t="shared" si="93"/>
        <v>erreur</v>
      </c>
      <c r="AB205" s="57" t="str">
        <f t="shared" si="94"/>
        <v>NC</v>
      </c>
      <c r="AC205" s="57" t="str">
        <f t="shared" si="95"/>
        <v>NC</v>
      </c>
      <c r="AD205" s="57" t="str">
        <f t="shared" si="96"/>
        <v>NC</v>
      </c>
      <c r="AE205" s="57" t="str">
        <f t="shared" si="97"/>
        <v>NC</v>
      </c>
      <c r="AF205" s="160"/>
      <c r="AG205" s="123" t="str">
        <f t="shared" si="98"/>
        <v>NC</v>
      </c>
      <c r="AH205" s="123" t="str">
        <f t="shared" si="99"/>
        <v>erreur</v>
      </c>
      <c r="AI205" s="123" t="str">
        <f t="shared" si="100"/>
        <v>erreur</v>
      </c>
      <c r="AJ205" s="123" t="str">
        <f t="shared" si="101"/>
        <v>NC</v>
      </c>
      <c r="AK205" s="123" t="str">
        <f t="shared" si="102"/>
        <v>NC</v>
      </c>
      <c r="AL205" s="123" t="str">
        <f t="shared" si="103"/>
        <v>NC</v>
      </c>
      <c r="AM205" s="123" t="str">
        <f t="shared" si="104"/>
        <v>NC</v>
      </c>
      <c r="AN205" s="160"/>
      <c r="AO205" s="237"/>
      <c r="AP205" s="160"/>
      <c r="AQ205" s="160"/>
      <c r="AR205" s="141" t="s">
        <v>643</v>
      </c>
      <c r="AS205" s="141" t="s">
        <v>643</v>
      </c>
      <c r="AT205" s="160"/>
      <c r="AU205" s="175"/>
      <c r="AV205" s="175"/>
      <c r="AW205" s="175"/>
    </row>
    <row r="206" spans="1:49" s="124" customFormat="1" x14ac:dyDescent="0.3">
      <c r="A206" s="117"/>
      <c r="B206" s="117"/>
      <c r="C206" s="117"/>
      <c r="D206" s="116"/>
      <c r="E206" s="116"/>
      <c r="F206" s="117"/>
      <c r="G206" s="120"/>
      <c r="H206" s="120"/>
      <c r="I206" s="120"/>
      <c r="J206" s="156" t="s">
        <v>974</v>
      </c>
      <c r="K206" s="130"/>
      <c r="L206" s="131"/>
      <c r="M206" s="132"/>
      <c r="N206" s="133">
        <v>44013</v>
      </c>
      <c r="O206" s="134"/>
      <c r="P206" s="135" t="s">
        <v>822</v>
      </c>
      <c r="Q206" s="136"/>
      <c r="R206" s="57" t="s">
        <v>30</v>
      </c>
      <c r="S206" s="57">
        <v>43798</v>
      </c>
      <c r="T206" s="57" t="s">
        <v>30</v>
      </c>
      <c r="U206" s="34" t="s">
        <v>30</v>
      </c>
      <c r="V206" s="57" t="s">
        <v>30</v>
      </c>
      <c r="W206" s="57" t="s">
        <v>30</v>
      </c>
      <c r="X206" s="34" t="s">
        <v>30</v>
      </c>
      <c r="Y206" s="137" t="str">
        <f t="shared" si="91"/>
        <v>NC</v>
      </c>
      <c r="Z206" s="57">
        <f t="shared" si="106"/>
        <v>43979</v>
      </c>
      <c r="AA206" s="57" t="str">
        <f t="shared" si="93"/>
        <v>NC</v>
      </c>
      <c r="AB206" s="57" t="str">
        <f t="shared" si="94"/>
        <v>NC</v>
      </c>
      <c r="AC206" s="57" t="str">
        <f t="shared" si="95"/>
        <v>NC</v>
      </c>
      <c r="AD206" s="57" t="str">
        <f t="shared" si="96"/>
        <v>NC</v>
      </c>
      <c r="AE206" s="57" t="str">
        <f t="shared" si="97"/>
        <v>NC</v>
      </c>
      <c r="AF206" s="138"/>
      <c r="AG206" s="116" t="str">
        <f t="shared" si="98"/>
        <v>NC</v>
      </c>
      <c r="AH206" s="116">
        <f t="shared" ca="1" si="99"/>
        <v>-1608</v>
      </c>
      <c r="AI206" s="116" t="str">
        <f t="shared" si="100"/>
        <v>NC</v>
      </c>
      <c r="AJ206" s="116" t="str">
        <f t="shared" si="101"/>
        <v>NC</v>
      </c>
      <c r="AK206" s="116" t="str">
        <f t="shared" si="102"/>
        <v>NC</v>
      </c>
      <c r="AL206" s="116" t="str">
        <f t="shared" si="103"/>
        <v>NC</v>
      </c>
      <c r="AM206" s="116" t="str">
        <f t="shared" si="104"/>
        <v>NC</v>
      </c>
      <c r="AN206" s="138"/>
      <c r="AO206" s="139" t="e">
        <f t="shared" ref="AO206:AO211" si="107">K206*($AO$3-L206)/$K$4</f>
        <v>#DIV/0!</v>
      </c>
      <c r="AP206" s="138"/>
      <c r="AQ206" s="138"/>
      <c r="AR206" s="141" t="s">
        <v>643</v>
      </c>
      <c r="AS206" s="141" t="s">
        <v>643</v>
      </c>
      <c r="AT206" s="138"/>
      <c r="AU206" s="142" t="s">
        <v>1426</v>
      </c>
      <c r="AV206" s="142" t="s">
        <v>1427</v>
      </c>
      <c r="AW206" s="142" t="s">
        <v>1428</v>
      </c>
    </row>
    <row r="207" spans="1:49" s="124" customFormat="1" ht="14.4" customHeight="1" x14ac:dyDescent="0.3">
      <c r="A207" s="117"/>
      <c r="B207" s="117"/>
      <c r="C207" s="121"/>
      <c r="D207" s="123"/>
      <c r="E207" s="123"/>
      <c r="F207" s="121"/>
      <c r="G207" s="120"/>
      <c r="H207" s="120"/>
      <c r="I207" s="120"/>
      <c r="J207" s="231" t="s">
        <v>30</v>
      </c>
      <c r="K207" s="153"/>
      <c r="L207" s="146"/>
      <c r="M207" s="147" t="s">
        <v>609</v>
      </c>
      <c r="N207" s="133" t="s">
        <v>1022</v>
      </c>
      <c r="O207" s="148"/>
      <c r="P207" s="149" t="s">
        <v>596</v>
      </c>
      <c r="Q207" s="150">
        <v>3035</v>
      </c>
      <c r="R207" s="116" t="s">
        <v>30</v>
      </c>
      <c r="S207" s="57">
        <v>42864</v>
      </c>
      <c r="T207" s="57"/>
      <c r="U207" s="34" t="s">
        <v>30</v>
      </c>
      <c r="V207" s="57" t="s">
        <v>30</v>
      </c>
      <c r="W207" s="57" t="s">
        <v>30</v>
      </c>
      <c r="X207" s="34" t="s">
        <v>30</v>
      </c>
      <c r="Y207" s="137" t="str">
        <f t="shared" si="91"/>
        <v>NC</v>
      </c>
      <c r="Z207" s="57">
        <f t="shared" si="106"/>
        <v>43045</v>
      </c>
      <c r="AA207" s="57" t="str">
        <f t="shared" si="93"/>
        <v>erreur</v>
      </c>
      <c r="AB207" s="57" t="str">
        <f t="shared" si="94"/>
        <v>NC</v>
      </c>
      <c r="AC207" s="57" t="str">
        <f t="shared" si="95"/>
        <v>NC</v>
      </c>
      <c r="AD207" s="57" t="str">
        <f t="shared" si="96"/>
        <v>NC</v>
      </c>
      <c r="AE207" s="57" t="str">
        <f t="shared" si="97"/>
        <v>NC</v>
      </c>
      <c r="AG207" s="123" t="str">
        <f t="shared" si="98"/>
        <v>NC</v>
      </c>
      <c r="AH207" s="123">
        <f t="shared" ca="1" si="99"/>
        <v>-2542</v>
      </c>
      <c r="AI207" s="123" t="str">
        <f t="shared" si="100"/>
        <v>erreur</v>
      </c>
      <c r="AJ207" s="123" t="str">
        <f t="shared" si="101"/>
        <v>NC</v>
      </c>
      <c r="AK207" s="123" t="str">
        <f t="shared" si="102"/>
        <v>NC</v>
      </c>
      <c r="AL207" s="123" t="str">
        <f t="shared" si="103"/>
        <v>NC</v>
      </c>
      <c r="AM207" s="123" t="str">
        <f t="shared" si="104"/>
        <v>NC</v>
      </c>
      <c r="AN207" s="138"/>
      <c r="AO207" s="151" t="e">
        <f t="shared" si="107"/>
        <v>#DIV/0!</v>
      </c>
      <c r="AP207" s="152"/>
      <c r="AR207" s="141" t="s">
        <v>643</v>
      </c>
      <c r="AS207" s="141" t="s">
        <v>643</v>
      </c>
      <c r="AU207" s="143" t="s">
        <v>1282</v>
      </c>
      <c r="AV207" s="143" t="s">
        <v>1283</v>
      </c>
      <c r="AW207" s="143" t="s">
        <v>1284</v>
      </c>
    </row>
    <row r="208" spans="1:49" s="138" customFormat="1" ht="14.4" customHeight="1" x14ac:dyDescent="0.3">
      <c r="A208" s="121"/>
      <c r="B208" s="117"/>
      <c r="C208" s="121"/>
      <c r="D208" s="123"/>
      <c r="E208" s="123"/>
      <c r="F208" s="121"/>
      <c r="G208" s="120"/>
      <c r="H208" s="120"/>
      <c r="I208" s="120"/>
      <c r="J208" s="231" t="s">
        <v>30</v>
      </c>
      <c r="K208" s="153"/>
      <c r="L208" s="146"/>
      <c r="M208" s="147" t="s">
        <v>609</v>
      </c>
      <c r="N208" s="133">
        <v>43983</v>
      </c>
      <c r="O208" s="148"/>
      <c r="P208" s="149" t="s">
        <v>596</v>
      </c>
      <c r="Q208" s="150"/>
      <c r="R208" s="116" t="s">
        <v>30</v>
      </c>
      <c r="S208" s="57">
        <v>43805</v>
      </c>
      <c r="T208" s="57">
        <v>43523</v>
      </c>
      <c r="U208" s="34" t="s">
        <v>30</v>
      </c>
      <c r="V208" s="57" t="s">
        <v>30</v>
      </c>
      <c r="W208" s="57" t="s">
        <v>30</v>
      </c>
      <c r="X208" s="34" t="s">
        <v>30</v>
      </c>
      <c r="Y208" s="137" t="str">
        <f t="shared" si="91"/>
        <v>NC</v>
      </c>
      <c r="Z208" s="57">
        <f t="shared" si="106"/>
        <v>43986</v>
      </c>
      <c r="AA208" s="57">
        <f t="shared" si="93"/>
        <v>43888</v>
      </c>
      <c r="AB208" s="57" t="str">
        <f t="shared" si="94"/>
        <v>NC</v>
      </c>
      <c r="AC208" s="57" t="str">
        <f t="shared" si="95"/>
        <v>NC</v>
      </c>
      <c r="AD208" s="57" t="str">
        <f t="shared" si="96"/>
        <v>NC</v>
      </c>
      <c r="AE208" s="57" t="str">
        <f t="shared" si="97"/>
        <v>NC</v>
      </c>
      <c r="AF208" s="124"/>
      <c r="AG208" s="123" t="str">
        <f t="shared" si="98"/>
        <v>NC</v>
      </c>
      <c r="AH208" s="123">
        <f t="shared" ca="1" si="99"/>
        <v>-1601</v>
      </c>
      <c r="AI208" s="123">
        <f t="shared" ca="1" si="100"/>
        <v>-1699</v>
      </c>
      <c r="AJ208" s="123" t="str">
        <f t="shared" si="101"/>
        <v>NC</v>
      </c>
      <c r="AK208" s="123" t="str">
        <f t="shared" si="102"/>
        <v>NC</v>
      </c>
      <c r="AL208" s="123" t="str">
        <f t="shared" si="103"/>
        <v>NC</v>
      </c>
      <c r="AM208" s="123" t="str">
        <f t="shared" si="104"/>
        <v>NC</v>
      </c>
      <c r="AO208" s="151" t="e">
        <f t="shared" si="107"/>
        <v>#DIV/0!</v>
      </c>
      <c r="AP208" s="152"/>
      <c r="AQ208" s="124"/>
      <c r="AR208" s="141" t="s">
        <v>643</v>
      </c>
      <c r="AS208" s="141" t="s">
        <v>643</v>
      </c>
      <c r="AT208" s="124"/>
      <c r="AU208" s="143" t="s">
        <v>1282</v>
      </c>
      <c r="AV208" s="143" t="s">
        <v>1283</v>
      </c>
      <c r="AW208" s="143" t="s">
        <v>1429</v>
      </c>
    </row>
    <row r="209" spans="1:49" s="232" customFormat="1" ht="14.4" customHeight="1" x14ac:dyDescent="0.3">
      <c r="A209" s="116"/>
      <c r="B209" s="116"/>
      <c r="C209" s="117"/>
      <c r="D209" s="116"/>
      <c r="E209" s="116"/>
      <c r="F209" s="117"/>
      <c r="G209" s="120"/>
      <c r="H209" s="120"/>
      <c r="I209" s="120"/>
      <c r="J209" s="120" t="s">
        <v>30</v>
      </c>
      <c r="K209" s="134"/>
      <c r="L209" s="120"/>
      <c r="M209" s="132"/>
      <c r="N209" s="158">
        <v>43952</v>
      </c>
      <c r="O209" s="116"/>
      <c r="P209" s="135" t="s">
        <v>596</v>
      </c>
      <c r="Q209" s="116"/>
      <c r="R209" s="57" t="s">
        <v>30</v>
      </c>
      <c r="S209" s="57">
        <v>43818</v>
      </c>
      <c r="T209" s="57">
        <v>43670</v>
      </c>
      <c r="U209" s="34" t="s">
        <v>30</v>
      </c>
      <c r="V209" s="57" t="s">
        <v>30</v>
      </c>
      <c r="W209" s="57" t="s">
        <v>30</v>
      </c>
      <c r="X209" s="34" t="s">
        <v>30</v>
      </c>
      <c r="Y209" s="137" t="str">
        <f t="shared" si="91"/>
        <v>NC</v>
      </c>
      <c r="Z209" s="57">
        <f t="shared" si="106"/>
        <v>43999</v>
      </c>
      <c r="AA209" s="57">
        <f t="shared" si="93"/>
        <v>44035</v>
      </c>
      <c r="AB209" s="57" t="str">
        <f t="shared" si="94"/>
        <v>NC</v>
      </c>
      <c r="AC209" s="57" t="str">
        <f t="shared" si="95"/>
        <v>NC</v>
      </c>
      <c r="AD209" s="57" t="str">
        <f t="shared" si="96"/>
        <v>NC</v>
      </c>
      <c r="AE209" s="57" t="str">
        <f t="shared" si="97"/>
        <v>NC</v>
      </c>
      <c r="AF209" s="138"/>
      <c r="AG209" s="123" t="str">
        <f t="shared" si="98"/>
        <v>NC</v>
      </c>
      <c r="AH209" s="123">
        <f t="shared" ca="1" si="99"/>
        <v>-1588</v>
      </c>
      <c r="AI209" s="123">
        <f t="shared" ca="1" si="100"/>
        <v>-1552</v>
      </c>
      <c r="AJ209" s="123" t="str">
        <f t="shared" si="101"/>
        <v>NC</v>
      </c>
      <c r="AK209" s="123" t="str">
        <f t="shared" si="102"/>
        <v>NC</v>
      </c>
      <c r="AL209" s="123" t="str">
        <f t="shared" si="103"/>
        <v>NC</v>
      </c>
      <c r="AM209" s="123" t="str">
        <f t="shared" si="104"/>
        <v>NC</v>
      </c>
      <c r="AN209" s="138"/>
      <c r="AO209" s="139" t="e">
        <f t="shared" si="107"/>
        <v>#DIV/0!</v>
      </c>
      <c r="AP209" s="138"/>
      <c r="AQ209" s="138"/>
      <c r="AR209" s="141" t="s">
        <v>643</v>
      </c>
      <c r="AS209" s="141" t="s">
        <v>643</v>
      </c>
      <c r="AT209" s="138"/>
      <c r="AU209" s="142" t="s">
        <v>1282</v>
      </c>
      <c r="AV209" s="143" t="s">
        <v>1283</v>
      </c>
      <c r="AW209" s="143" t="s">
        <v>1285</v>
      </c>
    </row>
    <row r="210" spans="1:49" s="138" customFormat="1" x14ac:dyDescent="0.3">
      <c r="A210" s="116"/>
      <c r="B210" s="116"/>
      <c r="C210" s="117"/>
      <c r="D210" s="116"/>
      <c r="E210" s="116"/>
      <c r="F210" s="117"/>
      <c r="G210" s="120"/>
      <c r="H210" s="120"/>
      <c r="I210" s="120"/>
      <c r="J210" s="120" t="s">
        <v>30</v>
      </c>
      <c r="K210" s="134"/>
      <c r="L210" s="120"/>
      <c r="M210" s="132"/>
      <c r="N210" s="158">
        <v>44166</v>
      </c>
      <c r="O210" s="116"/>
      <c r="P210" s="135" t="s">
        <v>596</v>
      </c>
      <c r="Q210" s="116"/>
      <c r="R210" s="57" t="s">
        <v>30</v>
      </c>
      <c r="S210" s="57">
        <v>43718</v>
      </c>
      <c r="T210" s="57">
        <v>43721</v>
      </c>
      <c r="U210" s="34" t="s">
        <v>30</v>
      </c>
      <c r="V210" s="57" t="s">
        <v>30</v>
      </c>
      <c r="W210" s="57" t="s">
        <v>30</v>
      </c>
      <c r="X210" s="34" t="s">
        <v>30</v>
      </c>
      <c r="Y210" s="137" t="str">
        <f t="shared" si="91"/>
        <v>NC</v>
      </c>
      <c r="Z210" s="57">
        <f t="shared" si="106"/>
        <v>43899</v>
      </c>
      <c r="AA210" s="57">
        <f t="shared" si="93"/>
        <v>44086</v>
      </c>
      <c r="AB210" s="57" t="str">
        <f t="shared" si="94"/>
        <v>NC</v>
      </c>
      <c r="AC210" s="57" t="str">
        <f t="shared" si="95"/>
        <v>NC</v>
      </c>
      <c r="AD210" s="57" t="str">
        <f t="shared" si="96"/>
        <v>NC</v>
      </c>
      <c r="AE210" s="57" t="str">
        <f t="shared" si="97"/>
        <v>NC</v>
      </c>
      <c r="AG210" s="123" t="str">
        <f t="shared" si="98"/>
        <v>NC</v>
      </c>
      <c r="AH210" s="123">
        <f t="shared" ca="1" si="99"/>
        <v>-1688</v>
      </c>
      <c r="AI210" s="123">
        <f t="shared" ca="1" si="100"/>
        <v>-1501</v>
      </c>
      <c r="AJ210" s="123" t="str">
        <f t="shared" si="101"/>
        <v>NC</v>
      </c>
      <c r="AK210" s="123" t="str">
        <f t="shared" si="102"/>
        <v>NC</v>
      </c>
      <c r="AL210" s="123" t="str">
        <f t="shared" si="103"/>
        <v>NC</v>
      </c>
      <c r="AM210" s="123" t="str">
        <f t="shared" si="104"/>
        <v>NC</v>
      </c>
      <c r="AO210" s="139" t="e">
        <f t="shared" si="107"/>
        <v>#DIV/0!</v>
      </c>
      <c r="AR210" s="141" t="s">
        <v>643</v>
      </c>
      <c r="AS210" s="141" t="s">
        <v>643</v>
      </c>
      <c r="AU210" s="142" t="s">
        <v>1282</v>
      </c>
      <c r="AV210" s="143" t="s">
        <v>1283</v>
      </c>
      <c r="AW210" s="143" t="s">
        <v>1430</v>
      </c>
    </row>
    <row r="211" spans="1:49" s="160" customFormat="1" x14ac:dyDescent="0.3">
      <c r="A211" s="116"/>
      <c r="B211" s="116"/>
      <c r="C211" s="117"/>
      <c r="D211" s="116"/>
      <c r="E211" s="116"/>
      <c r="F211" s="117"/>
      <c r="G211" s="120"/>
      <c r="H211" s="120"/>
      <c r="I211" s="120"/>
      <c r="J211" s="120" t="s">
        <v>30</v>
      </c>
      <c r="K211" s="134"/>
      <c r="L211" s="120"/>
      <c r="M211" s="132"/>
      <c r="N211" s="158">
        <v>44044</v>
      </c>
      <c r="O211" s="157" t="s">
        <v>145</v>
      </c>
      <c r="P211" s="135"/>
      <c r="Q211" s="116"/>
      <c r="R211" s="57" t="s">
        <v>30</v>
      </c>
      <c r="S211" s="57">
        <v>43873</v>
      </c>
      <c r="T211" s="57">
        <v>43837</v>
      </c>
      <c r="U211" s="34" t="s">
        <v>30</v>
      </c>
      <c r="V211" s="57" t="s">
        <v>30</v>
      </c>
      <c r="W211" s="57" t="s">
        <v>30</v>
      </c>
      <c r="X211" s="34" t="s">
        <v>30</v>
      </c>
      <c r="Y211" s="137" t="str">
        <f t="shared" si="91"/>
        <v>NC</v>
      </c>
      <c r="Z211" s="57">
        <f t="shared" si="106"/>
        <v>44054</v>
      </c>
      <c r="AA211" s="57">
        <f t="shared" si="93"/>
        <v>44202</v>
      </c>
      <c r="AB211" s="57" t="str">
        <f t="shared" si="94"/>
        <v>NC</v>
      </c>
      <c r="AC211" s="57" t="str">
        <f t="shared" si="95"/>
        <v>NC</v>
      </c>
      <c r="AD211" s="57" t="str">
        <f t="shared" si="96"/>
        <v>NC</v>
      </c>
      <c r="AE211" s="57" t="str">
        <f t="shared" si="97"/>
        <v>NC</v>
      </c>
      <c r="AF211" s="138"/>
      <c r="AG211" s="116" t="str">
        <f t="shared" si="98"/>
        <v>NC</v>
      </c>
      <c r="AH211" s="116">
        <f t="shared" ca="1" si="99"/>
        <v>-1533</v>
      </c>
      <c r="AI211" s="116">
        <f t="shared" ca="1" si="100"/>
        <v>-1385</v>
      </c>
      <c r="AJ211" s="116" t="str">
        <f t="shared" si="101"/>
        <v>NC</v>
      </c>
      <c r="AK211" s="116" t="str">
        <f t="shared" si="102"/>
        <v>NC</v>
      </c>
      <c r="AL211" s="116" t="str">
        <f t="shared" si="103"/>
        <v>NC</v>
      </c>
      <c r="AM211" s="116" t="str">
        <f t="shared" si="104"/>
        <v>NC</v>
      </c>
      <c r="AN211" s="138"/>
      <c r="AO211" s="139" t="e">
        <f t="shared" si="107"/>
        <v>#DIV/0!</v>
      </c>
      <c r="AP211" s="138"/>
      <c r="AQ211" s="138"/>
      <c r="AR211" s="141" t="s">
        <v>643</v>
      </c>
      <c r="AS211" s="141" t="s">
        <v>643</v>
      </c>
      <c r="AT211" s="138"/>
      <c r="AU211" s="142" t="s">
        <v>1282</v>
      </c>
      <c r="AV211" s="142" t="s">
        <v>1283</v>
      </c>
      <c r="AW211" s="142" t="s">
        <v>1431</v>
      </c>
    </row>
    <row r="212" spans="1:49" s="160" customFormat="1" x14ac:dyDescent="0.3">
      <c r="A212" s="116"/>
      <c r="B212" s="116"/>
      <c r="C212" s="117"/>
      <c r="D212" s="116"/>
      <c r="E212" s="116"/>
      <c r="F212" s="117"/>
      <c r="G212" s="120"/>
      <c r="H212" s="120"/>
      <c r="I212" s="120"/>
      <c r="J212" s="120"/>
      <c r="K212" s="134"/>
      <c r="L212" s="120"/>
      <c r="M212" s="132"/>
      <c r="N212" s="238">
        <v>44044</v>
      </c>
      <c r="O212" s="116"/>
      <c r="P212" s="135"/>
      <c r="Q212" s="116"/>
      <c r="R212" s="57" t="s">
        <v>30</v>
      </c>
      <c r="S212" s="57">
        <v>43886</v>
      </c>
      <c r="T212" s="57"/>
      <c r="U212" s="34" t="s">
        <v>30</v>
      </c>
      <c r="V212" s="57" t="s">
        <v>30</v>
      </c>
      <c r="W212" s="57" t="s">
        <v>30</v>
      </c>
      <c r="X212" s="34" t="s">
        <v>30</v>
      </c>
      <c r="Y212" s="137" t="str">
        <f t="shared" si="91"/>
        <v>NC</v>
      </c>
      <c r="Z212" s="57">
        <f t="shared" si="106"/>
        <v>44067</v>
      </c>
      <c r="AA212" s="57" t="str">
        <f t="shared" si="93"/>
        <v>erreur</v>
      </c>
      <c r="AB212" s="57" t="str">
        <f t="shared" si="94"/>
        <v>NC</v>
      </c>
      <c r="AC212" s="57" t="str">
        <f t="shared" si="95"/>
        <v>NC</v>
      </c>
      <c r="AD212" s="57" t="str">
        <f t="shared" si="96"/>
        <v>NC</v>
      </c>
      <c r="AE212" s="57" t="str">
        <f t="shared" si="97"/>
        <v>NC</v>
      </c>
      <c r="AF212" s="138"/>
      <c r="AG212" s="116" t="str">
        <f t="shared" si="98"/>
        <v>NC</v>
      </c>
      <c r="AH212" s="116">
        <f t="shared" ca="1" si="99"/>
        <v>-1520</v>
      </c>
      <c r="AI212" s="116" t="str">
        <f t="shared" si="100"/>
        <v>erreur</v>
      </c>
      <c r="AJ212" s="116" t="str">
        <f t="shared" si="101"/>
        <v>NC</v>
      </c>
      <c r="AK212" s="116" t="str">
        <f t="shared" si="102"/>
        <v>NC</v>
      </c>
      <c r="AL212" s="116" t="str">
        <f t="shared" si="103"/>
        <v>NC</v>
      </c>
      <c r="AM212" s="116" t="str">
        <f t="shared" si="104"/>
        <v>NC</v>
      </c>
      <c r="AN212" s="138"/>
      <c r="AO212" s="139"/>
      <c r="AP212" s="138"/>
      <c r="AQ212" s="138"/>
      <c r="AR212" s="138" t="s">
        <v>643</v>
      </c>
      <c r="AS212" s="138" t="s">
        <v>643</v>
      </c>
      <c r="AT212" s="138"/>
      <c r="AU212" s="142" t="s">
        <v>1282</v>
      </c>
      <c r="AV212" s="142" t="s">
        <v>1283</v>
      </c>
      <c r="AW212" s="142" t="s">
        <v>1431</v>
      </c>
    </row>
    <row r="213" spans="1:49" s="160" customFormat="1" x14ac:dyDescent="0.3">
      <c r="A213" s="116"/>
      <c r="B213" s="116"/>
      <c r="C213" s="117"/>
      <c r="D213" s="116"/>
      <c r="E213" s="116"/>
      <c r="F213" s="117"/>
      <c r="G213" s="120"/>
      <c r="H213" s="120"/>
      <c r="I213" s="120"/>
      <c r="J213" s="120"/>
      <c r="K213" s="134"/>
      <c r="L213" s="120"/>
      <c r="M213" s="132"/>
      <c r="N213" s="158">
        <v>44044</v>
      </c>
      <c r="O213" s="116"/>
      <c r="P213" s="135"/>
      <c r="Q213" s="116"/>
      <c r="R213" s="57" t="s">
        <v>30</v>
      </c>
      <c r="S213" s="57">
        <v>43844</v>
      </c>
      <c r="T213" s="57">
        <v>43844</v>
      </c>
      <c r="U213" s="34" t="s">
        <v>30</v>
      </c>
      <c r="V213" s="57" t="s">
        <v>30</v>
      </c>
      <c r="W213" s="57" t="s">
        <v>30</v>
      </c>
      <c r="X213" s="34" t="s">
        <v>30</v>
      </c>
      <c r="Y213" s="137" t="str">
        <f t="shared" si="91"/>
        <v>NC</v>
      </c>
      <c r="Z213" s="57">
        <f t="shared" si="106"/>
        <v>44025</v>
      </c>
      <c r="AA213" s="57">
        <f t="shared" si="93"/>
        <v>44209</v>
      </c>
      <c r="AB213" s="57" t="str">
        <f t="shared" si="94"/>
        <v>NC</v>
      </c>
      <c r="AC213" s="57" t="str">
        <f t="shared" si="95"/>
        <v>NC</v>
      </c>
      <c r="AD213" s="57" t="str">
        <f t="shared" si="96"/>
        <v>NC</v>
      </c>
      <c r="AE213" s="57" t="str">
        <f t="shared" si="97"/>
        <v>NC</v>
      </c>
      <c r="AF213" s="138"/>
      <c r="AG213" s="116" t="str">
        <f t="shared" si="98"/>
        <v>NC</v>
      </c>
      <c r="AH213" s="116">
        <f t="shared" ca="1" si="99"/>
        <v>-1562</v>
      </c>
      <c r="AI213" s="116">
        <f t="shared" ca="1" si="100"/>
        <v>-1378</v>
      </c>
      <c r="AJ213" s="116" t="str">
        <f t="shared" si="101"/>
        <v>NC</v>
      </c>
      <c r="AK213" s="116" t="str">
        <f t="shared" si="102"/>
        <v>NC</v>
      </c>
      <c r="AL213" s="116" t="str">
        <f t="shared" si="103"/>
        <v>NC</v>
      </c>
      <c r="AM213" s="116" t="str">
        <f t="shared" si="104"/>
        <v>NC</v>
      </c>
      <c r="AN213" s="138"/>
      <c r="AO213" s="139"/>
      <c r="AP213" s="138"/>
      <c r="AQ213" s="138"/>
      <c r="AR213" s="141" t="s">
        <v>643</v>
      </c>
      <c r="AS213" s="141" t="s">
        <v>643</v>
      </c>
      <c r="AT213" s="138"/>
      <c r="AU213" s="142" t="s">
        <v>1437</v>
      </c>
      <c r="AV213" s="142" t="s">
        <v>1438</v>
      </c>
      <c r="AW213" s="142" t="s">
        <v>1439</v>
      </c>
    </row>
    <row r="214" spans="1:49" s="138" customFormat="1" x14ac:dyDescent="0.3">
      <c r="A214" s="116"/>
      <c r="B214" s="116"/>
      <c r="C214" s="117"/>
      <c r="D214" s="116"/>
      <c r="E214" s="116"/>
      <c r="F214" s="239"/>
      <c r="G214" s="120"/>
      <c r="H214" s="120"/>
      <c r="I214" s="120"/>
      <c r="J214" s="120"/>
      <c r="K214" s="134"/>
      <c r="L214" s="120"/>
      <c r="M214" s="132"/>
      <c r="N214" s="238">
        <v>44166</v>
      </c>
      <c r="O214" s="116"/>
      <c r="P214" s="135" t="s">
        <v>596</v>
      </c>
      <c r="Q214" s="116"/>
      <c r="R214" s="57" t="s">
        <v>30</v>
      </c>
      <c r="S214" s="57">
        <v>43873</v>
      </c>
      <c r="T214" s="57"/>
      <c r="U214" s="34" t="s">
        <v>30</v>
      </c>
      <c r="V214" s="57" t="s">
        <v>30</v>
      </c>
      <c r="W214" s="57" t="s">
        <v>30</v>
      </c>
      <c r="X214" s="34" t="s">
        <v>30</v>
      </c>
      <c r="Y214" s="137" t="str">
        <f t="shared" si="91"/>
        <v>NC</v>
      </c>
      <c r="Z214" s="57">
        <f t="shared" si="106"/>
        <v>44054</v>
      </c>
      <c r="AA214" s="57" t="str">
        <f t="shared" si="93"/>
        <v>erreur</v>
      </c>
      <c r="AB214" s="57" t="str">
        <f t="shared" si="94"/>
        <v>NC</v>
      </c>
      <c r="AC214" s="57" t="str">
        <f t="shared" si="95"/>
        <v>NC</v>
      </c>
      <c r="AD214" s="57" t="str">
        <f t="shared" si="96"/>
        <v>NC</v>
      </c>
      <c r="AE214" s="57" t="str">
        <f t="shared" si="97"/>
        <v>NC</v>
      </c>
      <c r="AG214" s="116" t="str">
        <f t="shared" si="98"/>
        <v>NC</v>
      </c>
      <c r="AH214" s="116">
        <f t="shared" ca="1" si="99"/>
        <v>-1533</v>
      </c>
      <c r="AI214" s="116" t="str">
        <f t="shared" si="100"/>
        <v>erreur</v>
      </c>
      <c r="AJ214" s="116" t="str">
        <f t="shared" si="101"/>
        <v>NC</v>
      </c>
      <c r="AK214" s="116" t="str">
        <f t="shared" si="102"/>
        <v>NC</v>
      </c>
      <c r="AL214" s="116" t="str">
        <f t="shared" si="103"/>
        <v>NC</v>
      </c>
      <c r="AM214" s="116" t="str">
        <f t="shared" si="104"/>
        <v>NC</v>
      </c>
      <c r="AO214" s="139" t="e">
        <f t="shared" ref="AO214:AO245" si="108">K214*($AO$3-L214)/$K$4</f>
        <v>#DIV/0!</v>
      </c>
      <c r="AR214" s="138" t="s">
        <v>643</v>
      </c>
      <c r="AS214" s="138" t="s">
        <v>643</v>
      </c>
      <c r="AU214" s="142"/>
      <c r="AV214" s="142" t="s">
        <v>1438</v>
      </c>
      <c r="AW214" s="142"/>
    </row>
    <row r="215" spans="1:49" s="124" customFormat="1" ht="14.4" customHeight="1" x14ac:dyDescent="0.3">
      <c r="A215" s="26"/>
      <c r="B215" s="26"/>
      <c r="C215" s="121"/>
      <c r="D215" s="116"/>
      <c r="E215" s="116"/>
      <c r="F215" s="121"/>
      <c r="G215" s="120"/>
      <c r="H215" s="120"/>
      <c r="I215" s="120"/>
      <c r="J215" s="144">
        <v>43830</v>
      </c>
      <c r="K215" s="134"/>
      <c r="L215" s="131"/>
      <c r="M215" s="154">
        <v>45231</v>
      </c>
      <c r="N215" s="133">
        <v>43891</v>
      </c>
      <c r="O215" s="134"/>
      <c r="P215" s="149" t="s">
        <v>596</v>
      </c>
      <c r="Q215" s="136">
        <v>167</v>
      </c>
      <c r="R215" s="57" t="s">
        <v>30</v>
      </c>
      <c r="S215" s="57" t="s">
        <v>30</v>
      </c>
      <c r="T215" s="57">
        <v>43703</v>
      </c>
      <c r="U215" s="34" t="s">
        <v>30</v>
      </c>
      <c r="V215" s="57" t="s">
        <v>30</v>
      </c>
      <c r="W215" s="57" t="s">
        <v>30</v>
      </c>
      <c r="X215" s="34" t="s">
        <v>30</v>
      </c>
      <c r="Y215" s="137" t="str">
        <f t="shared" si="91"/>
        <v>NC</v>
      </c>
      <c r="Z215" s="57" t="str">
        <f t="shared" si="106"/>
        <v>NC</v>
      </c>
      <c r="AA215" s="57">
        <f t="shared" si="93"/>
        <v>44068</v>
      </c>
      <c r="AB215" s="57" t="str">
        <f t="shared" si="94"/>
        <v>NC</v>
      </c>
      <c r="AC215" s="57" t="str">
        <f t="shared" si="95"/>
        <v>NC</v>
      </c>
      <c r="AD215" s="57" t="str">
        <f t="shared" si="96"/>
        <v>NC</v>
      </c>
      <c r="AE215" s="57" t="str">
        <f t="shared" si="97"/>
        <v>NC</v>
      </c>
      <c r="AG215" s="123" t="str">
        <f t="shared" si="98"/>
        <v>NC</v>
      </c>
      <c r="AH215" s="123" t="str">
        <f t="shared" si="99"/>
        <v>NC</v>
      </c>
      <c r="AI215" s="123">
        <f t="shared" ca="1" si="100"/>
        <v>-1519</v>
      </c>
      <c r="AJ215" s="123" t="str">
        <f t="shared" si="101"/>
        <v>NC</v>
      </c>
      <c r="AK215" s="123" t="str">
        <f t="shared" si="102"/>
        <v>NC</v>
      </c>
      <c r="AL215" s="123" t="str">
        <f t="shared" si="103"/>
        <v>NC</v>
      </c>
      <c r="AM215" s="123" t="str">
        <f t="shared" si="104"/>
        <v>NC</v>
      </c>
      <c r="AN215" s="138"/>
      <c r="AO215" s="151" t="e">
        <f t="shared" si="108"/>
        <v>#DIV/0!</v>
      </c>
      <c r="AP215" s="140"/>
      <c r="AR215" s="141" t="s">
        <v>643</v>
      </c>
      <c r="AS215" s="141" t="s">
        <v>643</v>
      </c>
      <c r="AT215" s="138"/>
      <c r="AU215" s="142" t="s">
        <v>1169</v>
      </c>
      <c r="AV215" s="143" t="s">
        <v>1286</v>
      </c>
      <c r="AW215" s="143" t="s">
        <v>1287</v>
      </c>
    </row>
    <row r="216" spans="1:49" s="124" customFormat="1" ht="14.4" customHeight="1" x14ac:dyDescent="0.3">
      <c r="A216" s="116"/>
      <c r="B216" s="116"/>
      <c r="C216" s="117"/>
      <c r="D216" s="116"/>
      <c r="E216" s="116"/>
      <c r="F216" s="117"/>
      <c r="G216" s="120"/>
      <c r="H216" s="120"/>
      <c r="I216" s="120"/>
      <c r="J216" s="120" t="s">
        <v>30</v>
      </c>
      <c r="K216" s="134"/>
      <c r="L216" s="120"/>
      <c r="M216" s="132"/>
      <c r="N216" s="158">
        <v>43891</v>
      </c>
      <c r="O216" s="116"/>
      <c r="P216" s="135" t="s">
        <v>596</v>
      </c>
      <c r="Q216" s="116"/>
      <c r="R216" s="57" t="s">
        <v>30</v>
      </c>
      <c r="S216" s="57" t="s">
        <v>30</v>
      </c>
      <c r="T216" s="57" t="s">
        <v>30</v>
      </c>
      <c r="U216" s="34" t="s">
        <v>30</v>
      </c>
      <c r="V216" s="57" t="s">
        <v>30</v>
      </c>
      <c r="W216" s="57" t="s">
        <v>30</v>
      </c>
      <c r="X216" s="34" t="s">
        <v>30</v>
      </c>
      <c r="Y216" s="137" t="str">
        <f t="shared" si="91"/>
        <v>NC</v>
      </c>
      <c r="Z216" s="57" t="str">
        <f t="shared" si="106"/>
        <v>NC</v>
      </c>
      <c r="AA216" s="57" t="str">
        <f t="shared" si="93"/>
        <v>NC</v>
      </c>
      <c r="AB216" s="57" t="str">
        <f t="shared" si="94"/>
        <v>NC</v>
      </c>
      <c r="AC216" s="57" t="str">
        <f t="shared" si="95"/>
        <v>NC</v>
      </c>
      <c r="AD216" s="57" t="str">
        <f t="shared" si="96"/>
        <v>NC</v>
      </c>
      <c r="AE216" s="57" t="str">
        <f t="shared" si="97"/>
        <v>NC</v>
      </c>
      <c r="AF216" s="138"/>
      <c r="AG216" s="123" t="str">
        <f t="shared" si="98"/>
        <v>NC</v>
      </c>
      <c r="AH216" s="123" t="str">
        <f t="shared" si="99"/>
        <v>NC</v>
      </c>
      <c r="AI216" s="123" t="str">
        <f t="shared" si="100"/>
        <v>NC</v>
      </c>
      <c r="AJ216" s="123" t="str">
        <f t="shared" si="101"/>
        <v>NC</v>
      </c>
      <c r="AK216" s="123" t="str">
        <f t="shared" si="102"/>
        <v>NC</v>
      </c>
      <c r="AL216" s="123" t="str">
        <f t="shared" si="103"/>
        <v>NC</v>
      </c>
      <c r="AM216" s="123" t="str">
        <f t="shared" si="104"/>
        <v>NC</v>
      </c>
      <c r="AN216" s="138"/>
      <c r="AO216" s="151" t="e">
        <f t="shared" si="108"/>
        <v>#DIV/0!</v>
      </c>
      <c r="AP216" s="138"/>
      <c r="AQ216" s="138"/>
      <c r="AR216" s="141" t="s">
        <v>643</v>
      </c>
      <c r="AS216" s="141" t="s">
        <v>643</v>
      </c>
      <c r="AT216" s="232"/>
      <c r="AU216" s="240" t="s">
        <v>1288</v>
      </c>
      <c r="AV216" s="143" t="s">
        <v>1289</v>
      </c>
      <c r="AW216" s="143" t="s">
        <v>1290</v>
      </c>
    </row>
    <row r="217" spans="1:49" s="138" customFormat="1" ht="14.4" customHeight="1" x14ac:dyDescent="0.3">
      <c r="A217" s="26"/>
      <c r="B217" s="26"/>
      <c r="C217" s="121"/>
      <c r="D217" s="116"/>
      <c r="E217" s="116"/>
      <c r="F217" s="117"/>
      <c r="G217" s="120"/>
      <c r="H217" s="120"/>
      <c r="I217" s="120"/>
      <c r="J217" s="120" t="s">
        <v>30</v>
      </c>
      <c r="K217" s="153"/>
      <c r="L217" s="131"/>
      <c r="M217" s="147" t="s">
        <v>609</v>
      </c>
      <c r="N217" s="133">
        <v>43952</v>
      </c>
      <c r="O217" s="134"/>
      <c r="P217" s="149" t="s">
        <v>596</v>
      </c>
      <c r="Q217" s="136"/>
      <c r="R217" s="57" t="s">
        <v>30</v>
      </c>
      <c r="S217" s="57" t="s">
        <v>30</v>
      </c>
      <c r="T217" s="57" t="s">
        <v>30</v>
      </c>
      <c r="U217" s="34" t="s">
        <v>30</v>
      </c>
      <c r="V217" s="57" t="s">
        <v>30</v>
      </c>
      <c r="W217" s="57" t="s">
        <v>30</v>
      </c>
      <c r="X217" s="34" t="s">
        <v>30</v>
      </c>
      <c r="Y217" s="137" t="str">
        <f t="shared" si="91"/>
        <v>NC</v>
      </c>
      <c r="Z217" s="57" t="str">
        <f t="shared" si="106"/>
        <v>NC</v>
      </c>
      <c r="AA217" s="57" t="str">
        <f t="shared" si="93"/>
        <v>NC</v>
      </c>
      <c r="AB217" s="57" t="str">
        <f t="shared" si="94"/>
        <v>NC</v>
      </c>
      <c r="AC217" s="57" t="str">
        <f t="shared" si="95"/>
        <v>NC</v>
      </c>
      <c r="AD217" s="57" t="str">
        <f t="shared" si="96"/>
        <v>NC</v>
      </c>
      <c r="AE217" s="57" t="str">
        <f t="shared" si="97"/>
        <v>NC</v>
      </c>
      <c r="AF217" s="124"/>
      <c r="AG217" s="123" t="str">
        <f t="shared" si="98"/>
        <v>NC</v>
      </c>
      <c r="AH217" s="123" t="str">
        <f t="shared" si="99"/>
        <v>NC</v>
      </c>
      <c r="AI217" s="123" t="str">
        <f t="shared" si="100"/>
        <v>NC</v>
      </c>
      <c r="AJ217" s="123" t="str">
        <f t="shared" si="101"/>
        <v>NC</v>
      </c>
      <c r="AK217" s="123" t="str">
        <f t="shared" si="102"/>
        <v>NC</v>
      </c>
      <c r="AL217" s="123" t="str">
        <f t="shared" si="103"/>
        <v>NC</v>
      </c>
      <c r="AM217" s="123" t="str">
        <f t="shared" si="104"/>
        <v>NC</v>
      </c>
      <c r="AO217" s="151" t="e">
        <f t="shared" si="108"/>
        <v>#DIV/0!</v>
      </c>
      <c r="AP217" s="140"/>
      <c r="AQ217" s="124"/>
      <c r="AR217" s="141" t="s">
        <v>643</v>
      </c>
      <c r="AS217" s="141" t="s">
        <v>643</v>
      </c>
      <c r="AT217" s="160"/>
      <c r="AU217" s="175" t="s">
        <v>1291</v>
      </c>
      <c r="AV217" s="143" t="s">
        <v>1292</v>
      </c>
      <c r="AW217" s="143" t="s">
        <v>1293</v>
      </c>
    </row>
    <row r="218" spans="1:49" s="138" customFormat="1" ht="14.4" customHeight="1" x14ac:dyDescent="0.3">
      <c r="A218" s="121"/>
      <c r="B218" s="26"/>
      <c r="C218" s="121"/>
      <c r="D218" s="123"/>
      <c r="E218" s="123"/>
      <c r="F218" s="121"/>
      <c r="G218" s="120"/>
      <c r="H218" s="120"/>
      <c r="I218" s="120"/>
      <c r="J218" s="231" t="s">
        <v>30</v>
      </c>
      <c r="K218" s="153"/>
      <c r="L218" s="146"/>
      <c r="M218" s="154">
        <v>43497</v>
      </c>
      <c r="N218" s="133">
        <v>43862</v>
      </c>
      <c r="O218" s="148"/>
      <c r="P218" s="149" t="s">
        <v>596</v>
      </c>
      <c r="Q218" s="150"/>
      <c r="R218" s="57" t="s">
        <v>30</v>
      </c>
      <c r="S218" s="57" t="s">
        <v>30</v>
      </c>
      <c r="T218" s="57" t="s">
        <v>30</v>
      </c>
      <c r="U218" s="34" t="s">
        <v>30</v>
      </c>
      <c r="V218" s="57" t="s">
        <v>30</v>
      </c>
      <c r="W218" s="57" t="s">
        <v>30</v>
      </c>
      <c r="X218" s="34" t="s">
        <v>30</v>
      </c>
      <c r="Y218" s="137" t="str">
        <f t="shared" si="91"/>
        <v>NC</v>
      </c>
      <c r="Z218" s="57" t="str">
        <f t="shared" si="106"/>
        <v>NC</v>
      </c>
      <c r="AA218" s="57" t="str">
        <f t="shared" si="93"/>
        <v>NC</v>
      </c>
      <c r="AB218" s="57" t="str">
        <f t="shared" si="94"/>
        <v>NC</v>
      </c>
      <c r="AC218" s="57" t="str">
        <f t="shared" si="95"/>
        <v>NC</v>
      </c>
      <c r="AD218" s="57" t="str">
        <f t="shared" si="96"/>
        <v>NC</v>
      </c>
      <c r="AE218" s="57" t="str">
        <f t="shared" si="97"/>
        <v>NC</v>
      </c>
      <c r="AF218" s="124"/>
      <c r="AG218" s="123" t="str">
        <f t="shared" si="98"/>
        <v>NC</v>
      </c>
      <c r="AH218" s="123" t="str">
        <f t="shared" si="99"/>
        <v>NC</v>
      </c>
      <c r="AI218" s="123" t="str">
        <f t="shared" si="100"/>
        <v>NC</v>
      </c>
      <c r="AJ218" s="123" t="str">
        <f t="shared" si="101"/>
        <v>NC</v>
      </c>
      <c r="AK218" s="123" t="str">
        <f t="shared" si="102"/>
        <v>NC</v>
      </c>
      <c r="AL218" s="123" t="str">
        <f t="shared" si="103"/>
        <v>NC</v>
      </c>
      <c r="AM218" s="123" t="str">
        <f t="shared" si="104"/>
        <v>NC</v>
      </c>
      <c r="AO218" s="151" t="e">
        <f t="shared" si="108"/>
        <v>#DIV/0!</v>
      </c>
      <c r="AP218" s="152"/>
      <c r="AQ218" s="124"/>
      <c r="AR218" s="141" t="s">
        <v>643</v>
      </c>
      <c r="AS218" s="141" t="s">
        <v>643</v>
      </c>
      <c r="AT218" s="160"/>
      <c r="AU218" s="175" t="s">
        <v>1291</v>
      </c>
      <c r="AV218" s="143" t="s">
        <v>1292</v>
      </c>
      <c r="AW218" s="143" t="s">
        <v>1293</v>
      </c>
    </row>
    <row r="219" spans="1:49" s="124" customFormat="1" ht="14.4" customHeight="1" x14ac:dyDescent="0.3">
      <c r="A219" s="116"/>
      <c r="B219" s="241"/>
      <c r="C219" s="121"/>
      <c r="D219" s="116"/>
      <c r="E219" s="116"/>
      <c r="F219" s="117"/>
      <c r="G219" s="120"/>
      <c r="H219" s="120"/>
      <c r="I219" s="120"/>
      <c r="J219" s="156">
        <v>43830</v>
      </c>
      <c r="K219" s="134"/>
      <c r="L219" s="120"/>
      <c r="M219" s="154"/>
      <c r="N219" s="162" t="s">
        <v>1022</v>
      </c>
      <c r="O219" s="116"/>
      <c r="P219" s="149" t="s">
        <v>596</v>
      </c>
      <c r="Q219" s="136"/>
      <c r="R219" s="57" t="s">
        <v>30</v>
      </c>
      <c r="S219" s="57" t="s">
        <v>30</v>
      </c>
      <c r="T219" s="57">
        <v>43638</v>
      </c>
      <c r="U219" s="34" t="s">
        <v>30</v>
      </c>
      <c r="V219" s="57" t="s">
        <v>30</v>
      </c>
      <c r="W219" s="57" t="s">
        <v>30</v>
      </c>
      <c r="X219" s="34" t="s">
        <v>30</v>
      </c>
      <c r="Y219" s="137" t="str">
        <f t="shared" si="91"/>
        <v>NC</v>
      </c>
      <c r="Z219" s="57" t="str">
        <f t="shared" si="106"/>
        <v>NC</v>
      </c>
      <c r="AA219" s="57">
        <f t="shared" si="93"/>
        <v>44003</v>
      </c>
      <c r="AB219" s="57" t="str">
        <f t="shared" si="94"/>
        <v>NC</v>
      </c>
      <c r="AC219" s="57" t="str">
        <f t="shared" si="95"/>
        <v>NC</v>
      </c>
      <c r="AD219" s="57" t="str">
        <f t="shared" si="96"/>
        <v>NC</v>
      </c>
      <c r="AE219" s="57" t="str">
        <f t="shared" si="97"/>
        <v>NC</v>
      </c>
      <c r="AF219" s="138"/>
      <c r="AG219" s="123" t="str">
        <f t="shared" si="98"/>
        <v>NC</v>
      </c>
      <c r="AH219" s="123" t="str">
        <f t="shared" si="99"/>
        <v>NC</v>
      </c>
      <c r="AI219" s="123">
        <f t="shared" ca="1" si="100"/>
        <v>-1584</v>
      </c>
      <c r="AJ219" s="123" t="str">
        <f t="shared" si="101"/>
        <v>NC</v>
      </c>
      <c r="AK219" s="123" t="str">
        <f t="shared" si="102"/>
        <v>NC</v>
      </c>
      <c r="AL219" s="123" t="str">
        <f t="shared" si="103"/>
        <v>NC</v>
      </c>
      <c r="AM219" s="123" t="str">
        <f t="shared" si="104"/>
        <v>NC</v>
      </c>
      <c r="AN219" s="138"/>
      <c r="AO219" s="230" t="e">
        <f t="shared" si="108"/>
        <v>#DIV/0!</v>
      </c>
      <c r="AP219" s="138"/>
      <c r="AQ219" s="138"/>
      <c r="AR219" s="141" t="s">
        <v>643</v>
      </c>
      <c r="AS219" s="141" t="s">
        <v>643</v>
      </c>
      <c r="AT219" s="138"/>
      <c r="AU219" s="142" t="s">
        <v>1294</v>
      </c>
      <c r="AV219" s="143" t="s">
        <v>1295</v>
      </c>
      <c r="AW219" s="143" t="s">
        <v>1296</v>
      </c>
    </row>
    <row r="220" spans="1:49" s="124" customFormat="1" ht="14.4" customHeight="1" x14ac:dyDescent="0.3">
      <c r="A220" s="121"/>
      <c r="B220" s="117"/>
      <c r="C220" s="121"/>
      <c r="D220" s="123"/>
      <c r="E220" s="123"/>
      <c r="F220" s="121"/>
      <c r="G220" s="120"/>
      <c r="H220" s="120"/>
      <c r="I220" s="120"/>
      <c r="J220" s="231" t="s">
        <v>30</v>
      </c>
      <c r="K220" s="145"/>
      <c r="L220" s="146"/>
      <c r="M220" s="154"/>
      <c r="N220" s="133" t="s">
        <v>1022</v>
      </c>
      <c r="O220" s="148"/>
      <c r="P220" s="149" t="s">
        <v>596</v>
      </c>
      <c r="Q220" s="150"/>
      <c r="R220" s="242" t="s">
        <v>30</v>
      </c>
      <c r="S220" s="242" t="s">
        <v>30</v>
      </c>
      <c r="T220" s="242" t="s">
        <v>30</v>
      </c>
      <c r="U220" s="243" t="s">
        <v>30</v>
      </c>
      <c r="V220" s="57" t="s">
        <v>30</v>
      </c>
      <c r="W220" s="57" t="s">
        <v>30</v>
      </c>
      <c r="X220" s="243" t="s">
        <v>30</v>
      </c>
      <c r="Y220" s="137" t="str">
        <f t="shared" si="91"/>
        <v>NC</v>
      </c>
      <c r="Z220" s="57" t="str">
        <f t="shared" si="106"/>
        <v>NC</v>
      </c>
      <c r="AA220" s="57" t="str">
        <f t="shared" si="93"/>
        <v>NC</v>
      </c>
      <c r="AB220" s="57" t="str">
        <f t="shared" si="94"/>
        <v>NC</v>
      </c>
      <c r="AC220" s="57" t="str">
        <f t="shared" si="95"/>
        <v>NC</v>
      </c>
      <c r="AD220" s="57" t="str">
        <f t="shared" si="96"/>
        <v>NC</v>
      </c>
      <c r="AE220" s="57" t="str">
        <f t="shared" si="97"/>
        <v>NC</v>
      </c>
      <c r="AG220" s="123" t="str">
        <f t="shared" si="98"/>
        <v>NC</v>
      </c>
      <c r="AH220" s="123" t="str">
        <f t="shared" si="99"/>
        <v>NC</v>
      </c>
      <c r="AI220" s="123" t="str">
        <f t="shared" si="100"/>
        <v>NC</v>
      </c>
      <c r="AJ220" s="123" t="str">
        <f t="shared" si="101"/>
        <v>NC</v>
      </c>
      <c r="AK220" s="123" t="str">
        <f t="shared" si="102"/>
        <v>NC</v>
      </c>
      <c r="AL220" s="123" t="str">
        <f t="shared" si="103"/>
        <v>NC</v>
      </c>
      <c r="AM220" s="123" t="str">
        <f t="shared" si="104"/>
        <v>NC</v>
      </c>
      <c r="AO220" s="151" t="e">
        <f t="shared" si="108"/>
        <v>#DIV/0!</v>
      </c>
      <c r="AP220" s="152"/>
      <c r="AR220" s="141" t="s">
        <v>643</v>
      </c>
      <c r="AS220" s="141" t="s">
        <v>643</v>
      </c>
      <c r="AU220" s="143" t="s">
        <v>1297</v>
      </c>
      <c r="AV220" s="143" t="s">
        <v>1298</v>
      </c>
      <c r="AW220" s="143" t="s">
        <v>1441</v>
      </c>
    </row>
    <row r="221" spans="1:49" s="138" customFormat="1" ht="14.4" customHeight="1" x14ac:dyDescent="0.3">
      <c r="A221" s="117"/>
      <c r="B221" s="117"/>
      <c r="C221" s="121"/>
      <c r="D221" s="116"/>
      <c r="E221" s="116"/>
      <c r="F221" s="117"/>
      <c r="G221" s="120"/>
      <c r="H221" s="120"/>
      <c r="I221" s="120"/>
      <c r="J221" s="156">
        <v>43830</v>
      </c>
      <c r="K221" s="134"/>
      <c r="L221" s="131"/>
      <c r="M221" s="154">
        <v>45231</v>
      </c>
      <c r="N221" s="133">
        <v>43952</v>
      </c>
      <c r="O221" s="134"/>
      <c r="P221" s="149" t="s">
        <v>596</v>
      </c>
      <c r="Q221" s="136"/>
      <c r="R221" s="57" t="s">
        <v>30</v>
      </c>
      <c r="S221" s="57" t="s">
        <v>30</v>
      </c>
      <c r="T221" s="57">
        <v>43704</v>
      </c>
      <c r="U221" s="34" t="s">
        <v>30</v>
      </c>
      <c r="V221" s="57" t="s">
        <v>30</v>
      </c>
      <c r="W221" s="57" t="s">
        <v>30</v>
      </c>
      <c r="X221" s="34" t="s">
        <v>30</v>
      </c>
      <c r="Y221" s="137" t="str">
        <f t="shared" si="91"/>
        <v>NC</v>
      </c>
      <c r="Z221" s="57" t="str">
        <f t="shared" si="106"/>
        <v>NC</v>
      </c>
      <c r="AA221" s="57">
        <f t="shared" si="93"/>
        <v>44069</v>
      </c>
      <c r="AB221" s="57" t="str">
        <f t="shared" si="94"/>
        <v>NC</v>
      </c>
      <c r="AC221" s="57" t="str">
        <f t="shared" si="95"/>
        <v>NC</v>
      </c>
      <c r="AD221" s="57" t="str">
        <f t="shared" si="96"/>
        <v>NC</v>
      </c>
      <c r="AE221" s="57" t="str">
        <f t="shared" si="97"/>
        <v>NC</v>
      </c>
      <c r="AF221" s="124"/>
      <c r="AG221" s="123" t="str">
        <f t="shared" si="98"/>
        <v>NC</v>
      </c>
      <c r="AH221" s="123" t="str">
        <f t="shared" si="99"/>
        <v>NC</v>
      </c>
      <c r="AI221" s="123">
        <f t="shared" ca="1" si="100"/>
        <v>-1518</v>
      </c>
      <c r="AJ221" s="123" t="str">
        <f t="shared" si="101"/>
        <v>NC</v>
      </c>
      <c r="AK221" s="123" t="str">
        <f t="shared" si="102"/>
        <v>NC</v>
      </c>
      <c r="AL221" s="123" t="str">
        <f t="shared" si="103"/>
        <v>NC</v>
      </c>
      <c r="AM221" s="123" t="str">
        <f t="shared" si="104"/>
        <v>NC</v>
      </c>
      <c r="AO221" s="151" t="e">
        <f t="shared" si="108"/>
        <v>#DIV/0!</v>
      </c>
      <c r="AP221" s="140"/>
      <c r="AQ221" s="124"/>
      <c r="AR221" s="141" t="s">
        <v>643</v>
      </c>
      <c r="AS221" s="141" t="s">
        <v>643</v>
      </c>
      <c r="AT221" s="124"/>
      <c r="AU221" s="143" t="s">
        <v>1294</v>
      </c>
      <c r="AV221" s="143" t="s">
        <v>1295</v>
      </c>
      <c r="AW221" s="143" t="s">
        <v>1299</v>
      </c>
    </row>
    <row r="222" spans="1:49" s="138" customFormat="1" ht="14.4" customHeight="1" x14ac:dyDescent="0.3">
      <c r="A222" s="116"/>
      <c r="B222" s="116"/>
      <c r="C222" s="117"/>
      <c r="D222" s="116"/>
      <c r="E222" s="116"/>
      <c r="F222" s="117"/>
      <c r="G222" s="120"/>
      <c r="H222" s="120"/>
      <c r="I222" s="120"/>
      <c r="J222" s="120" t="s">
        <v>30</v>
      </c>
      <c r="K222" s="134"/>
      <c r="L222" s="120"/>
      <c r="M222" s="132"/>
      <c r="N222" s="158">
        <v>43952</v>
      </c>
      <c r="O222" s="116"/>
      <c r="P222" s="135" t="s">
        <v>596</v>
      </c>
      <c r="Q222" s="116"/>
      <c r="R222" s="57" t="s">
        <v>30</v>
      </c>
      <c r="S222" s="57" t="s">
        <v>30</v>
      </c>
      <c r="T222" s="57" t="s">
        <v>30</v>
      </c>
      <c r="U222" s="34">
        <v>43466</v>
      </c>
      <c r="V222" s="57" t="s">
        <v>30</v>
      </c>
      <c r="W222" s="57" t="s">
        <v>30</v>
      </c>
      <c r="X222" s="34" t="s">
        <v>30</v>
      </c>
      <c r="Y222" s="137" t="str">
        <f t="shared" ref="Y222:Y253" si="109">IF(R222="NC","NC",IF(R222="","erreur",R222+365))</f>
        <v>NC</v>
      </c>
      <c r="Z222" s="57" t="str">
        <f t="shared" si="106"/>
        <v>NC</v>
      </c>
      <c r="AA222" s="57" t="str">
        <f t="shared" ref="AA222:AA253" si="110">IF(T222="NC","NC",IF(T222="","erreur",T222+365))</f>
        <v>NC</v>
      </c>
      <c r="AB222" s="57">
        <f t="shared" ref="AB222:AB253" si="111">IF(U222="NC","NC",IF(U222="","erreur",U222+3650))</f>
        <v>47116</v>
      </c>
      <c r="AC222" s="57" t="str">
        <f t="shared" ref="AC222:AC253" si="112">IF(V222="NC","NC",IF(V222="","erreur",V222+365))</f>
        <v>NC</v>
      </c>
      <c r="AD222" s="57" t="str">
        <f t="shared" ref="AD222:AD253" si="113">IF(W222="NC","NC",IF(W222="","erreur",W222+365))</f>
        <v>NC</v>
      </c>
      <c r="AE222" s="57" t="str">
        <f t="shared" ref="AE222:AE253" si="114">IF(X222="NC","NC",IF(X222="","erreur",X222+730))</f>
        <v>NC</v>
      </c>
      <c r="AG222" s="123" t="str">
        <f t="shared" ref="AG222:AG253" si="115">IF(Y222="NC","NC",IF(Y222="erreur","erreur",Y222-$F$3))</f>
        <v>NC</v>
      </c>
      <c r="AH222" s="123" t="str">
        <f t="shared" ref="AH222:AH253" si="116">IF(Z222="NC","NC",IF(Z222="erreur","erreur",Z222-$F$3))</f>
        <v>NC</v>
      </c>
      <c r="AI222" s="123" t="str">
        <f t="shared" ref="AI222:AI253" si="117">IF(AA222="NC","NC",IF(AA222="erreur","erreur",AA222-$F$3))</f>
        <v>NC</v>
      </c>
      <c r="AJ222" s="123">
        <f t="shared" ref="AJ222:AJ253" ca="1" si="118">IF(AB222="NC","NC",IF(AB222="erreur","erreur",AB222-$F$3))</f>
        <v>1529</v>
      </c>
      <c r="AK222" s="123" t="str">
        <f t="shared" ref="AK222:AK253" si="119">IF(AC222="NC","NC",IF(AC222="erreur","erreur",AC222-$F$3))</f>
        <v>NC</v>
      </c>
      <c r="AL222" s="123" t="str">
        <f t="shared" ref="AL222:AL253" si="120">IF(AD222="NC","NC",IF(AD222="erreur","erreur",AD222-$F$3))</f>
        <v>NC</v>
      </c>
      <c r="AM222" s="123" t="str">
        <f t="shared" ref="AM222:AM253" si="121">IF(AE222="NC","NC",IF(AE222="erreur","erreur",AE222-$F$3))</f>
        <v>NC</v>
      </c>
      <c r="AO222" s="151" t="e">
        <f t="shared" si="108"/>
        <v>#DIV/0!</v>
      </c>
      <c r="AR222" s="141" t="s">
        <v>643</v>
      </c>
      <c r="AS222" s="141" t="s">
        <v>643</v>
      </c>
      <c r="AU222" s="142" t="s">
        <v>1300</v>
      </c>
      <c r="AV222" s="143"/>
      <c r="AW222" s="143" t="s">
        <v>1301</v>
      </c>
    </row>
    <row r="223" spans="1:49" s="124" customFormat="1" ht="14.4" customHeight="1" x14ac:dyDescent="0.3">
      <c r="A223" s="121"/>
      <c r="B223" s="117"/>
      <c r="C223" s="121"/>
      <c r="D223" s="123"/>
      <c r="E223" s="123"/>
      <c r="F223" s="121"/>
      <c r="G223" s="120"/>
      <c r="H223" s="120"/>
      <c r="I223" s="120"/>
      <c r="J223" s="120" t="s">
        <v>30</v>
      </c>
      <c r="K223" s="145"/>
      <c r="L223" s="146"/>
      <c r="M223" s="154"/>
      <c r="N223" s="133">
        <v>43891</v>
      </c>
      <c r="O223" s="148"/>
      <c r="P223" s="149" t="s">
        <v>596</v>
      </c>
      <c r="Q223" s="150"/>
      <c r="R223" s="57" t="s">
        <v>30</v>
      </c>
      <c r="S223" s="57" t="s">
        <v>30</v>
      </c>
      <c r="T223" s="116" t="s">
        <v>30</v>
      </c>
      <c r="U223" s="118" t="s">
        <v>30</v>
      </c>
      <c r="V223" s="57" t="s">
        <v>30</v>
      </c>
      <c r="W223" s="57" t="s">
        <v>30</v>
      </c>
      <c r="X223" s="34" t="s">
        <v>30</v>
      </c>
      <c r="Y223" s="137" t="str">
        <f t="shared" si="109"/>
        <v>NC</v>
      </c>
      <c r="Z223" s="57" t="str">
        <f t="shared" si="106"/>
        <v>NC</v>
      </c>
      <c r="AA223" s="57" t="str">
        <f t="shared" si="110"/>
        <v>NC</v>
      </c>
      <c r="AB223" s="57" t="str">
        <f t="shared" si="111"/>
        <v>NC</v>
      </c>
      <c r="AC223" s="57" t="str">
        <f t="shared" si="112"/>
        <v>NC</v>
      </c>
      <c r="AD223" s="57" t="str">
        <f t="shared" si="113"/>
        <v>NC</v>
      </c>
      <c r="AE223" s="57" t="str">
        <f t="shared" si="114"/>
        <v>NC</v>
      </c>
      <c r="AG223" s="123" t="str">
        <f t="shared" si="115"/>
        <v>NC</v>
      </c>
      <c r="AH223" s="123" t="str">
        <f t="shared" si="116"/>
        <v>NC</v>
      </c>
      <c r="AI223" s="123" t="str">
        <f t="shared" si="117"/>
        <v>NC</v>
      </c>
      <c r="AJ223" s="123" t="str">
        <f t="shared" si="118"/>
        <v>NC</v>
      </c>
      <c r="AK223" s="123" t="str">
        <f t="shared" si="119"/>
        <v>NC</v>
      </c>
      <c r="AL223" s="123" t="str">
        <f t="shared" si="120"/>
        <v>NC</v>
      </c>
      <c r="AM223" s="123" t="str">
        <f t="shared" si="121"/>
        <v>NC</v>
      </c>
      <c r="AN223" s="138"/>
      <c r="AO223" s="151" t="e">
        <f t="shared" si="108"/>
        <v>#DIV/0!</v>
      </c>
      <c r="AP223" s="152"/>
      <c r="AR223" s="141" t="s">
        <v>643</v>
      </c>
      <c r="AS223" s="141" t="s">
        <v>643</v>
      </c>
      <c r="AU223" s="143" t="s">
        <v>1302</v>
      </c>
      <c r="AV223" s="143" t="s">
        <v>1303</v>
      </c>
      <c r="AW223" s="143" t="s">
        <v>1304</v>
      </c>
    </row>
    <row r="224" spans="1:49" s="124" customFormat="1" ht="14.4" customHeight="1" x14ac:dyDescent="0.3">
      <c r="A224" s="121"/>
      <c r="B224" s="117"/>
      <c r="C224" s="121"/>
      <c r="D224" s="123"/>
      <c r="E224" s="123"/>
      <c r="F224" s="121"/>
      <c r="G224" s="120"/>
      <c r="H224" s="120"/>
      <c r="I224" s="120"/>
      <c r="J224" s="120" t="s">
        <v>30</v>
      </c>
      <c r="K224" s="145"/>
      <c r="L224" s="146"/>
      <c r="M224" s="154"/>
      <c r="N224" s="133">
        <v>43891</v>
      </c>
      <c r="O224" s="148"/>
      <c r="P224" s="149" t="s">
        <v>596</v>
      </c>
      <c r="Q224" s="150"/>
      <c r="R224" s="57" t="s">
        <v>30</v>
      </c>
      <c r="S224" s="57" t="s">
        <v>30</v>
      </c>
      <c r="T224" s="116" t="s">
        <v>30</v>
      </c>
      <c r="U224" s="118" t="s">
        <v>30</v>
      </c>
      <c r="V224" s="57" t="s">
        <v>30</v>
      </c>
      <c r="W224" s="57" t="s">
        <v>30</v>
      </c>
      <c r="X224" s="34" t="s">
        <v>30</v>
      </c>
      <c r="Y224" s="137" t="str">
        <f t="shared" si="109"/>
        <v>NC</v>
      </c>
      <c r="Z224" s="57" t="str">
        <f t="shared" si="106"/>
        <v>NC</v>
      </c>
      <c r="AA224" s="57" t="str">
        <f t="shared" si="110"/>
        <v>NC</v>
      </c>
      <c r="AB224" s="57" t="str">
        <f t="shared" si="111"/>
        <v>NC</v>
      </c>
      <c r="AC224" s="57" t="str">
        <f t="shared" si="112"/>
        <v>NC</v>
      </c>
      <c r="AD224" s="57" t="str">
        <f t="shared" si="113"/>
        <v>NC</v>
      </c>
      <c r="AE224" s="57" t="str">
        <f t="shared" si="114"/>
        <v>NC</v>
      </c>
      <c r="AG224" s="123" t="str">
        <f t="shared" si="115"/>
        <v>NC</v>
      </c>
      <c r="AH224" s="123" t="str">
        <f t="shared" si="116"/>
        <v>NC</v>
      </c>
      <c r="AI224" s="123" t="str">
        <f t="shared" si="117"/>
        <v>NC</v>
      </c>
      <c r="AJ224" s="123" t="str">
        <f t="shared" si="118"/>
        <v>NC</v>
      </c>
      <c r="AK224" s="123" t="str">
        <f t="shared" si="119"/>
        <v>NC</v>
      </c>
      <c r="AL224" s="123" t="str">
        <f t="shared" si="120"/>
        <v>NC</v>
      </c>
      <c r="AM224" s="123" t="str">
        <f t="shared" si="121"/>
        <v>NC</v>
      </c>
      <c r="AN224" s="138"/>
      <c r="AO224" s="151" t="e">
        <f t="shared" si="108"/>
        <v>#DIV/0!</v>
      </c>
      <c r="AP224" s="152"/>
      <c r="AR224" s="141" t="s">
        <v>643</v>
      </c>
      <c r="AS224" s="141" t="s">
        <v>643</v>
      </c>
      <c r="AU224" s="143" t="s">
        <v>1302</v>
      </c>
      <c r="AV224" s="143" t="s">
        <v>1303</v>
      </c>
      <c r="AW224" s="143" t="s">
        <v>1304</v>
      </c>
    </row>
    <row r="225" spans="1:49" s="124" customFormat="1" ht="14.4" customHeight="1" x14ac:dyDescent="0.3">
      <c r="A225" s="125"/>
      <c r="B225" s="117"/>
      <c r="C225" s="121"/>
      <c r="D225" s="123"/>
      <c r="E225" s="123"/>
      <c r="F225" s="121"/>
      <c r="G225" s="120"/>
      <c r="H225" s="120"/>
      <c r="I225" s="120"/>
      <c r="J225" s="120" t="s">
        <v>30</v>
      </c>
      <c r="K225" s="153"/>
      <c r="L225" s="146"/>
      <c r="M225" s="154">
        <v>44317</v>
      </c>
      <c r="N225" s="133">
        <v>43952</v>
      </c>
      <c r="O225" s="148"/>
      <c r="P225" s="149" t="s">
        <v>596</v>
      </c>
      <c r="Q225" s="150">
        <v>1268</v>
      </c>
      <c r="R225" s="57" t="s">
        <v>30</v>
      </c>
      <c r="S225" s="57" t="s">
        <v>30</v>
      </c>
      <c r="T225" s="57">
        <v>43794</v>
      </c>
      <c r="U225" s="34" t="s">
        <v>30</v>
      </c>
      <c r="V225" s="57" t="s">
        <v>30</v>
      </c>
      <c r="W225" s="57" t="s">
        <v>30</v>
      </c>
      <c r="X225" s="34" t="s">
        <v>30</v>
      </c>
      <c r="Y225" s="137" t="str">
        <f t="shared" si="109"/>
        <v>NC</v>
      </c>
      <c r="Z225" s="57" t="str">
        <f t="shared" si="106"/>
        <v>NC</v>
      </c>
      <c r="AA225" s="57">
        <f t="shared" si="110"/>
        <v>44159</v>
      </c>
      <c r="AB225" s="57" t="str">
        <f t="shared" si="111"/>
        <v>NC</v>
      </c>
      <c r="AC225" s="57" t="str">
        <f t="shared" si="112"/>
        <v>NC</v>
      </c>
      <c r="AD225" s="57" t="str">
        <f t="shared" si="113"/>
        <v>NC</v>
      </c>
      <c r="AE225" s="57" t="str">
        <f t="shared" si="114"/>
        <v>NC</v>
      </c>
      <c r="AG225" s="123" t="str">
        <f t="shared" si="115"/>
        <v>NC</v>
      </c>
      <c r="AH225" s="123" t="str">
        <f t="shared" si="116"/>
        <v>NC</v>
      </c>
      <c r="AI225" s="123">
        <f t="shared" ca="1" si="117"/>
        <v>-1428</v>
      </c>
      <c r="AJ225" s="123" t="str">
        <f t="shared" si="118"/>
        <v>NC</v>
      </c>
      <c r="AK225" s="123" t="str">
        <f t="shared" si="119"/>
        <v>NC</v>
      </c>
      <c r="AL225" s="123" t="str">
        <f t="shared" si="120"/>
        <v>NC</v>
      </c>
      <c r="AM225" s="123" t="str">
        <f t="shared" si="121"/>
        <v>NC</v>
      </c>
      <c r="AN225" s="138"/>
      <c r="AO225" s="151" t="e">
        <f t="shared" si="108"/>
        <v>#DIV/0!</v>
      </c>
      <c r="AP225" s="152"/>
      <c r="AR225" s="141" t="s">
        <v>643</v>
      </c>
      <c r="AS225" s="141" t="s">
        <v>643</v>
      </c>
      <c r="AU225" s="143" t="s">
        <v>1302</v>
      </c>
      <c r="AV225" s="143" t="s">
        <v>1305</v>
      </c>
      <c r="AW225" s="143" t="s">
        <v>1306</v>
      </c>
    </row>
    <row r="226" spans="1:49" s="138" customFormat="1" ht="14.4" customHeight="1" x14ac:dyDescent="0.3">
      <c r="A226" s="116"/>
      <c r="B226" s="116"/>
      <c r="C226" s="121"/>
      <c r="D226" s="116"/>
      <c r="E226" s="116"/>
      <c r="F226" s="117"/>
      <c r="G226" s="120"/>
      <c r="H226" s="120"/>
      <c r="I226" s="120"/>
      <c r="J226" s="120" t="s">
        <v>30</v>
      </c>
      <c r="K226" s="153"/>
      <c r="L226" s="146"/>
      <c r="M226" s="154"/>
      <c r="N226" s="162">
        <v>43952</v>
      </c>
      <c r="O226" s="116"/>
      <c r="P226" s="149" t="s">
        <v>596</v>
      </c>
      <c r="Q226" s="136">
        <v>1278</v>
      </c>
      <c r="R226" s="57" t="s">
        <v>30</v>
      </c>
      <c r="S226" s="57" t="s">
        <v>30</v>
      </c>
      <c r="T226" s="57">
        <v>43724</v>
      </c>
      <c r="U226" s="34" t="s">
        <v>30</v>
      </c>
      <c r="V226" s="57" t="s">
        <v>30</v>
      </c>
      <c r="W226" s="57" t="s">
        <v>30</v>
      </c>
      <c r="X226" s="34" t="s">
        <v>30</v>
      </c>
      <c r="Y226" s="137" t="str">
        <f t="shared" si="109"/>
        <v>NC</v>
      </c>
      <c r="Z226" s="57" t="str">
        <f t="shared" si="106"/>
        <v>NC</v>
      </c>
      <c r="AA226" s="57">
        <f t="shared" si="110"/>
        <v>44089</v>
      </c>
      <c r="AB226" s="57" t="str">
        <f t="shared" si="111"/>
        <v>NC</v>
      </c>
      <c r="AC226" s="57" t="str">
        <f t="shared" si="112"/>
        <v>NC</v>
      </c>
      <c r="AD226" s="57" t="str">
        <f t="shared" si="113"/>
        <v>NC</v>
      </c>
      <c r="AE226" s="57" t="str">
        <f t="shared" si="114"/>
        <v>NC</v>
      </c>
      <c r="AG226" s="123" t="str">
        <f t="shared" si="115"/>
        <v>NC</v>
      </c>
      <c r="AH226" s="123" t="str">
        <f t="shared" si="116"/>
        <v>NC</v>
      </c>
      <c r="AI226" s="123">
        <f t="shared" ca="1" si="117"/>
        <v>-1498</v>
      </c>
      <c r="AJ226" s="123" t="str">
        <f t="shared" si="118"/>
        <v>NC</v>
      </c>
      <c r="AK226" s="123" t="str">
        <f t="shared" si="119"/>
        <v>NC</v>
      </c>
      <c r="AL226" s="123" t="str">
        <f t="shared" si="120"/>
        <v>NC</v>
      </c>
      <c r="AM226" s="123" t="str">
        <f t="shared" si="121"/>
        <v>NC</v>
      </c>
      <c r="AO226" s="151" t="e">
        <f t="shared" si="108"/>
        <v>#DIV/0!</v>
      </c>
      <c r="AR226" s="141" t="s">
        <v>643</v>
      </c>
      <c r="AS226" s="141" t="s">
        <v>643</v>
      </c>
      <c r="AU226" s="142" t="s">
        <v>1169</v>
      </c>
      <c r="AV226" s="143" t="s">
        <v>1305</v>
      </c>
      <c r="AW226" s="143" t="s">
        <v>1307</v>
      </c>
    </row>
    <row r="227" spans="1:49" s="124" customFormat="1" ht="14.4" customHeight="1" x14ac:dyDescent="0.3">
      <c r="A227" s="116"/>
      <c r="B227" s="116"/>
      <c r="C227" s="117"/>
      <c r="D227" s="123"/>
      <c r="E227" s="116"/>
      <c r="F227" s="117"/>
      <c r="G227" s="120"/>
      <c r="H227" s="120"/>
      <c r="I227" s="120"/>
      <c r="J227" s="120" t="s">
        <v>30</v>
      </c>
      <c r="K227" s="153"/>
      <c r="L227" s="120"/>
      <c r="M227" s="132"/>
      <c r="N227" s="158">
        <v>43952</v>
      </c>
      <c r="O227" s="116"/>
      <c r="P227" s="135" t="s">
        <v>596</v>
      </c>
      <c r="Q227" s="116"/>
      <c r="R227" s="57" t="s">
        <v>30</v>
      </c>
      <c r="S227" s="57" t="s">
        <v>30</v>
      </c>
      <c r="T227" s="57">
        <v>43757</v>
      </c>
      <c r="U227" s="34" t="s">
        <v>30</v>
      </c>
      <c r="V227" s="57" t="s">
        <v>30</v>
      </c>
      <c r="W227" s="57" t="s">
        <v>30</v>
      </c>
      <c r="X227" s="34" t="s">
        <v>30</v>
      </c>
      <c r="Y227" s="137" t="str">
        <f t="shared" si="109"/>
        <v>NC</v>
      </c>
      <c r="Z227" s="57" t="str">
        <f t="shared" si="106"/>
        <v>NC</v>
      </c>
      <c r="AA227" s="57">
        <f t="shared" si="110"/>
        <v>44122</v>
      </c>
      <c r="AB227" s="57" t="str">
        <f t="shared" si="111"/>
        <v>NC</v>
      </c>
      <c r="AC227" s="57" t="str">
        <f t="shared" si="112"/>
        <v>NC</v>
      </c>
      <c r="AD227" s="57" t="str">
        <f t="shared" si="113"/>
        <v>NC</v>
      </c>
      <c r="AE227" s="57" t="str">
        <f t="shared" si="114"/>
        <v>NC</v>
      </c>
      <c r="AF227" s="138"/>
      <c r="AG227" s="123" t="str">
        <f t="shared" si="115"/>
        <v>NC</v>
      </c>
      <c r="AH227" s="123" t="str">
        <f t="shared" si="116"/>
        <v>NC</v>
      </c>
      <c r="AI227" s="123">
        <f t="shared" ca="1" si="117"/>
        <v>-1465</v>
      </c>
      <c r="AJ227" s="123" t="str">
        <f t="shared" si="118"/>
        <v>NC</v>
      </c>
      <c r="AK227" s="123" t="str">
        <f t="shared" si="119"/>
        <v>NC</v>
      </c>
      <c r="AL227" s="123" t="str">
        <f t="shared" si="120"/>
        <v>NC</v>
      </c>
      <c r="AM227" s="123" t="str">
        <f t="shared" si="121"/>
        <v>NC</v>
      </c>
      <c r="AN227" s="138"/>
      <c r="AO227" s="151" t="e">
        <f t="shared" si="108"/>
        <v>#DIV/0!</v>
      </c>
      <c r="AP227" s="138"/>
      <c r="AQ227" s="138"/>
      <c r="AR227" s="141" t="s">
        <v>643</v>
      </c>
      <c r="AS227" s="141" t="s">
        <v>643</v>
      </c>
      <c r="AT227" s="138"/>
      <c r="AU227" s="142" t="s">
        <v>1169</v>
      </c>
      <c r="AV227" s="143" t="s">
        <v>1305</v>
      </c>
      <c r="AW227" s="143" t="s">
        <v>1307</v>
      </c>
    </row>
    <row r="228" spans="1:49" s="124" customFormat="1" ht="14.4" customHeight="1" x14ac:dyDescent="0.3">
      <c r="A228" s="121"/>
      <c r="B228" s="117"/>
      <c r="C228" s="121"/>
      <c r="D228" s="123"/>
      <c r="E228" s="123"/>
      <c r="F228" s="121"/>
      <c r="G228" s="120"/>
      <c r="H228" s="120"/>
      <c r="I228" s="120"/>
      <c r="J228" s="120" t="s">
        <v>30</v>
      </c>
      <c r="K228" s="145"/>
      <c r="L228" s="146"/>
      <c r="M228" s="154"/>
      <c r="N228" s="133">
        <v>43922</v>
      </c>
      <c r="O228" s="148"/>
      <c r="P228" s="149" t="s">
        <v>596</v>
      </c>
      <c r="Q228" s="150"/>
      <c r="R228" s="57" t="s">
        <v>30</v>
      </c>
      <c r="S228" s="57" t="s">
        <v>30</v>
      </c>
      <c r="T228" s="116" t="s">
        <v>30</v>
      </c>
      <c r="U228" s="118" t="s">
        <v>30</v>
      </c>
      <c r="V228" s="57" t="s">
        <v>30</v>
      </c>
      <c r="W228" s="57" t="s">
        <v>30</v>
      </c>
      <c r="X228" s="34" t="s">
        <v>30</v>
      </c>
      <c r="Y228" s="137" t="str">
        <f t="shared" si="109"/>
        <v>NC</v>
      </c>
      <c r="Z228" s="57" t="str">
        <f t="shared" si="106"/>
        <v>NC</v>
      </c>
      <c r="AA228" s="57" t="str">
        <f t="shared" si="110"/>
        <v>NC</v>
      </c>
      <c r="AB228" s="57" t="str">
        <f t="shared" si="111"/>
        <v>NC</v>
      </c>
      <c r="AC228" s="57" t="str">
        <f t="shared" si="112"/>
        <v>NC</v>
      </c>
      <c r="AD228" s="57" t="str">
        <f t="shared" si="113"/>
        <v>NC</v>
      </c>
      <c r="AE228" s="57" t="str">
        <f t="shared" si="114"/>
        <v>NC</v>
      </c>
      <c r="AG228" s="123" t="str">
        <f t="shared" si="115"/>
        <v>NC</v>
      </c>
      <c r="AH228" s="123" t="str">
        <f t="shared" si="116"/>
        <v>NC</v>
      </c>
      <c r="AI228" s="123" t="str">
        <f t="shared" si="117"/>
        <v>NC</v>
      </c>
      <c r="AJ228" s="123" t="str">
        <f t="shared" si="118"/>
        <v>NC</v>
      </c>
      <c r="AK228" s="123" t="str">
        <f t="shared" si="119"/>
        <v>NC</v>
      </c>
      <c r="AL228" s="123" t="str">
        <f t="shared" si="120"/>
        <v>NC</v>
      </c>
      <c r="AM228" s="123" t="str">
        <f t="shared" si="121"/>
        <v>NC</v>
      </c>
      <c r="AN228" s="138"/>
      <c r="AO228" s="151" t="e">
        <f t="shared" si="108"/>
        <v>#DIV/0!</v>
      </c>
      <c r="AP228" s="152"/>
      <c r="AR228" s="141" t="s">
        <v>643</v>
      </c>
      <c r="AS228" s="141" t="s">
        <v>643</v>
      </c>
      <c r="AU228" s="143" t="s">
        <v>1302</v>
      </c>
      <c r="AV228" s="143" t="s">
        <v>947</v>
      </c>
      <c r="AW228" s="143" t="s">
        <v>948</v>
      </c>
    </row>
    <row r="229" spans="1:49" s="124" customFormat="1" ht="14.4" customHeight="1" x14ac:dyDescent="0.3">
      <c r="A229" s="121"/>
      <c r="B229" s="117"/>
      <c r="C229" s="121"/>
      <c r="D229" s="123"/>
      <c r="E229" s="123"/>
      <c r="F229" s="121"/>
      <c r="G229" s="120"/>
      <c r="H229" s="120"/>
      <c r="I229" s="120"/>
      <c r="J229" s="120" t="s">
        <v>30</v>
      </c>
      <c r="K229" s="145"/>
      <c r="L229" s="146"/>
      <c r="M229" s="154"/>
      <c r="N229" s="133">
        <v>43922</v>
      </c>
      <c r="O229" s="148"/>
      <c r="P229" s="149" t="s">
        <v>596</v>
      </c>
      <c r="Q229" s="150"/>
      <c r="R229" s="57" t="s">
        <v>30</v>
      </c>
      <c r="S229" s="57" t="s">
        <v>30</v>
      </c>
      <c r="T229" s="116" t="s">
        <v>30</v>
      </c>
      <c r="U229" s="118" t="s">
        <v>30</v>
      </c>
      <c r="V229" s="57" t="s">
        <v>30</v>
      </c>
      <c r="W229" s="57" t="s">
        <v>30</v>
      </c>
      <c r="X229" s="34" t="s">
        <v>30</v>
      </c>
      <c r="Y229" s="137" t="str">
        <f t="shared" si="109"/>
        <v>NC</v>
      </c>
      <c r="Z229" s="57" t="str">
        <f t="shared" si="106"/>
        <v>NC</v>
      </c>
      <c r="AA229" s="57" t="str">
        <f t="shared" si="110"/>
        <v>NC</v>
      </c>
      <c r="AB229" s="57" t="str">
        <f t="shared" si="111"/>
        <v>NC</v>
      </c>
      <c r="AC229" s="57" t="str">
        <f t="shared" si="112"/>
        <v>NC</v>
      </c>
      <c r="AD229" s="57" t="str">
        <f t="shared" si="113"/>
        <v>NC</v>
      </c>
      <c r="AE229" s="57" t="str">
        <f t="shared" si="114"/>
        <v>NC</v>
      </c>
      <c r="AG229" s="123" t="str">
        <f t="shared" si="115"/>
        <v>NC</v>
      </c>
      <c r="AH229" s="123" t="str">
        <f t="shared" si="116"/>
        <v>NC</v>
      </c>
      <c r="AI229" s="123" t="str">
        <f t="shared" si="117"/>
        <v>NC</v>
      </c>
      <c r="AJ229" s="123" t="str">
        <f t="shared" si="118"/>
        <v>NC</v>
      </c>
      <c r="AK229" s="123" t="str">
        <f t="shared" si="119"/>
        <v>NC</v>
      </c>
      <c r="AL229" s="123" t="str">
        <f t="shared" si="120"/>
        <v>NC</v>
      </c>
      <c r="AM229" s="123" t="str">
        <f t="shared" si="121"/>
        <v>NC</v>
      </c>
      <c r="AN229" s="138"/>
      <c r="AO229" s="151" t="e">
        <f t="shared" si="108"/>
        <v>#DIV/0!</v>
      </c>
      <c r="AP229" s="152"/>
      <c r="AR229" s="141" t="s">
        <v>643</v>
      </c>
      <c r="AS229" s="141" t="s">
        <v>643</v>
      </c>
      <c r="AU229" s="143" t="s">
        <v>1302</v>
      </c>
      <c r="AV229" s="143" t="s">
        <v>947</v>
      </c>
      <c r="AW229" s="143" t="s">
        <v>948</v>
      </c>
    </row>
    <row r="230" spans="1:49" s="124" customFormat="1" ht="14.4" customHeight="1" x14ac:dyDescent="0.3">
      <c r="A230" s="121"/>
      <c r="B230" s="117"/>
      <c r="C230" s="121"/>
      <c r="D230" s="123"/>
      <c r="E230" s="123"/>
      <c r="F230" s="244"/>
      <c r="G230" s="120"/>
      <c r="H230" s="120"/>
      <c r="I230" s="120"/>
      <c r="J230" s="120" t="s">
        <v>30</v>
      </c>
      <c r="K230" s="145"/>
      <c r="L230" s="146"/>
      <c r="M230" s="154"/>
      <c r="N230" s="133"/>
      <c r="O230" s="148"/>
      <c r="P230" s="149" t="s">
        <v>596</v>
      </c>
      <c r="Q230" s="150"/>
      <c r="R230" s="57" t="s">
        <v>30</v>
      </c>
      <c r="S230" s="57" t="s">
        <v>30</v>
      </c>
      <c r="T230" s="116" t="s">
        <v>30</v>
      </c>
      <c r="U230" s="118" t="s">
        <v>30</v>
      </c>
      <c r="V230" s="57" t="s">
        <v>30</v>
      </c>
      <c r="W230" s="57" t="s">
        <v>30</v>
      </c>
      <c r="X230" s="34" t="s">
        <v>30</v>
      </c>
      <c r="Y230" s="137" t="str">
        <f t="shared" si="109"/>
        <v>NC</v>
      </c>
      <c r="Z230" s="57" t="str">
        <f t="shared" si="106"/>
        <v>NC</v>
      </c>
      <c r="AA230" s="57" t="str">
        <f t="shared" si="110"/>
        <v>NC</v>
      </c>
      <c r="AB230" s="57" t="str">
        <f t="shared" si="111"/>
        <v>NC</v>
      </c>
      <c r="AC230" s="57" t="str">
        <f t="shared" si="112"/>
        <v>NC</v>
      </c>
      <c r="AD230" s="57" t="str">
        <f t="shared" si="113"/>
        <v>NC</v>
      </c>
      <c r="AE230" s="57" t="str">
        <f t="shared" si="114"/>
        <v>NC</v>
      </c>
      <c r="AG230" s="123" t="str">
        <f t="shared" si="115"/>
        <v>NC</v>
      </c>
      <c r="AH230" s="123" t="str">
        <f t="shared" si="116"/>
        <v>NC</v>
      </c>
      <c r="AI230" s="123" t="str">
        <f t="shared" si="117"/>
        <v>NC</v>
      </c>
      <c r="AJ230" s="123" t="str">
        <f t="shared" si="118"/>
        <v>NC</v>
      </c>
      <c r="AK230" s="123" t="str">
        <f t="shared" si="119"/>
        <v>NC</v>
      </c>
      <c r="AL230" s="123" t="str">
        <f t="shared" si="120"/>
        <v>NC</v>
      </c>
      <c r="AM230" s="123" t="str">
        <f t="shared" si="121"/>
        <v>NC</v>
      </c>
      <c r="AN230" s="138"/>
      <c r="AO230" s="151" t="e">
        <f t="shared" si="108"/>
        <v>#DIV/0!</v>
      </c>
      <c r="AP230" s="152"/>
      <c r="AR230" s="141" t="s">
        <v>643</v>
      </c>
      <c r="AS230" s="141" t="s">
        <v>643</v>
      </c>
      <c r="AU230" s="143" t="s">
        <v>1302</v>
      </c>
      <c r="AV230" s="143" t="s">
        <v>947</v>
      </c>
      <c r="AW230" s="143" t="s">
        <v>948</v>
      </c>
    </row>
    <row r="231" spans="1:49" s="138" customFormat="1" ht="14.4" customHeight="1" x14ac:dyDescent="0.3">
      <c r="A231" s="116"/>
      <c r="B231" s="116"/>
      <c r="C231" s="121"/>
      <c r="D231" s="116"/>
      <c r="E231" s="116"/>
      <c r="F231" s="117"/>
      <c r="G231" s="120"/>
      <c r="H231" s="120"/>
      <c r="I231" s="120"/>
      <c r="J231" s="120" t="s">
        <v>30</v>
      </c>
      <c r="K231" s="134"/>
      <c r="L231" s="146"/>
      <c r="M231" s="154"/>
      <c r="N231" s="162" t="s">
        <v>1022</v>
      </c>
      <c r="O231" s="116"/>
      <c r="P231" s="149" t="s">
        <v>596</v>
      </c>
      <c r="Q231" s="136">
        <v>6993</v>
      </c>
      <c r="R231" s="57" t="s">
        <v>30</v>
      </c>
      <c r="S231" s="57" t="s">
        <v>30</v>
      </c>
      <c r="T231" s="57">
        <v>43670</v>
      </c>
      <c r="U231" s="34" t="s">
        <v>30</v>
      </c>
      <c r="V231" s="57" t="s">
        <v>30</v>
      </c>
      <c r="W231" s="57" t="s">
        <v>30</v>
      </c>
      <c r="X231" s="34" t="s">
        <v>30</v>
      </c>
      <c r="Y231" s="137" t="str">
        <f t="shared" si="109"/>
        <v>NC</v>
      </c>
      <c r="Z231" s="57" t="str">
        <f t="shared" ref="Z231:Z262" si="122">IF(S231="NC","NC",IF(S231="","erreur",S231+181))</f>
        <v>NC</v>
      </c>
      <c r="AA231" s="57">
        <f t="shared" si="110"/>
        <v>44035</v>
      </c>
      <c r="AB231" s="57" t="str">
        <f t="shared" si="111"/>
        <v>NC</v>
      </c>
      <c r="AC231" s="57" t="str">
        <f t="shared" si="112"/>
        <v>NC</v>
      </c>
      <c r="AD231" s="57" t="str">
        <f t="shared" si="113"/>
        <v>NC</v>
      </c>
      <c r="AE231" s="57" t="str">
        <f t="shared" si="114"/>
        <v>NC</v>
      </c>
      <c r="AG231" s="123" t="str">
        <f t="shared" si="115"/>
        <v>NC</v>
      </c>
      <c r="AH231" s="123" t="str">
        <f t="shared" si="116"/>
        <v>NC</v>
      </c>
      <c r="AI231" s="123">
        <f t="shared" ca="1" si="117"/>
        <v>-1552</v>
      </c>
      <c r="AJ231" s="123" t="str">
        <f t="shared" si="118"/>
        <v>NC</v>
      </c>
      <c r="AK231" s="123" t="str">
        <f t="shared" si="119"/>
        <v>NC</v>
      </c>
      <c r="AL231" s="123" t="str">
        <f t="shared" si="120"/>
        <v>NC</v>
      </c>
      <c r="AM231" s="123" t="str">
        <f t="shared" si="121"/>
        <v>NC</v>
      </c>
      <c r="AO231" s="151" t="e">
        <f t="shared" si="108"/>
        <v>#DIV/0!</v>
      </c>
      <c r="AR231" s="141" t="s">
        <v>643</v>
      </c>
      <c r="AS231" s="141" t="s">
        <v>643</v>
      </c>
      <c r="AU231" s="142" t="s">
        <v>1169</v>
      </c>
      <c r="AV231" s="143" t="s">
        <v>1308</v>
      </c>
      <c r="AW231" s="143" t="s">
        <v>1309</v>
      </c>
    </row>
    <row r="232" spans="1:49" s="124" customFormat="1" ht="14.4" customHeight="1" x14ac:dyDescent="0.3">
      <c r="A232" s="125"/>
      <c r="B232" s="117"/>
      <c r="C232" s="121"/>
      <c r="D232" s="123"/>
      <c r="E232" s="123"/>
      <c r="F232" s="121"/>
      <c r="G232" s="120"/>
      <c r="H232" s="120"/>
      <c r="I232" s="120"/>
      <c r="J232" s="120" t="s">
        <v>30</v>
      </c>
      <c r="K232" s="153"/>
      <c r="L232" s="146"/>
      <c r="M232" s="147" t="s">
        <v>609</v>
      </c>
      <c r="N232" s="245" t="s">
        <v>751</v>
      </c>
      <c r="O232" s="148"/>
      <c r="P232" s="149" t="s">
        <v>596</v>
      </c>
      <c r="Q232" s="150">
        <v>122</v>
      </c>
      <c r="R232" s="57" t="s">
        <v>30</v>
      </c>
      <c r="S232" s="57" t="s">
        <v>30</v>
      </c>
      <c r="T232" s="57">
        <v>43670</v>
      </c>
      <c r="U232" s="34" t="s">
        <v>30</v>
      </c>
      <c r="V232" s="57" t="s">
        <v>30</v>
      </c>
      <c r="W232" s="57" t="s">
        <v>30</v>
      </c>
      <c r="X232" s="34" t="s">
        <v>30</v>
      </c>
      <c r="Y232" s="137" t="str">
        <f t="shared" si="109"/>
        <v>NC</v>
      </c>
      <c r="Z232" s="57" t="str">
        <f t="shared" si="122"/>
        <v>NC</v>
      </c>
      <c r="AA232" s="57">
        <f t="shared" si="110"/>
        <v>44035</v>
      </c>
      <c r="AB232" s="57" t="str">
        <f t="shared" si="111"/>
        <v>NC</v>
      </c>
      <c r="AC232" s="57" t="str">
        <f t="shared" si="112"/>
        <v>NC</v>
      </c>
      <c r="AD232" s="57" t="str">
        <f t="shared" si="113"/>
        <v>NC</v>
      </c>
      <c r="AE232" s="57" t="str">
        <f t="shared" si="114"/>
        <v>NC</v>
      </c>
      <c r="AG232" s="123" t="str">
        <f t="shared" si="115"/>
        <v>NC</v>
      </c>
      <c r="AH232" s="123" t="str">
        <f t="shared" si="116"/>
        <v>NC</v>
      </c>
      <c r="AI232" s="123">
        <f t="shared" ca="1" si="117"/>
        <v>-1552</v>
      </c>
      <c r="AJ232" s="123" t="str">
        <f t="shared" si="118"/>
        <v>NC</v>
      </c>
      <c r="AK232" s="123" t="str">
        <f t="shared" si="119"/>
        <v>NC</v>
      </c>
      <c r="AL232" s="123" t="str">
        <f t="shared" si="120"/>
        <v>NC</v>
      </c>
      <c r="AM232" s="123" t="str">
        <f t="shared" si="121"/>
        <v>NC</v>
      </c>
      <c r="AN232" s="138"/>
      <c r="AO232" s="151" t="e">
        <f t="shared" si="108"/>
        <v>#DIV/0!</v>
      </c>
      <c r="AP232" s="152"/>
      <c r="AR232" s="141" t="s">
        <v>643</v>
      </c>
      <c r="AS232" s="141" t="s">
        <v>643</v>
      </c>
      <c r="AU232" s="143" t="s">
        <v>1310</v>
      </c>
      <c r="AV232" s="143" t="s">
        <v>1311</v>
      </c>
      <c r="AW232" s="143" t="s">
        <v>1312</v>
      </c>
    </row>
    <row r="233" spans="1:49" s="160" customFormat="1" ht="14.4" customHeight="1" x14ac:dyDescent="0.3">
      <c r="A233" s="125"/>
      <c r="B233" s="117"/>
      <c r="C233" s="121"/>
      <c r="D233" s="116"/>
      <c r="E233" s="116"/>
      <c r="F233" s="121"/>
      <c r="G233" s="120"/>
      <c r="H233" s="120"/>
      <c r="I233" s="120"/>
      <c r="J233" s="120" t="s">
        <v>30</v>
      </c>
      <c r="K233" s="153"/>
      <c r="L233" s="131"/>
      <c r="M233" s="147" t="s">
        <v>609</v>
      </c>
      <c r="N233" s="133">
        <v>44166</v>
      </c>
      <c r="O233" s="134"/>
      <c r="P233" s="149" t="s">
        <v>596</v>
      </c>
      <c r="Q233" s="136">
        <v>8681</v>
      </c>
      <c r="R233" s="57" t="s">
        <v>30</v>
      </c>
      <c r="S233" s="57" t="s">
        <v>30</v>
      </c>
      <c r="T233" s="57">
        <v>43717</v>
      </c>
      <c r="U233" s="34" t="s">
        <v>30</v>
      </c>
      <c r="V233" s="57" t="s">
        <v>30</v>
      </c>
      <c r="W233" s="57" t="s">
        <v>30</v>
      </c>
      <c r="X233" s="34" t="s">
        <v>30</v>
      </c>
      <c r="Y233" s="137" t="str">
        <f t="shared" si="109"/>
        <v>NC</v>
      </c>
      <c r="Z233" s="57" t="str">
        <f t="shared" si="122"/>
        <v>NC</v>
      </c>
      <c r="AA233" s="57">
        <f t="shared" si="110"/>
        <v>44082</v>
      </c>
      <c r="AB233" s="57" t="str">
        <f t="shared" si="111"/>
        <v>NC</v>
      </c>
      <c r="AC233" s="57" t="str">
        <f t="shared" si="112"/>
        <v>NC</v>
      </c>
      <c r="AD233" s="57" t="str">
        <f t="shared" si="113"/>
        <v>NC</v>
      </c>
      <c r="AE233" s="57" t="str">
        <f t="shared" si="114"/>
        <v>NC</v>
      </c>
      <c r="AF233" s="124"/>
      <c r="AG233" s="123" t="str">
        <f t="shared" si="115"/>
        <v>NC</v>
      </c>
      <c r="AH233" s="123" t="str">
        <f t="shared" si="116"/>
        <v>NC</v>
      </c>
      <c r="AI233" s="123">
        <f t="shared" ca="1" si="117"/>
        <v>-1505</v>
      </c>
      <c r="AJ233" s="123" t="str">
        <f t="shared" si="118"/>
        <v>NC</v>
      </c>
      <c r="AK233" s="123" t="str">
        <f t="shared" si="119"/>
        <v>NC</v>
      </c>
      <c r="AL233" s="123" t="str">
        <f t="shared" si="120"/>
        <v>NC</v>
      </c>
      <c r="AM233" s="123" t="str">
        <f t="shared" si="121"/>
        <v>NC</v>
      </c>
      <c r="AN233" s="138"/>
      <c r="AO233" s="151" t="e">
        <f t="shared" si="108"/>
        <v>#DIV/0!</v>
      </c>
      <c r="AP233" s="140"/>
      <c r="AQ233" s="124"/>
      <c r="AR233" s="141" t="s">
        <v>643</v>
      </c>
      <c r="AS233" s="141" t="s">
        <v>643</v>
      </c>
      <c r="AT233" s="124"/>
      <c r="AU233" s="143" t="s">
        <v>1310</v>
      </c>
      <c r="AV233" s="143" t="s">
        <v>1311</v>
      </c>
      <c r="AW233" s="143" t="s">
        <v>1312</v>
      </c>
    </row>
    <row r="234" spans="1:49" s="160" customFormat="1" ht="14.4" customHeight="1" x14ac:dyDescent="0.3">
      <c r="A234" s="125"/>
      <c r="B234" s="202"/>
      <c r="C234" s="121"/>
      <c r="D234" s="123"/>
      <c r="E234" s="123"/>
      <c r="F234" s="121"/>
      <c r="G234" s="120"/>
      <c r="H234" s="120"/>
      <c r="I234" s="120"/>
      <c r="J234" s="120" t="s">
        <v>30</v>
      </c>
      <c r="K234" s="153"/>
      <c r="L234" s="146"/>
      <c r="M234" s="154">
        <v>43497</v>
      </c>
      <c r="N234" s="133">
        <v>43952</v>
      </c>
      <c r="O234" s="148"/>
      <c r="P234" s="149" t="s">
        <v>596</v>
      </c>
      <c r="Q234" s="150">
        <v>3192</v>
      </c>
      <c r="R234" s="57" t="s">
        <v>30</v>
      </c>
      <c r="S234" s="57" t="s">
        <v>30</v>
      </c>
      <c r="T234" s="57">
        <v>43670</v>
      </c>
      <c r="U234" s="34" t="s">
        <v>30</v>
      </c>
      <c r="V234" s="57" t="s">
        <v>30</v>
      </c>
      <c r="W234" s="57" t="s">
        <v>30</v>
      </c>
      <c r="X234" s="34" t="s">
        <v>30</v>
      </c>
      <c r="Y234" s="137" t="str">
        <f t="shared" si="109"/>
        <v>NC</v>
      </c>
      <c r="Z234" s="57" t="str">
        <f t="shared" si="122"/>
        <v>NC</v>
      </c>
      <c r="AA234" s="57">
        <f t="shared" si="110"/>
        <v>44035</v>
      </c>
      <c r="AB234" s="57" t="str">
        <f t="shared" si="111"/>
        <v>NC</v>
      </c>
      <c r="AC234" s="57" t="str">
        <f t="shared" si="112"/>
        <v>NC</v>
      </c>
      <c r="AD234" s="57" t="str">
        <f t="shared" si="113"/>
        <v>NC</v>
      </c>
      <c r="AE234" s="57" t="str">
        <f t="shared" si="114"/>
        <v>NC</v>
      </c>
      <c r="AF234" s="124"/>
      <c r="AG234" s="123" t="str">
        <f t="shared" si="115"/>
        <v>NC</v>
      </c>
      <c r="AH234" s="123" t="str">
        <f t="shared" si="116"/>
        <v>NC</v>
      </c>
      <c r="AI234" s="123">
        <f t="shared" ca="1" si="117"/>
        <v>-1552</v>
      </c>
      <c r="AJ234" s="123" t="str">
        <f t="shared" si="118"/>
        <v>NC</v>
      </c>
      <c r="AK234" s="123" t="str">
        <f t="shared" si="119"/>
        <v>NC</v>
      </c>
      <c r="AL234" s="123" t="str">
        <f t="shared" si="120"/>
        <v>NC</v>
      </c>
      <c r="AM234" s="123" t="str">
        <f t="shared" si="121"/>
        <v>NC</v>
      </c>
      <c r="AN234" s="138"/>
      <c r="AO234" s="151" t="e">
        <f t="shared" si="108"/>
        <v>#DIV/0!</v>
      </c>
      <c r="AP234" s="152"/>
      <c r="AQ234" s="124"/>
      <c r="AR234" s="141" t="s">
        <v>643</v>
      </c>
      <c r="AS234" s="141" t="s">
        <v>643</v>
      </c>
      <c r="AT234" s="124"/>
      <c r="AU234" s="143" t="s">
        <v>1310</v>
      </c>
      <c r="AV234" s="143" t="s">
        <v>1311</v>
      </c>
      <c r="AW234" s="143" t="s">
        <v>1313</v>
      </c>
    </row>
    <row r="235" spans="1:49" s="246" customFormat="1" ht="14.4" customHeight="1" x14ac:dyDescent="0.3">
      <c r="A235" s="125"/>
      <c r="B235" s="117"/>
      <c r="C235" s="117"/>
      <c r="D235" s="116"/>
      <c r="E235" s="116"/>
      <c r="F235" s="117"/>
      <c r="G235" s="120"/>
      <c r="H235" s="120"/>
      <c r="I235" s="120"/>
      <c r="J235" s="120" t="s">
        <v>30</v>
      </c>
      <c r="K235" s="130"/>
      <c r="L235" s="131"/>
      <c r="M235" s="132"/>
      <c r="N235" s="132"/>
      <c r="O235" s="134"/>
      <c r="P235" s="135" t="s">
        <v>596</v>
      </c>
      <c r="Q235" s="136"/>
      <c r="R235" s="57" t="s">
        <v>30</v>
      </c>
      <c r="S235" s="57" t="s">
        <v>30</v>
      </c>
      <c r="T235" s="57">
        <v>43725</v>
      </c>
      <c r="U235" s="34" t="s">
        <v>30</v>
      </c>
      <c r="V235" s="57" t="s">
        <v>30</v>
      </c>
      <c r="W235" s="57" t="s">
        <v>30</v>
      </c>
      <c r="X235" s="34" t="s">
        <v>30</v>
      </c>
      <c r="Y235" s="137" t="str">
        <f t="shared" si="109"/>
        <v>NC</v>
      </c>
      <c r="Z235" s="57" t="str">
        <f t="shared" si="122"/>
        <v>NC</v>
      </c>
      <c r="AA235" s="57">
        <f t="shared" si="110"/>
        <v>44090</v>
      </c>
      <c r="AB235" s="57" t="str">
        <f t="shared" si="111"/>
        <v>NC</v>
      </c>
      <c r="AC235" s="57" t="str">
        <f t="shared" si="112"/>
        <v>NC</v>
      </c>
      <c r="AD235" s="57" t="str">
        <f t="shared" si="113"/>
        <v>NC</v>
      </c>
      <c r="AE235" s="57" t="str">
        <f t="shared" si="114"/>
        <v>NC</v>
      </c>
      <c r="AF235" s="138"/>
      <c r="AG235" s="116" t="str">
        <f t="shared" si="115"/>
        <v>NC</v>
      </c>
      <c r="AH235" s="116" t="str">
        <f t="shared" si="116"/>
        <v>NC</v>
      </c>
      <c r="AI235" s="116">
        <f t="shared" ca="1" si="117"/>
        <v>-1497</v>
      </c>
      <c r="AJ235" s="116" t="str">
        <f t="shared" si="118"/>
        <v>NC</v>
      </c>
      <c r="AK235" s="116" t="str">
        <f t="shared" si="119"/>
        <v>NC</v>
      </c>
      <c r="AL235" s="116" t="str">
        <f t="shared" si="120"/>
        <v>NC</v>
      </c>
      <c r="AM235" s="116" t="str">
        <f t="shared" si="121"/>
        <v>NC</v>
      </c>
      <c r="AN235" s="138"/>
      <c r="AO235" s="139" t="e">
        <f t="shared" si="108"/>
        <v>#DIV/0!</v>
      </c>
      <c r="AP235" s="140"/>
      <c r="AQ235" s="138"/>
      <c r="AR235" s="138" t="s">
        <v>643</v>
      </c>
      <c r="AS235" s="138" t="s">
        <v>643</v>
      </c>
      <c r="AT235" s="138"/>
      <c r="AU235" s="142" t="s">
        <v>1314</v>
      </c>
      <c r="AV235" s="142" t="s">
        <v>1308</v>
      </c>
      <c r="AW235" s="142" t="s">
        <v>1315</v>
      </c>
    </row>
    <row r="236" spans="1:49" s="124" customFormat="1" ht="14.4" customHeight="1" x14ac:dyDescent="0.3">
      <c r="A236" s="116"/>
      <c r="B236" s="123"/>
      <c r="C236" s="121"/>
      <c r="D236" s="116"/>
      <c r="E236" s="116"/>
      <c r="F236" s="239"/>
      <c r="G236" s="120"/>
      <c r="H236" s="120"/>
      <c r="I236" s="120"/>
      <c r="J236" s="120" t="s">
        <v>30</v>
      </c>
      <c r="K236" s="153"/>
      <c r="L236" s="146"/>
      <c r="M236" s="154"/>
      <c r="N236" s="162">
        <v>43831</v>
      </c>
      <c r="O236" s="116"/>
      <c r="P236" s="149" t="s">
        <v>596</v>
      </c>
      <c r="Q236" s="136">
        <v>4237</v>
      </c>
      <c r="R236" s="57" t="s">
        <v>30</v>
      </c>
      <c r="S236" s="57" t="s">
        <v>30</v>
      </c>
      <c r="T236" s="57">
        <v>43717</v>
      </c>
      <c r="U236" s="34" t="s">
        <v>30</v>
      </c>
      <c r="V236" s="57" t="s">
        <v>30</v>
      </c>
      <c r="W236" s="57" t="s">
        <v>30</v>
      </c>
      <c r="X236" s="34" t="s">
        <v>30</v>
      </c>
      <c r="Y236" s="137" t="str">
        <f t="shared" si="109"/>
        <v>NC</v>
      </c>
      <c r="Z236" s="57" t="str">
        <f t="shared" si="122"/>
        <v>NC</v>
      </c>
      <c r="AA236" s="57">
        <f t="shared" si="110"/>
        <v>44082</v>
      </c>
      <c r="AB236" s="57" t="str">
        <f t="shared" si="111"/>
        <v>NC</v>
      </c>
      <c r="AC236" s="57" t="str">
        <f t="shared" si="112"/>
        <v>NC</v>
      </c>
      <c r="AD236" s="57" t="str">
        <f t="shared" si="113"/>
        <v>NC</v>
      </c>
      <c r="AE236" s="57" t="str">
        <f t="shared" si="114"/>
        <v>NC</v>
      </c>
      <c r="AF236" s="138"/>
      <c r="AG236" s="123" t="str">
        <f t="shared" si="115"/>
        <v>NC</v>
      </c>
      <c r="AH236" s="123" t="str">
        <f t="shared" si="116"/>
        <v>NC</v>
      </c>
      <c r="AI236" s="123">
        <f t="shared" ca="1" si="117"/>
        <v>-1505</v>
      </c>
      <c r="AJ236" s="123" t="str">
        <f t="shared" si="118"/>
        <v>NC</v>
      </c>
      <c r="AK236" s="123" t="str">
        <f t="shared" si="119"/>
        <v>NC</v>
      </c>
      <c r="AL236" s="123" t="str">
        <f t="shared" si="120"/>
        <v>NC</v>
      </c>
      <c r="AM236" s="123" t="str">
        <f t="shared" si="121"/>
        <v>NC</v>
      </c>
      <c r="AN236" s="138"/>
      <c r="AO236" s="151" t="e">
        <f t="shared" si="108"/>
        <v>#DIV/0!</v>
      </c>
      <c r="AP236" s="138"/>
      <c r="AQ236" s="138"/>
      <c r="AR236" s="141" t="s">
        <v>643</v>
      </c>
      <c r="AS236" s="141" t="s">
        <v>643</v>
      </c>
      <c r="AT236" s="138"/>
      <c r="AU236" s="142" t="s">
        <v>1164</v>
      </c>
      <c r="AV236" s="143" t="s">
        <v>1311</v>
      </c>
      <c r="AW236" s="143" t="s">
        <v>1313</v>
      </c>
    </row>
    <row r="237" spans="1:49" s="124" customFormat="1" ht="14.4" customHeight="1" x14ac:dyDescent="0.3">
      <c r="A237" s="121"/>
      <c r="B237" s="117"/>
      <c r="C237" s="121"/>
      <c r="D237" s="123"/>
      <c r="E237" s="123"/>
      <c r="F237" s="121"/>
      <c r="G237" s="120"/>
      <c r="H237" s="120"/>
      <c r="I237" s="120"/>
      <c r="J237" s="120" t="s">
        <v>30</v>
      </c>
      <c r="K237" s="153"/>
      <c r="L237" s="146"/>
      <c r="M237" s="154">
        <v>43678</v>
      </c>
      <c r="N237" s="133">
        <v>43862</v>
      </c>
      <c r="O237" s="145" t="s">
        <v>1021</v>
      </c>
      <c r="P237" s="149" t="s">
        <v>596</v>
      </c>
      <c r="Q237" s="150"/>
      <c r="R237" s="57" t="s">
        <v>30</v>
      </c>
      <c r="S237" s="57" t="s">
        <v>30</v>
      </c>
      <c r="T237" s="57" t="s">
        <v>30</v>
      </c>
      <c r="U237" s="34" t="s">
        <v>30</v>
      </c>
      <c r="V237" s="57" t="s">
        <v>30</v>
      </c>
      <c r="W237" s="57" t="s">
        <v>30</v>
      </c>
      <c r="X237" s="34" t="s">
        <v>30</v>
      </c>
      <c r="Y237" s="137" t="str">
        <f t="shared" si="109"/>
        <v>NC</v>
      </c>
      <c r="Z237" s="57" t="str">
        <f t="shared" si="122"/>
        <v>NC</v>
      </c>
      <c r="AA237" s="57" t="str">
        <f t="shared" si="110"/>
        <v>NC</v>
      </c>
      <c r="AB237" s="57" t="str">
        <f t="shared" si="111"/>
        <v>NC</v>
      </c>
      <c r="AC237" s="57" t="str">
        <f t="shared" si="112"/>
        <v>NC</v>
      </c>
      <c r="AD237" s="57" t="str">
        <f t="shared" si="113"/>
        <v>NC</v>
      </c>
      <c r="AE237" s="57" t="str">
        <f t="shared" si="114"/>
        <v>NC</v>
      </c>
      <c r="AG237" s="123" t="str">
        <f t="shared" si="115"/>
        <v>NC</v>
      </c>
      <c r="AH237" s="123" t="str">
        <f t="shared" si="116"/>
        <v>NC</v>
      </c>
      <c r="AI237" s="123" t="str">
        <f t="shared" si="117"/>
        <v>NC</v>
      </c>
      <c r="AJ237" s="123" t="str">
        <f t="shared" si="118"/>
        <v>NC</v>
      </c>
      <c r="AK237" s="123" t="str">
        <f t="shared" si="119"/>
        <v>NC</v>
      </c>
      <c r="AL237" s="123" t="str">
        <f t="shared" si="120"/>
        <v>NC</v>
      </c>
      <c r="AM237" s="123" t="str">
        <f t="shared" si="121"/>
        <v>NC</v>
      </c>
      <c r="AN237" s="138"/>
      <c r="AO237" s="151" t="e">
        <f t="shared" si="108"/>
        <v>#DIV/0!</v>
      </c>
      <c r="AP237" s="152"/>
      <c r="AR237" s="141" t="s">
        <v>643</v>
      </c>
      <c r="AS237" s="141" t="s">
        <v>643</v>
      </c>
      <c r="AU237" s="143" t="s">
        <v>1302</v>
      </c>
      <c r="AV237" s="143" t="s">
        <v>1303</v>
      </c>
      <c r="AW237" s="143" t="s">
        <v>1304</v>
      </c>
    </row>
    <row r="238" spans="1:49" s="124" customFormat="1" ht="14.4" customHeight="1" x14ac:dyDescent="0.3">
      <c r="A238" s="121"/>
      <c r="B238" s="241"/>
      <c r="C238" s="121"/>
      <c r="D238" s="123"/>
      <c r="E238" s="123"/>
      <c r="F238" s="121"/>
      <c r="G238" s="120"/>
      <c r="H238" s="120"/>
      <c r="I238" s="120"/>
      <c r="J238" s="120" t="s">
        <v>30</v>
      </c>
      <c r="K238" s="153"/>
      <c r="L238" s="146"/>
      <c r="M238" s="154">
        <v>44044</v>
      </c>
      <c r="N238" s="133">
        <v>43952</v>
      </c>
      <c r="O238" s="148"/>
      <c r="P238" s="149" t="s">
        <v>596</v>
      </c>
      <c r="Q238" s="150">
        <v>1034</v>
      </c>
      <c r="R238" s="57" t="s">
        <v>30</v>
      </c>
      <c r="S238" s="57" t="s">
        <v>30</v>
      </c>
      <c r="T238" s="57">
        <v>43679</v>
      </c>
      <c r="U238" s="34" t="s">
        <v>30</v>
      </c>
      <c r="V238" s="57" t="s">
        <v>30</v>
      </c>
      <c r="W238" s="57" t="s">
        <v>30</v>
      </c>
      <c r="X238" s="34" t="s">
        <v>30</v>
      </c>
      <c r="Y238" s="137" t="str">
        <f t="shared" si="109"/>
        <v>NC</v>
      </c>
      <c r="Z238" s="57" t="str">
        <f t="shared" si="122"/>
        <v>NC</v>
      </c>
      <c r="AA238" s="57">
        <f t="shared" si="110"/>
        <v>44044</v>
      </c>
      <c r="AB238" s="57" t="str">
        <f t="shared" si="111"/>
        <v>NC</v>
      </c>
      <c r="AC238" s="57" t="str">
        <f t="shared" si="112"/>
        <v>NC</v>
      </c>
      <c r="AD238" s="57" t="str">
        <f t="shared" si="113"/>
        <v>NC</v>
      </c>
      <c r="AE238" s="57" t="str">
        <f t="shared" si="114"/>
        <v>NC</v>
      </c>
      <c r="AG238" s="123" t="str">
        <f t="shared" si="115"/>
        <v>NC</v>
      </c>
      <c r="AH238" s="123" t="str">
        <f t="shared" si="116"/>
        <v>NC</v>
      </c>
      <c r="AI238" s="123">
        <f t="shared" ca="1" si="117"/>
        <v>-1543</v>
      </c>
      <c r="AJ238" s="123" t="str">
        <f t="shared" si="118"/>
        <v>NC</v>
      </c>
      <c r="AK238" s="123" t="str">
        <f t="shared" si="119"/>
        <v>NC</v>
      </c>
      <c r="AL238" s="123" t="str">
        <f t="shared" si="120"/>
        <v>NC</v>
      </c>
      <c r="AM238" s="123" t="str">
        <f t="shared" si="121"/>
        <v>NC</v>
      </c>
      <c r="AN238" s="138"/>
      <c r="AO238" s="151" t="e">
        <f t="shared" si="108"/>
        <v>#DIV/0!</v>
      </c>
      <c r="AP238" s="152"/>
      <c r="AR238" s="141" t="s">
        <v>643</v>
      </c>
      <c r="AS238" s="141" t="s">
        <v>643</v>
      </c>
      <c r="AU238" s="143" t="s">
        <v>1164</v>
      </c>
      <c r="AV238" s="143" t="s">
        <v>1311</v>
      </c>
      <c r="AW238" s="143" t="s">
        <v>1313</v>
      </c>
    </row>
    <row r="239" spans="1:49" s="160" customFormat="1" ht="14.4" customHeight="1" x14ac:dyDescent="0.3">
      <c r="A239" s="121"/>
      <c r="B239" s="117"/>
      <c r="C239" s="121"/>
      <c r="D239" s="123"/>
      <c r="E239" s="123"/>
      <c r="F239" s="121"/>
      <c r="G239" s="120"/>
      <c r="H239" s="120"/>
      <c r="I239" s="120"/>
      <c r="J239" s="120" t="s">
        <v>30</v>
      </c>
      <c r="K239" s="145"/>
      <c r="L239" s="146"/>
      <c r="M239" s="154"/>
      <c r="N239" s="133">
        <v>43922</v>
      </c>
      <c r="O239" s="148"/>
      <c r="P239" s="149" t="s">
        <v>596</v>
      </c>
      <c r="Q239" s="150"/>
      <c r="R239" s="57" t="s">
        <v>30</v>
      </c>
      <c r="S239" s="57" t="s">
        <v>30</v>
      </c>
      <c r="T239" s="116" t="s">
        <v>30</v>
      </c>
      <c r="U239" s="118" t="s">
        <v>30</v>
      </c>
      <c r="V239" s="57" t="s">
        <v>30</v>
      </c>
      <c r="W239" s="57" t="s">
        <v>30</v>
      </c>
      <c r="X239" s="34" t="s">
        <v>30</v>
      </c>
      <c r="Y239" s="137" t="str">
        <f t="shared" si="109"/>
        <v>NC</v>
      </c>
      <c r="Z239" s="57" t="str">
        <f t="shared" si="122"/>
        <v>NC</v>
      </c>
      <c r="AA239" s="57" t="str">
        <f t="shared" si="110"/>
        <v>NC</v>
      </c>
      <c r="AB239" s="57" t="str">
        <f t="shared" si="111"/>
        <v>NC</v>
      </c>
      <c r="AC239" s="57" t="str">
        <f t="shared" si="112"/>
        <v>NC</v>
      </c>
      <c r="AD239" s="57" t="str">
        <f t="shared" si="113"/>
        <v>NC</v>
      </c>
      <c r="AE239" s="57" t="str">
        <f t="shared" si="114"/>
        <v>NC</v>
      </c>
      <c r="AF239" s="124"/>
      <c r="AG239" s="123" t="str">
        <f t="shared" si="115"/>
        <v>NC</v>
      </c>
      <c r="AH239" s="123" t="str">
        <f t="shared" si="116"/>
        <v>NC</v>
      </c>
      <c r="AI239" s="123" t="str">
        <f t="shared" si="117"/>
        <v>NC</v>
      </c>
      <c r="AJ239" s="123" t="str">
        <f t="shared" si="118"/>
        <v>NC</v>
      </c>
      <c r="AK239" s="123" t="str">
        <f t="shared" si="119"/>
        <v>NC</v>
      </c>
      <c r="AL239" s="123" t="str">
        <f t="shared" si="120"/>
        <v>NC</v>
      </c>
      <c r="AM239" s="123" t="str">
        <f t="shared" si="121"/>
        <v>NC</v>
      </c>
      <c r="AN239" s="138"/>
      <c r="AO239" s="151" t="e">
        <f t="shared" si="108"/>
        <v>#DIV/0!</v>
      </c>
      <c r="AP239" s="152"/>
      <c r="AQ239" s="124"/>
      <c r="AR239" s="141" t="s">
        <v>643</v>
      </c>
      <c r="AS239" s="141" t="s">
        <v>643</v>
      </c>
      <c r="AU239" s="143" t="s">
        <v>1302</v>
      </c>
      <c r="AV239" s="143" t="s">
        <v>949</v>
      </c>
      <c r="AW239" s="143" t="s">
        <v>950</v>
      </c>
    </row>
    <row r="240" spans="1:49" s="160" customFormat="1" ht="14.4" customHeight="1" x14ac:dyDescent="0.3">
      <c r="A240" s="121"/>
      <c r="B240" s="117"/>
      <c r="C240" s="121"/>
      <c r="D240" s="123"/>
      <c r="E240" s="123"/>
      <c r="F240" s="121"/>
      <c r="G240" s="120"/>
      <c r="H240" s="120"/>
      <c r="I240" s="120"/>
      <c r="J240" s="120" t="s">
        <v>30</v>
      </c>
      <c r="K240" s="145"/>
      <c r="L240" s="146"/>
      <c r="M240" s="154"/>
      <c r="N240" s="133">
        <v>43922</v>
      </c>
      <c r="O240" s="148"/>
      <c r="P240" s="149" t="s">
        <v>596</v>
      </c>
      <c r="Q240" s="150"/>
      <c r="R240" s="57" t="s">
        <v>30</v>
      </c>
      <c r="S240" s="57" t="s">
        <v>30</v>
      </c>
      <c r="T240" s="116" t="s">
        <v>30</v>
      </c>
      <c r="U240" s="118" t="s">
        <v>30</v>
      </c>
      <c r="V240" s="57" t="s">
        <v>30</v>
      </c>
      <c r="W240" s="57" t="s">
        <v>30</v>
      </c>
      <c r="X240" s="34" t="s">
        <v>30</v>
      </c>
      <c r="Y240" s="137" t="str">
        <f t="shared" si="109"/>
        <v>NC</v>
      </c>
      <c r="Z240" s="57" t="str">
        <f t="shared" si="122"/>
        <v>NC</v>
      </c>
      <c r="AA240" s="57" t="str">
        <f t="shared" si="110"/>
        <v>NC</v>
      </c>
      <c r="AB240" s="57" t="str">
        <f t="shared" si="111"/>
        <v>NC</v>
      </c>
      <c r="AC240" s="57" t="str">
        <f t="shared" si="112"/>
        <v>NC</v>
      </c>
      <c r="AD240" s="57" t="str">
        <f t="shared" si="113"/>
        <v>NC</v>
      </c>
      <c r="AE240" s="57" t="str">
        <f t="shared" si="114"/>
        <v>NC</v>
      </c>
      <c r="AF240" s="124"/>
      <c r="AG240" s="123" t="str">
        <f t="shared" si="115"/>
        <v>NC</v>
      </c>
      <c r="AH240" s="123" t="str">
        <f t="shared" si="116"/>
        <v>NC</v>
      </c>
      <c r="AI240" s="123" t="str">
        <f t="shared" si="117"/>
        <v>NC</v>
      </c>
      <c r="AJ240" s="123" t="str">
        <f t="shared" si="118"/>
        <v>NC</v>
      </c>
      <c r="AK240" s="123" t="str">
        <f t="shared" si="119"/>
        <v>NC</v>
      </c>
      <c r="AL240" s="123" t="str">
        <f t="shared" si="120"/>
        <v>NC</v>
      </c>
      <c r="AM240" s="123" t="str">
        <f t="shared" si="121"/>
        <v>NC</v>
      </c>
      <c r="AN240" s="138"/>
      <c r="AO240" s="151" t="e">
        <f t="shared" si="108"/>
        <v>#DIV/0!</v>
      </c>
      <c r="AP240" s="152"/>
      <c r="AQ240" s="124"/>
      <c r="AR240" s="141" t="s">
        <v>643</v>
      </c>
      <c r="AS240" s="141" t="s">
        <v>643</v>
      </c>
      <c r="AU240" s="143" t="s">
        <v>1302</v>
      </c>
      <c r="AV240" s="143" t="s">
        <v>949</v>
      </c>
      <c r="AW240" s="143" t="s">
        <v>950</v>
      </c>
    </row>
    <row r="241" spans="1:49" s="124" customFormat="1" ht="14.4" customHeight="1" x14ac:dyDescent="0.3">
      <c r="A241" s="121"/>
      <c r="B241" s="117"/>
      <c r="C241" s="121"/>
      <c r="D241" s="123"/>
      <c r="E241" s="123"/>
      <c r="F241" s="121"/>
      <c r="G241" s="120"/>
      <c r="H241" s="120"/>
      <c r="I241" s="120"/>
      <c r="J241" s="120" t="s">
        <v>30</v>
      </c>
      <c r="K241" s="145"/>
      <c r="L241" s="146"/>
      <c r="M241" s="154"/>
      <c r="N241" s="133">
        <v>43922</v>
      </c>
      <c r="O241" s="148"/>
      <c r="P241" s="149" t="s">
        <v>596</v>
      </c>
      <c r="Q241" s="150"/>
      <c r="R241" s="57" t="s">
        <v>30</v>
      </c>
      <c r="S241" s="57" t="s">
        <v>30</v>
      </c>
      <c r="T241" s="116" t="s">
        <v>30</v>
      </c>
      <c r="U241" s="118" t="s">
        <v>30</v>
      </c>
      <c r="V241" s="57" t="s">
        <v>30</v>
      </c>
      <c r="W241" s="57" t="s">
        <v>30</v>
      </c>
      <c r="X241" s="34" t="s">
        <v>30</v>
      </c>
      <c r="Y241" s="137" t="str">
        <f t="shared" si="109"/>
        <v>NC</v>
      </c>
      <c r="Z241" s="57" t="str">
        <f t="shared" si="122"/>
        <v>NC</v>
      </c>
      <c r="AA241" s="57" t="str">
        <f t="shared" si="110"/>
        <v>NC</v>
      </c>
      <c r="AB241" s="57" t="str">
        <f t="shared" si="111"/>
        <v>NC</v>
      </c>
      <c r="AC241" s="57" t="str">
        <f t="shared" si="112"/>
        <v>NC</v>
      </c>
      <c r="AD241" s="57" t="str">
        <f t="shared" si="113"/>
        <v>NC</v>
      </c>
      <c r="AE241" s="57" t="str">
        <f t="shared" si="114"/>
        <v>NC</v>
      </c>
      <c r="AG241" s="123" t="str">
        <f t="shared" si="115"/>
        <v>NC</v>
      </c>
      <c r="AH241" s="123" t="str">
        <f t="shared" si="116"/>
        <v>NC</v>
      </c>
      <c r="AI241" s="123" t="str">
        <f t="shared" si="117"/>
        <v>NC</v>
      </c>
      <c r="AJ241" s="123" t="str">
        <f t="shared" si="118"/>
        <v>NC</v>
      </c>
      <c r="AK241" s="123" t="str">
        <f t="shared" si="119"/>
        <v>NC</v>
      </c>
      <c r="AL241" s="123" t="str">
        <f t="shared" si="120"/>
        <v>NC</v>
      </c>
      <c r="AM241" s="123" t="str">
        <f t="shared" si="121"/>
        <v>NC</v>
      </c>
      <c r="AN241" s="138"/>
      <c r="AO241" s="151" t="e">
        <f t="shared" si="108"/>
        <v>#DIV/0!</v>
      </c>
      <c r="AP241" s="152"/>
      <c r="AR241" s="141" t="s">
        <v>643</v>
      </c>
      <c r="AS241" s="141" t="s">
        <v>643</v>
      </c>
      <c r="AU241" s="143" t="s">
        <v>1302</v>
      </c>
      <c r="AV241" s="143" t="s">
        <v>949</v>
      </c>
      <c r="AW241" s="143" t="s">
        <v>950</v>
      </c>
    </row>
    <row r="242" spans="1:49" s="138" customFormat="1" ht="14.4" customHeight="1" x14ac:dyDescent="0.3">
      <c r="A242" s="121"/>
      <c r="B242" s="117"/>
      <c r="C242" s="121"/>
      <c r="D242" s="123"/>
      <c r="E242" s="123"/>
      <c r="F242" s="244"/>
      <c r="G242" s="120"/>
      <c r="H242" s="120"/>
      <c r="I242" s="120"/>
      <c r="J242" s="120" t="s">
        <v>30</v>
      </c>
      <c r="K242" s="145"/>
      <c r="L242" s="146"/>
      <c r="M242" s="154"/>
      <c r="N242" s="133">
        <v>44166</v>
      </c>
      <c r="O242" s="148"/>
      <c r="P242" s="149" t="s">
        <v>596</v>
      </c>
      <c r="Q242" s="150"/>
      <c r="R242" s="57" t="s">
        <v>30</v>
      </c>
      <c r="S242" s="57" t="s">
        <v>30</v>
      </c>
      <c r="T242" s="116" t="s">
        <v>30</v>
      </c>
      <c r="U242" s="118" t="s">
        <v>30</v>
      </c>
      <c r="V242" s="57" t="s">
        <v>30</v>
      </c>
      <c r="W242" s="57" t="s">
        <v>30</v>
      </c>
      <c r="X242" s="34" t="s">
        <v>30</v>
      </c>
      <c r="Y242" s="137" t="str">
        <f t="shared" si="109"/>
        <v>NC</v>
      </c>
      <c r="Z242" s="57" t="str">
        <f t="shared" si="122"/>
        <v>NC</v>
      </c>
      <c r="AA242" s="57" t="str">
        <f t="shared" si="110"/>
        <v>NC</v>
      </c>
      <c r="AB242" s="57" t="str">
        <f t="shared" si="111"/>
        <v>NC</v>
      </c>
      <c r="AC242" s="57" t="str">
        <f t="shared" si="112"/>
        <v>NC</v>
      </c>
      <c r="AD242" s="57" t="str">
        <f t="shared" si="113"/>
        <v>NC</v>
      </c>
      <c r="AE242" s="57" t="str">
        <f t="shared" si="114"/>
        <v>NC</v>
      </c>
      <c r="AF242" s="124"/>
      <c r="AG242" s="123" t="str">
        <f t="shared" si="115"/>
        <v>NC</v>
      </c>
      <c r="AH242" s="123" t="str">
        <f t="shared" si="116"/>
        <v>NC</v>
      </c>
      <c r="AI242" s="123" t="str">
        <f t="shared" si="117"/>
        <v>NC</v>
      </c>
      <c r="AJ242" s="123" t="str">
        <f t="shared" si="118"/>
        <v>NC</v>
      </c>
      <c r="AK242" s="123" t="str">
        <f t="shared" si="119"/>
        <v>NC</v>
      </c>
      <c r="AL242" s="123" t="str">
        <f t="shared" si="120"/>
        <v>NC</v>
      </c>
      <c r="AM242" s="123" t="str">
        <f t="shared" si="121"/>
        <v>NC</v>
      </c>
      <c r="AO242" s="151" t="e">
        <f t="shared" si="108"/>
        <v>#DIV/0!</v>
      </c>
      <c r="AP242" s="152"/>
      <c r="AQ242" s="124"/>
      <c r="AR242" s="141" t="s">
        <v>643</v>
      </c>
      <c r="AS242" s="141" t="s">
        <v>643</v>
      </c>
      <c r="AT242" s="124"/>
      <c r="AU242" s="143" t="s">
        <v>1302</v>
      </c>
      <c r="AV242" s="143" t="s">
        <v>949</v>
      </c>
      <c r="AW242" s="143" t="s">
        <v>1318</v>
      </c>
    </row>
    <row r="243" spans="1:49" s="138" customFormat="1" ht="14.4" customHeight="1" x14ac:dyDescent="0.3">
      <c r="A243" s="121"/>
      <c r="B243" s="117"/>
      <c r="C243" s="121"/>
      <c r="D243" s="123"/>
      <c r="E243" s="123"/>
      <c r="F243" s="244"/>
      <c r="G243" s="120"/>
      <c r="H243" s="120"/>
      <c r="I243" s="120"/>
      <c r="J243" s="120" t="s">
        <v>30</v>
      </c>
      <c r="K243" s="145"/>
      <c r="L243" s="146"/>
      <c r="M243" s="154"/>
      <c r="N243" s="133"/>
      <c r="O243" s="148"/>
      <c r="P243" s="149" t="s">
        <v>596</v>
      </c>
      <c r="Q243" s="150"/>
      <c r="R243" s="57" t="s">
        <v>30</v>
      </c>
      <c r="S243" s="57" t="s">
        <v>30</v>
      </c>
      <c r="T243" s="116" t="s">
        <v>30</v>
      </c>
      <c r="U243" s="118" t="s">
        <v>30</v>
      </c>
      <c r="V243" s="57" t="s">
        <v>30</v>
      </c>
      <c r="W243" s="57" t="s">
        <v>30</v>
      </c>
      <c r="X243" s="34" t="s">
        <v>30</v>
      </c>
      <c r="Y243" s="137" t="str">
        <f t="shared" si="109"/>
        <v>NC</v>
      </c>
      <c r="Z243" s="57" t="str">
        <f t="shared" si="122"/>
        <v>NC</v>
      </c>
      <c r="AA243" s="57" t="str">
        <f t="shared" si="110"/>
        <v>NC</v>
      </c>
      <c r="AB243" s="57" t="str">
        <f t="shared" si="111"/>
        <v>NC</v>
      </c>
      <c r="AC243" s="57" t="str">
        <f t="shared" si="112"/>
        <v>NC</v>
      </c>
      <c r="AD243" s="57" t="str">
        <f t="shared" si="113"/>
        <v>NC</v>
      </c>
      <c r="AE243" s="57" t="str">
        <f t="shared" si="114"/>
        <v>NC</v>
      </c>
      <c r="AF243" s="124"/>
      <c r="AG243" s="123" t="str">
        <f t="shared" si="115"/>
        <v>NC</v>
      </c>
      <c r="AH243" s="123" t="str">
        <f t="shared" si="116"/>
        <v>NC</v>
      </c>
      <c r="AI243" s="123" t="str">
        <f t="shared" si="117"/>
        <v>NC</v>
      </c>
      <c r="AJ243" s="123" t="str">
        <f t="shared" si="118"/>
        <v>NC</v>
      </c>
      <c r="AK243" s="123" t="str">
        <f t="shared" si="119"/>
        <v>NC</v>
      </c>
      <c r="AL243" s="123" t="str">
        <f t="shared" si="120"/>
        <v>NC</v>
      </c>
      <c r="AM243" s="123" t="str">
        <f t="shared" si="121"/>
        <v>NC</v>
      </c>
      <c r="AO243" s="151" t="e">
        <f t="shared" si="108"/>
        <v>#DIV/0!</v>
      </c>
      <c r="AP243" s="152"/>
      <c r="AQ243" s="124"/>
      <c r="AR243" s="141" t="s">
        <v>643</v>
      </c>
      <c r="AS243" s="141" t="s">
        <v>643</v>
      </c>
      <c r="AT243" s="124"/>
      <c r="AU243" s="143" t="s">
        <v>1302</v>
      </c>
      <c r="AV243" s="143" t="s">
        <v>949</v>
      </c>
      <c r="AW243" s="143" t="s">
        <v>1318</v>
      </c>
    </row>
    <row r="244" spans="1:49" s="138" customFormat="1" ht="14.4" customHeight="1" x14ac:dyDescent="0.3">
      <c r="A244" s="117"/>
      <c r="B244" s="117"/>
      <c r="C244" s="121"/>
      <c r="D244" s="116"/>
      <c r="E244" s="116"/>
      <c r="F244" s="244"/>
      <c r="G244" s="120"/>
      <c r="H244" s="120"/>
      <c r="I244" s="120"/>
      <c r="J244" s="120" t="s">
        <v>30</v>
      </c>
      <c r="K244" s="134"/>
      <c r="L244" s="131"/>
      <c r="M244" s="154"/>
      <c r="N244" s="133" t="s">
        <v>1022</v>
      </c>
      <c r="O244" s="134"/>
      <c r="P244" s="149" t="s">
        <v>596</v>
      </c>
      <c r="Q244" s="136"/>
      <c r="R244" s="57" t="s">
        <v>30</v>
      </c>
      <c r="S244" s="57" t="s">
        <v>30</v>
      </c>
      <c r="T244" s="57">
        <v>43859</v>
      </c>
      <c r="U244" s="118" t="s">
        <v>30</v>
      </c>
      <c r="V244" s="57" t="s">
        <v>30</v>
      </c>
      <c r="W244" s="57" t="s">
        <v>30</v>
      </c>
      <c r="X244" s="34" t="s">
        <v>30</v>
      </c>
      <c r="Y244" s="137" t="str">
        <f t="shared" si="109"/>
        <v>NC</v>
      </c>
      <c r="Z244" s="57" t="str">
        <f t="shared" si="122"/>
        <v>NC</v>
      </c>
      <c r="AA244" s="57">
        <f t="shared" si="110"/>
        <v>44224</v>
      </c>
      <c r="AB244" s="57" t="str">
        <f t="shared" si="111"/>
        <v>NC</v>
      </c>
      <c r="AC244" s="57" t="str">
        <f t="shared" si="112"/>
        <v>NC</v>
      </c>
      <c r="AD244" s="57" t="str">
        <f t="shared" si="113"/>
        <v>NC</v>
      </c>
      <c r="AE244" s="57" t="str">
        <f t="shared" si="114"/>
        <v>NC</v>
      </c>
      <c r="AF244" s="124"/>
      <c r="AG244" s="123" t="str">
        <f t="shared" si="115"/>
        <v>NC</v>
      </c>
      <c r="AH244" s="123" t="str">
        <f t="shared" si="116"/>
        <v>NC</v>
      </c>
      <c r="AI244" s="123">
        <f t="shared" ca="1" si="117"/>
        <v>-1363</v>
      </c>
      <c r="AJ244" s="123" t="str">
        <f t="shared" si="118"/>
        <v>NC</v>
      </c>
      <c r="AK244" s="123" t="str">
        <f t="shared" si="119"/>
        <v>NC</v>
      </c>
      <c r="AL244" s="123" t="str">
        <f t="shared" si="120"/>
        <v>NC</v>
      </c>
      <c r="AM244" s="123" t="str">
        <f t="shared" si="121"/>
        <v>NC</v>
      </c>
      <c r="AO244" s="151" t="e">
        <f t="shared" si="108"/>
        <v>#DIV/0!</v>
      </c>
      <c r="AP244" s="152"/>
      <c r="AQ244" s="124"/>
      <c r="AR244" s="141" t="s">
        <v>643</v>
      </c>
      <c r="AS244" s="141" t="s">
        <v>643</v>
      </c>
      <c r="AT244" s="124"/>
      <c r="AU244" s="143" t="s">
        <v>1302</v>
      </c>
      <c r="AV244" s="143" t="s">
        <v>1305</v>
      </c>
      <c r="AW244" s="143" t="s">
        <v>1498</v>
      </c>
    </row>
    <row r="245" spans="1:49" s="138" customFormat="1" ht="14.4" customHeight="1" x14ac:dyDescent="0.3">
      <c r="A245" s="117"/>
      <c r="B245" s="117"/>
      <c r="C245" s="121"/>
      <c r="D245" s="116"/>
      <c r="E245" s="116"/>
      <c r="F245" s="247"/>
      <c r="G245" s="120"/>
      <c r="H245" s="120"/>
      <c r="I245" s="120"/>
      <c r="J245" s="120" t="s">
        <v>30</v>
      </c>
      <c r="K245" s="134"/>
      <c r="L245" s="131"/>
      <c r="M245" s="154">
        <v>44866</v>
      </c>
      <c r="N245" s="133">
        <v>43952</v>
      </c>
      <c r="O245" s="134"/>
      <c r="P245" s="149" t="s">
        <v>596</v>
      </c>
      <c r="Q245" s="136">
        <v>2</v>
      </c>
      <c r="R245" s="57" t="s">
        <v>30</v>
      </c>
      <c r="S245" s="57" t="s">
        <v>30</v>
      </c>
      <c r="T245" s="57">
        <v>43663</v>
      </c>
      <c r="U245" s="118" t="s">
        <v>30</v>
      </c>
      <c r="V245" s="57" t="s">
        <v>30</v>
      </c>
      <c r="W245" s="57" t="s">
        <v>30</v>
      </c>
      <c r="X245" s="34" t="s">
        <v>30</v>
      </c>
      <c r="Y245" s="137" t="str">
        <f t="shared" si="109"/>
        <v>NC</v>
      </c>
      <c r="Z245" s="57" t="str">
        <f t="shared" si="122"/>
        <v>NC</v>
      </c>
      <c r="AA245" s="57">
        <f t="shared" si="110"/>
        <v>44028</v>
      </c>
      <c r="AB245" s="57" t="str">
        <f t="shared" si="111"/>
        <v>NC</v>
      </c>
      <c r="AC245" s="57" t="str">
        <f t="shared" si="112"/>
        <v>NC</v>
      </c>
      <c r="AD245" s="57" t="str">
        <f t="shared" si="113"/>
        <v>NC</v>
      </c>
      <c r="AE245" s="57" t="str">
        <f t="shared" si="114"/>
        <v>NC</v>
      </c>
      <c r="AF245" s="124"/>
      <c r="AG245" s="123" t="str">
        <f t="shared" si="115"/>
        <v>NC</v>
      </c>
      <c r="AH245" s="123" t="str">
        <f t="shared" si="116"/>
        <v>NC</v>
      </c>
      <c r="AI245" s="123">
        <f t="shared" ca="1" si="117"/>
        <v>-1559</v>
      </c>
      <c r="AJ245" s="123" t="str">
        <f t="shared" si="118"/>
        <v>NC</v>
      </c>
      <c r="AK245" s="123" t="str">
        <f t="shared" si="119"/>
        <v>NC</v>
      </c>
      <c r="AL245" s="123" t="str">
        <f t="shared" si="120"/>
        <v>NC</v>
      </c>
      <c r="AM245" s="123" t="str">
        <f t="shared" si="121"/>
        <v>NC</v>
      </c>
      <c r="AO245" s="151" t="e">
        <f t="shared" si="108"/>
        <v>#DIV/0!</v>
      </c>
      <c r="AP245" s="140"/>
      <c r="AQ245" s="124"/>
      <c r="AR245" s="141" t="s">
        <v>643</v>
      </c>
      <c r="AS245" s="141" t="s">
        <v>643</v>
      </c>
      <c r="AT245" s="124"/>
      <c r="AU245" s="143" t="s">
        <v>1302</v>
      </c>
      <c r="AV245" s="143" t="s">
        <v>1305</v>
      </c>
      <c r="AW245" s="143" t="s">
        <v>1499</v>
      </c>
    </row>
    <row r="246" spans="1:49" s="138" customFormat="1" ht="14.4" customHeight="1" x14ac:dyDescent="0.3">
      <c r="A246" s="117"/>
      <c r="B246" s="117"/>
      <c r="C246" s="121"/>
      <c r="D246" s="116"/>
      <c r="E246" s="116"/>
      <c r="F246" s="247"/>
      <c r="G246" s="120"/>
      <c r="H246" s="120"/>
      <c r="I246" s="120"/>
      <c r="J246" s="120" t="s">
        <v>30</v>
      </c>
      <c r="K246" s="134"/>
      <c r="L246" s="131"/>
      <c r="M246" s="154">
        <v>44866</v>
      </c>
      <c r="N246" s="133">
        <v>43862</v>
      </c>
      <c r="O246" s="134"/>
      <c r="P246" s="149" t="s">
        <v>596</v>
      </c>
      <c r="Q246" s="136">
        <v>11</v>
      </c>
      <c r="R246" s="57" t="s">
        <v>30</v>
      </c>
      <c r="S246" s="57" t="s">
        <v>30</v>
      </c>
      <c r="T246" s="57">
        <v>43663</v>
      </c>
      <c r="U246" s="118" t="s">
        <v>30</v>
      </c>
      <c r="V246" s="57" t="s">
        <v>30</v>
      </c>
      <c r="W246" s="57" t="s">
        <v>30</v>
      </c>
      <c r="X246" s="34" t="s">
        <v>30</v>
      </c>
      <c r="Y246" s="137" t="str">
        <f t="shared" si="109"/>
        <v>NC</v>
      </c>
      <c r="Z246" s="57" t="str">
        <f t="shared" si="122"/>
        <v>NC</v>
      </c>
      <c r="AA246" s="57">
        <f t="shared" si="110"/>
        <v>44028</v>
      </c>
      <c r="AB246" s="57" t="str">
        <f t="shared" si="111"/>
        <v>NC</v>
      </c>
      <c r="AC246" s="57" t="str">
        <f t="shared" si="112"/>
        <v>NC</v>
      </c>
      <c r="AD246" s="57" t="str">
        <f t="shared" si="113"/>
        <v>NC</v>
      </c>
      <c r="AE246" s="57" t="str">
        <f t="shared" si="114"/>
        <v>NC</v>
      </c>
      <c r="AF246" s="124"/>
      <c r="AG246" s="123" t="str">
        <f t="shared" si="115"/>
        <v>NC</v>
      </c>
      <c r="AH246" s="123" t="str">
        <f t="shared" si="116"/>
        <v>NC</v>
      </c>
      <c r="AI246" s="123">
        <f t="shared" ca="1" si="117"/>
        <v>-1559</v>
      </c>
      <c r="AJ246" s="123" t="str">
        <f t="shared" si="118"/>
        <v>NC</v>
      </c>
      <c r="AK246" s="123" t="str">
        <f t="shared" si="119"/>
        <v>NC</v>
      </c>
      <c r="AL246" s="123" t="str">
        <f t="shared" si="120"/>
        <v>NC</v>
      </c>
      <c r="AM246" s="123" t="str">
        <f t="shared" si="121"/>
        <v>NC</v>
      </c>
      <c r="AO246" s="151" t="e">
        <f t="shared" ref="AO246:AO277" si="123">K246*($AO$3-L246)/$K$4</f>
        <v>#DIV/0!</v>
      </c>
      <c r="AP246" s="140"/>
      <c r="AQ246" s="124"/>
      <c r="AR246" s="141" t="s">
        <v>643</v>
      </c>
      <c r="AS246" s="141" t="s">
        <v>643</v>
      </c>
      <c r="AT246" s="124"/>
      <c r="AU246" s="143" t="s">
        <v>1302</v>
      </c>
      <c r="AV246" s="143" t="s">
        <v>1305</v>
      </c>
      <c r="AW246" s="143" t="s">
        <v>1499</v>
      </c>
    </row>
    <row r="247" spans="1:49" s="124" customFormat="1" ht="14.4" customHeight="1" x14ac:dyDescent="0.3">
      <c r="A247" s="116"/>
      <c r="B247" s="116"/>
      <c r="C247" s="117"/>
      <c r="D247" s="116"/>
      <c r="E247" s="116"/>
      <c r="F247" s="239"/>
      <c r="G247" s="120"/>
      <c r="H247" s="120"/>
      <c r="I247" s="120"/>
      <c r="J247" s="120" t="s">
        <v>30</v>
      </c>
      <c r="K247" s="134"/>
      <c r="L247" s="120"/>
      <c r="M247" s="132"/>
      <c r="N247" s="158">
        <v>43952</v>
      </c>
      <c r="O247" s="116"/>
      <c r="P247" s="135" t="s">
        <v>596</v>
      </c>
      <c r="Q247" s="116"/>
      <c r="R247" s="57" t="s">
        <v>30</v>
      </c>
      <c r="S247" s="57" t="s">
        <v>30</v>
      </c>
      <c r="T247" s="57">
        <v>43599</v>
      </c>
      <c r="U247" s="34" t="s">
        <v>30</v>
      </c>
      <c r="V247" s="57" t="s">
        <v>30</v>
      </c>
      <c r="W247" s="57" t="s">
        <v>30</v>
      </c>
      <c r="X247" s="34" t="s">
        <v>30</v>
      </c>
      <c r="Y247" s="137" t="str">
        <f t="shared" si="109"/>
        <v>NC</v>
      </c>
      <c r="Z247" s="57" t="str">
        <f t="shared" si="122"/>
        <v>NC</v>
      </c>
      <c r="AA247" s="57">
        <f t="shared" si="110"/>
        <v>43964</v>
      </c>
      <c r="AB247" s="57" t="str">
        <f t="shared" si="111"/>
        <v>NC</v>
      </c>
      <c r="AC247" s="57" t="str">
        <f t="shared" si="112"/>
        <v>NC</v>
      </c>
      <c r="AD247" s="57" t="str">
        <f t="shared" si="113"/>
        <v>NC</v>
      </c>
      <c r="AE247" s="57" t="str">
        <f t="shared" si="114"/>
        <v>NC</v>
      </c>
      <c r="AF247" s="138"/>
      <c r="AG247" s="123" t="str">
        <f t="shared" si="115"/>
        <v>NC</v>
      </c>
      <c r="AH247" s="123" t="str">
        <f t="shared" si="116"/>
        <v>NC</v>
      </c>
      <c r="AI247" s="123">
        <f t="shared" ca="1" si="117"/>
        <v>-1623</v>
      </c>
      <c r="AJ247" s="123" t="str">
        <f t="shared" si="118"/>
        <v>NC</v>
      </c>
      <c r="AK247" s="123" t="str">
        <f t="shared" si="119"/>
        <v>NC</v>
      </c>
      <c r="AL247" s="123" t="str">
        <f t="shared" si="120"/>
        <v>NC</v>
      </c>
      <c r="AM247" s="123" t="str">
        <f t="shared" si="121"/>
        <v>NC</v>
      </c>
      <c r="AN247" s="138"/>
      <c r="AO247" s="139" t="e">
        <f t="shared" si="123"/>
        <v>#DIV/0!</v>
      </c>
      <c r="AP247" s="138"/>
      <c r="AQ247" s="138"/>
      <c r="AR247" s="141" t="s">
        <v>643</v>
      </c>
      <c r="AS247" s="141" t="s">
        <v>643</v>
      </c>
      <c r="AT247" s="138"/>
      <c r="AU247" s="142" t="s">
        <v>1302</v>
      </c>
      <c r="AV247" s="143" t="s">
        <v>1305</v>
      </c>
      <c r="AW247" s="143" t="s">
        <v>1319</v>
      </c>
    </row>
    <row r="248" spans="1:49" s="138" customFormat="1" ht="14.4" customHeight="1" x14ac:dyDescent="0.3">
      <c r="A248" s="117"/>
      <c r="B248" s="117"/>
      <c r="C248" s="117"/>
      <c r="D248" s="116"/>
      <c r="E248" s="116"/>
      <c r="F248" s="117"/>
      <c r="G248" s="120"/>
      <c r="H248" s="120"/>
      <c r="I248" s="120"/>
      <c r="J248" s="120" t="s">
        <v>30</v>
      </c>
      <c r="K248" s="130"/>
      <c r="L248" s="131"/>
      <c r="M248" s="132"/>
      <c r="N248" s="248" t="s">
        <v>1022</v>
      </c>
      <c r="O248" s="135"/>
      <c r="P248" s="135" t="s">
        <v>596</v>
      </c>
      <c r="Q248" s="135"/>
      <c r="R248" s="57" t="s">
        <v>30</v>
      </c>
      <c r="S248" s="57" t="s">
        <v>30</v>
      </c>
      <c r="T248" s="57">
        <v>43590</v>
      </c>
      <c r="U248" s="34" t="s">
        <v>30</v>
      </c>
      <c r="V248" s="57" t="s">
        <v>30</v>
      </c>
      <c r="W248" s="57" t="s">
        <v>30</v>
      </c>
      <c r="X248" s="34" t="s">
        <v>30</v>
      </c>
      <c r="Y248" s="137" t="str">
        <f t="shared" si="109"/>
        <v>NC</v>
      </c>
      <c r="Z248" s="57" t="str">
        <f t="shared" si="122"/>
        <v>NC</v>
      </c>
      <c r="AA248" s="57">
        <f t="shared" si="110"/>
        <v>43955</v>
      </c>
      <c r="AB248" s="57" t="str">
        <f t="shared" si="111"/>
        <v>NC</v>
      </c>
      <c r="AC248" s="57" t="str">
        <f t="shared" si="112"/>
        <v>NC</v>
      </c>
      <c r="AD248" s="57" t="str">
        <f t="shared" si="113"/>
        <v>NC</v>
      </c>
      <c r="AE248" s="57" t="str">
        <f t="shared" si="114"/>
        <v>NC</v>
      </c>
      <c r="AG248" s="123" t="str">
        <f t="shared" si="115"/>
        <v>NC</v>
      </c>
      <c r="AH248" s="123" t="str">
        <f t="shared" si="116"/>
        <v>NC</v>
      </c>
      <c r="AI248" s="123">
        <f t="shared" ca="1" si="117"/>
        <v>-1632</v>
      </c>
      <c r="AJ248" s="123" t="str">
        <f t="shared" si="118"/>
        <v>NC</v>
      </c>
      <c r="AK248" s="123" t="str">
        <f t="shared" si="119"/>
        <v>NC</v>
      </c>
      <c r="AL248" s="123" t="str">
        <f t="shared" si="120"/>
        <v>NC</v>
      </c>
      <c r="AM248" s="123" t="str">
        <f t="shared" si="121"/>
        <v>NC</v>
      </c>
      <c r="AO248" s="139" t="e">
        <f t="shared" si="123"/>
        <v>#DIV/0!</v>
      </c>
      <c r="AP248" s="140"/>
      <c r="AR248" s="141" t="s">
        <v>643</v>
      </c>
      <c r="AS248" s="141" t="s">
        <v>643</v>
      </c>
      <c r="AU248" s="142" t="s">
        <v>1169</v>
      </c>
      <c r="AV248" s="143" t="s">
        <v>1308</v>
      </c>
      <c r="AW248" s="143" t="s">
        <v>1320</v>
      </c>
    </row>
    <row r="249" spans="1:49" s="124" customFormat="1" ht="14.4" customHeight="1" x14ac:dyDescent="0.3">
      <c r="A249" s="116"/>
      <c r="B249" s="116"/>
      <c r="C249" s="117"/>
      <c r="D249" s="116"/>
      <c r="E249" s="116"/>
      <c r="F249" s="239"/>
      <c r="G249" s="120"/>
      <c r="H249" s="120"/>
      <c r="I249" s="120"/>
      <c r="J249" s="120" t="s">
        <v>30</v>
      </c>
      <c r="K249" s="134"/>
      <c r="L249" s="120"/>
      <c r="M249" s="132"/>
      <c r="N249" s="157"/>
      <c r="O249" s="116"/>
      <c r="P249" s="135" t="s">
        <v>595</v>
      </c>
      <c r="Q249" s="116"/>
      <c r="R249" s="57" t="s">
        <v>30</v>
      </c>
      <c r="S249" s="57" t="s">
        <v>30</v>
      </c>
      <c r="T249" s="57">
        <v>43762</v>
      </c>
      <c r="U249" s="34" t="s">
        <v>30</v>
      </c>
      <c r="V249" s="57" t="s">
        <v>30</v>
      </c>
      <c r="W249" s="57" t="s">
        <v>30</v>
      </c>
      <c r="X249" s="34" t="s">
        <v>30</v>
      </c>
      <c r="Y249" s="137" t="str">
        <f t="shared" si="109"/>
        <v>NC</v>
      </c>
      <c r="Z249" s="57" t="str">
        <f t="shared" si="122"/>
        <v>NC</v>
      </c>
      <c r="AA249" s="57">
        <f t="shared" si="110"/>
        <v>44127</v>
      </c>
      <c r="AB249" s="57" t="str">
        <f t="shared" si="111"/>
        <v>NC</v>
      </c>
      <c r="AC249" s="57" t="str">
        <f t="shared" si="112"/>
        <v>NC</v>
      </c>
      <c r="AD249" s="57" t="str">
        <f t="shared" si="113"/>
        <v>NC</v>
      </c>
      <c r="AE249" s="57" t="str">
        <f t="shared" si="114"/>
        <v>NC</v>
      </c>
      <c r="AF249" s="138"/>
      <c r="AG249" s="123" t="str">
        <f t="shared" si="115"/>
        <v>NC</v>
      </c>
      <c r="AH249" s="123" t="str">
        <f t="shared" si="116"/>
        <v>NC</v>
      </c>
      <c r="AI249" s="123">
        <f t="shared" ca="1" si="117"/>
        <v>-1460</v>
      </c>
      <c r="AJ249" s="123" t="str">
        <f t="shared" si="118"/>
        <v>NC</v>
      </c>
      <c r="AK249" s="123" t="str">
        <f t="shared" si="119"/>
        <v>NC</v>
      </c>
      <c r="AL249" s="123" t="str">
        <f t="shared" si="120"/>
        <v>NC</v>
      </c>
      <c r="AM249" s="123" t="str">
        <f t="shared" si="121"/>
        <v>NC</v>
      </c>
      <c r="AN249" s="138"/>
      <c r="AO249" s="139" t="e">
        <f t="shared" si="123"/>
        <v>#DIV/0!</v>
      </c>
      <c r="AP249" s="138"/>
      <c r="AQ249" s="138"/>
      <c r="AR249" s="141" t="s">
        <v>643</v>
      </c>
      <c r="AS249" s="141" t="s">
        <v>643</v>
      </c>
      <c r="AT249" s="138"/>
      <c r="AU249" s="142" t="s">
        <v>1302</v>
      </c>
      <c r="AV249" s="143" t="s">
        <v>1305</v>
      </c>
      <c r="AW249" s="143" t="s">
        <v>1306</v>
      </c>
    </row>
    <row r="250" spans="1:49" s="124" customFormat="1" ht="14.4" customHeight="1" x14ac:dyDescent="0.3">
      <c r="A250" s="117"/>
      <c r="B250" s="117"/>
      <c r="C250" s="117"/>
      <c r="D250" s="116"/>
      <c r="E250" s="116"/>
      <c r="F250" s="239"/>
      <c r="G250" s="120"/>
      <c r="H250" s="120"/>
      <c r="I250" s="120"/>
      <c r="J250" s="120" t="s">
        <v>30</v>
      </c>
      <c r="K250" s="134"/>
      <c r="L250" s="131"/>
      <c r="M250" s="132"/>
      <c r="N250" s="133">
        <v>43862</v>
      </c>
      <c r="O250" s="134"/>
      <c r="P250" s="135" t="s">
        <v>596</v>
      </c>
      <c r="Q250" s="136"/>
      <c r="R250" s="57" t="s">
        <v>30</v>
      </c>
      <c r="S250" s="57" t="s">
        <v>30</v>
      </c>
      <c r="T250" s="57" t="s">
        <v>30</v>
      </c>
      <c r="U250" s="34" t="s">
        <v>30</v>
      </c>
      <c r="V250" s="57" t="s">
        <v>30</v>
      </c>
      <c r="W250" s="57" t="s">
        <v>30</v>
      </c>
      <c r="X250" s="34" t="s">
        <v>30</v>
      </c>
      <c r="Y250" s="137" t="str">
        <f t="shared" si="109"/>
        <v>NC</v>
      </c>
      <c r="Z250" s="57" t="str">
        <f t="shared" si="122"/>
        <v>NC</v>
      </c>
      <c r="AA250" s="57" t="str">
        <f t="shared" si="110"/>
        <v>NC</v>
      </c>
      <c r="AB250" s="57" t="str">
        <f t="shared" si="111"/>
        <v>NC</v>
      </c>
      <c r="AC250" s="57" t="str">
        <f t="shared" si="112"/>
        <v>NC</v>
      </c>
      <c r="AD250" s="57" t="str">
        <f t="shared" si="113"/>
        <v>NC</v>
      </c>
      <c r="AE250" s="57" t="str">
        <f t="shared" si="114"/>
        <v>NC</v>
      </c>
      <c r="AF250" s="138"/>
      <c r="AG250" s="116" t="str">
        <f t="shared" si="115"/>
        <v>NC</v>
      </c>
      <c r="AH250" s="116" t="str">
        <f t="shared" si="116"/>
        <v>NC</v>
      </c>
      <c r="AI250" s="116" t="str">
        <f t="shared" si="117"/>
        <v>NC</v>
      </c>
      <c r="AJ250" s="116" t="str">
        <f t="shared" si="118"/>
        <v>NC</v>
      </c>
      <c r="AK250" s="116" t="str">
        <f t="shared" si="119"/>
        <v>NC</v>
      </c>
      <c r="AL250" s="116" t="str">
        <f t="shared" si="120"/>
        <v>NC</v>
      </c>
      <c r="AM250" s="116" t="str">
        <f t="shared" si="121"/>
        <v>NC</v>
      </c>
      <c r="AN250" s="138"/>
      <c r="AO250" s="139" t="e">
        <f t="shared" si="123"/>
        <v>#DIV/0!</v>
      </c>
      <c r="AP250" s="138"/>
      <c r="AQ250" s="138"/>
      <c r="AR250" s="141" t="s">
        <v>643</v>
      </c>
      <c r="AS250" s="141" t="s">
        <v>643</v>
      </c>
      <c r="AT250" s="138"/>
      <c r="AU250" s="142" t="s">
        <v>1302</v>
      </c>
      <c r="AV250" s="142" t="s">
        <v>1444</v>
      </c>
      <c r="AW250" s="142" t="s">
        <v>1445</v>
      </c>
    </row>
    <row r="251" spans="1:49" s="124" customFormat="1" ht="14.4" customHeight="1" x14ac:dyDescent="0.3">
      <c r="A251" s="117"/>
      <c r="B251" s="117"/>
      <c r="C251" s="117"/>
      <c r="D251" s="116"/>
      <c r="E251" s="116"/>
      <c r="F251" s="239"/>
      <c r="G251" s="120"/>
      <c r="H251" s="120"/>
      <c r="I251" s="120"/>
      <c r="J251" s="120" t="s">
        <v>30</v>
      </c>
      <c r="K251" s="134"/>
      <c r="L251" s="131"/>
      <c r="M251" s="132"/>
      <c r="N251" s="133">
        <v>43862</v>
      </c>
      <c r="O251" s="134"/>
      <c r="P251" s="135" t="s">
        <v>596</v>
      </c>
      <c r="Q251" s="136"/>
      <c r="R251" s="57" t="s">
        <v>30</v>
      </c>
      <c r="S251" s="57" t="s">
        <v>30</v>
      </c>
      <c r="T251" s="57" t="s">
        <v>30</v>
      </c>
      <c r="U251" s="34" t="s">
        <v>30</v>
      </c>
      <c r="V251" s="57" t="s">
        <v>30</v>
      </c>
      <c r="W251" s="57" t="s">
        <v>30</v>
      </c>
      <c r="X251" s="34" t="s">
        <v>30</v>
      </c>
      <c r="Y251" s="137" t="str">
        <f t="shared" si="109"/>
        <v>NC</v>
      </c>
      <c r="Z251" s="57" t="str">
        <f t="shared" si="122"/>
        <v>NC</v>
      </c>
      <c r="AA251" s="57" t="str">
        <f t="shared" si="110"/>
        <v>NC</v>
      </c>
      <c r="AB251" s="57" t="str">
        <f t="shared" si="111"/>
        <v>NC</v>
      </c>
      <c r="AC251" s="57" t="str">
        <f t="shared" si="112"/>
        <v>NC</v>
      </c>
      <c r="AD251" s="57" t="str">
        <f t="shared" si="113"/>
        <v>NC</v>
      </c>
      <c r="AE251" s="57" t="str">
        <f t="shared" si="114"/>
        <v>NC</v>
      </c>
      <c r="AF251" s="138"/>
      <c r="AG251" s="116" t="str">
        <f t="shared" si="115"/>
        <v>NC</v>
      </c>
      <c r="AH251" s="116" t="str">
        <f t="shared" si="116"/>
        <v>NC</v>
      </c>
      <c r="AI251" s="116" t="str">
        <f t="shared" si="117"/>
        <v>NC</v>
      </c>
      <c r="AJ251" s="116" t="str">
        <f t="shared" si="118"/>
        <v>NC</v>
      </c>
      <c r="AK251" s="116" t="str">
        <f t="shared" si="119"/>
        <v>NC</v>
      </c>
      <c r="AL251" s="116" t="str">
        <f t="shared" si="120"/>
        <v>NC</v>
      </c>
      <c r="AM251" s="116" t="str">
        <f t="shared" si="121"/>
        <v>NC</v>
      </c>
      <c r="AN251" s="138"/>
      <c r="AO251" s="139" t="e">
        <f t="shared" si="123"/>
        <v>#DIV/0!</v>
      </c>
      <c r="AP251" s="138"/>
      <c r="AQ251" s="138"/>
      <c r="AR251" s="141" t="s">
        <v>643</v>
      </c>
      <c r="AS251" s="141" t="s">
        <v>643</v>
      </c>
      <c r="AT251" s="138"/>
      <c r="AU251" s="142" t="s">
        <v>1302</v>
      </c>
      <c r="AV251" s="142" t="s">
        <v>1444</v>
      </c>
      <c r="AW251" s="142" t="s">
        <v>1445</v>
      </c>
    </row>
    <row r="252" spans="1:49" s="124" customFormat="1" ht="14.4" customHeight="1" x14ac:dyDescent="0.3">
      <c r="A252" s="117"/>
      <c r="B252" s="117"/>
      <c r="C252" s="121"/>
      <c r="D252" s="123"/>
      <c r="E252" s="123"/>
      <c r="F252" s="121"/>
      <c r="G252" s="120"/>
      <c r="H252" s="120"/>
      <c r="I252" s="120"/>
      <c r="J252" s="120" t="s">
        <v>30</v>
      </c>
      <c r="K252" s="148"/>
      <c r="L252" s="249"/>
      <c r="M252" s="154">
        <v>44593</v>
      </c>
      <c r="N252" s="133">
        <v>43831</v>
      </c>
      <c r="O252" s="148"/>
      <c r="P252" s="149" t="s">
        <v>596</v>
      </c>
      <c r="Q252" s="150"/>
      <c r="R252" s="57" t="s">
        <v>30</v>
      </c>
      <c r="S252" s="57" t="s">
        <v>30</v>
      </c>
      <c r="T252" s="116" t="s">
        <v>30</v>
      </c>
      <c r="U252" s="34" t="s">
        <v>30</v>
      </c>
      <c r="V252" s="57" t="s">
        <v>30</v>
      </c>
      <c r="W252" s="57" t="s">
        <v>30</v>
      </c>
      <c r="X252" s="34" t="s">
        <v>30</v>
      </c>
      <c r="Y252" s="137" t="str">
        <f t="shared" si="109"/>
        <v>NC</v>
      </c>
      <c r="Z252" s="57" t="str">
        <f t="shared" si="122"/>
        <v>NC</v>
      </c>
      <c r="AA252" s="57" t="str">
        <f t="shared" si="110"/>
        <v>NC</v>
      </c>
      <c r="AB252" s="57" t="str">
        <f t="shared" si="111"/>
        <v>NC</v>
      </c>
      <c r="AC252" s="57" t="str">
        <f t="shared" si="112"/>
        <v>NC</v>
      </c>
      <c r="AD252" s="57" t="str">
        <f t="shared" si="113"/>
        <v>NC</v>
      </c>
      <c r="AE252" s="57" t="str">
        <f t="shared" si="114"/>
        <v>NC</v>
      </c>
      <c r="AG252" s="123" t="str">
        <f t="shared" si="115"/>
        <v>NC</v>
      </c>
      <c r="AH252" s="123" t="str">
        <f t="shared" si="116"/>
        <v>NC</v>
      </c>
      <c r="AI252" s="123" t="str">
        <f t="shared" si="117"/>
        <v>NC</v>
      </c>
      <c r="AJ252" s="123" t="str">
        <f t="shared" si="118"/>
        <v>NC</v>
      </c>
      <c r="AK252" s="123" t="str">
        <f t="shared" si="119"/>
        <v>NC</v>
      </c>
      <c r="AL252" s="123" t="str">
        <f t="shared" si="120"/>
        <v>NC</v>
      </c>
      <c r="AM252" s="123" t="str">
        <f t="shared" si="121"/>
        <v>NC</v>
      </c>
      <c r="AN252" s="138"/>
      <c r="AO252" s="151" t="e">
        <f t="shared" si="123"/>
        <v>#DIV/0!</v>
      </c>
      <c r="AP252" s="152"/>
      <c r="AR252" s="141" t="s">
        <v>643</v>
      </c>
      <c r="AS252" s="141" t="s">
        <v>643</v>
      </c>
      <c r="AU252" s="143" t="s">
        <v>1321</v>
      </c>
      <c r="AV252" s="143" t="s">
        <v>1322</v>
      </c>
      <c r="AW252" s="143" t="s">
        <v>1323</v>
      </c>
    </row>
    <row r="253" spans="1:49" s="212" customFormat="1" ht="14.4" customHeight="1" x14ac:dyDescent="0.3">
      <c r="A253" s="116"/>
      <c r="B253" s="116"/>
      <c r="C253" s="121"/>
      <c r="D253" s="116"/>
      <c r="E253" s="116"/>
      <c r="F253" s="117"/>
      <c r="G253" s="120"/>
      <c r="H253" s="120"/>
      <c r="I253" s="120"/>
      <c r="J253" s="120" t="s">
        <v>30</v>
      </c>
      <c r="K253" s="134"/>
      <c r="L253" s="131"/>
      <c r="M253" s="154"/>
      <c r="N253" s="162">
        <v>43952</v>
      </c>
      <c r="O253" s="116"/>
      <c r="P253" s="149" t="s">
        <v>596</v>
      </c>
      <c r="Q253" s="136"/>
      <c r="R253" s="57" t="s">
        <v>30</v>
      </c>
      <c r="S253" s="57" t="s">
        <v>30</v>
      </c>
      <c r="T253" s="57" t="s">
        <v>30</v>
      </c>
      <c r="U253" s="34" t="s">
        <v>30</v>
      </c>
      <c r="V253" s="57" t="s">
        <v>30</v>
      </c>
      <c r="W253" s="57" t="s">
        <v>30</v>
      </c>
      <c r="X253" s="34" t="s">
        <v>30</v>
      </c>
      <c r="Y253" s="137" t="str">
        <f t="shared" si="109"/>
        <v>NC</v>
      </c>
      <c r="Z253" s="57" t="str">
        <f t="shared" si="122"/>
        <v>NC</v>
      </c>
      <c r="AA253" s="57" t="str">
        <f t="shared" si="110"/>
        <v>NC</v>
      </c>
      <c r="AB253" s="57" t="str">
        <f t="shared" si="111"/>
        <v>NC</v>
      </c>
      <c r="AC253" s="57" t="str">
        <f t="shared" si="112"/>
        <v>NC</v>
      </c>
      <c r="AD253" s="57" t="str">
        <f t="shared" si="113"/>
        <v>NC</v>
      </c>
      <c r="AE253" s="57" t="str">
        <f t="shared" si="114"/>
        <v>NC</v>
      </c>
      <c r="AF253" s="138"/>
      <c r="AG253" s="123" t="str">
        <f t="shared" si="115"/>
        <v>NC</v>
      </c>
      <c r="AH253" s="123" t="str">
        <f t="shared" si="116"/>
        <v>NC</v>
      </c>
      <c r="AI253" s="123" t="str">
        <f t="shared" si="117"/>
        <v>NC</v>
      </c>
      <c r="AJ253" s="123" t="str">
        <f t="shared" si="118"/>
        <v>NC</v>
      </c>
      <c r="AK253" s="123" t="str">
        <f t="shared" si="119"/>
        <v>NC</v>
      </c>
      <c r="AL253" s="123" t="str">
        <f t="shared" si="120"/>
        <v>NC</v>
      </c>
      <c r="AM253" s="123" t="str">
        <f t="shared" si="121"/>
        <v>NC</v>
      </c>
      <c r="AN253" s="138"/>
      <c r="AO253" s="151" t="e">
        <f t="shared" si="123"/>
        <v>#DIV/0!</v>
      </c>
      <c r="AP253" s="138"/>
      <c r="AQ253" s="138"/>
      <c r="AR253" s="141" t="s">
        <v>643</v>
      </c>
      <c r="AS253" s="141" t="s">
        <v>643</v>
      </c>
      <c r="AT253" s="138"/>
      <c r="AU253" s="142" t="s">
        <v>1321</v>
      </c>
      <c r="AV253" s="143" t="s">
        <v>1322</v>
      </c>
      <c r="AW253" s="143" t="s">
        <v>1323</v>
      </c>
    </row>
    <row r="254" spans="1:49" s="138" customFormat="1" ht="14.4" customHeight="1" x14ac:dyDescent="0.3">
      <c r="A254" s="117"/>
      <c r="B254" s="117"/>
      <c r="C254" s="121"/>
      <c r="D254" s="123"/>
      <c r="E254" s="123"/>
      <c r="F254" s="121"/>
      <c r="G254" s="120"/>
      <c r="H254" s="120"/>
      <c r="I254" s="120"/>
      <c r="J254" s="120" t="s">
        <v>30</v>
      </c>
      <c r="K254" s="148"/>
      <c r="L254" s="249"/>
      <c r="M254" s="154">
        <v>44409</v>
      </c>
      <c r="N254" s="133">
        <v>43952</v>
      </c>
      <c r="O254" s="148"/>
      <c r="P254" s="149" t="s">
        <v>596</v>
      </c>
      <c r="Q254" s="150"/>
      <c r="R254" s="57" t="s">
        <v>30</v>
      </c>
      <c r="S254" s="57" t="s">
        <v>30</v>
      </c>
      <c r="T254" s="116" t="s">
        <v>30</v>
      </c>
      <c r="U254" s="34" t="s">
        <v>30</v>
      </c>
      <c r="V254" s="57" t="s">
        <v>30</v>
      </c>
      <c r="W254" s="57" t="s">
        <v>30</v>
      </c>
      <c r="X254" s="34" t="s">
        <v>30</v>
      </c>
      <c r="Y254" s="137" t="str">
        <f t="shared" ref="Y254:Y285" si="124">IF(R254="NC","NC",IF(R254="","erreur",R254+365))</f>
        <v>NC</v>
      </c>
      <c r="Z254" s="57" t="str">
        <f t="shared" si="122"/>
        <v>NC</v>
      </c>
      <c r="AA254" s="57" t="str">
        <f t="shared" ref="AA254:AA285" si="125">IF(T254="NC","NC",IF(T254="","erreur",T254+365))</f>
        <v>NC</v>
      </c>
      <c r="AB254" s="57" t="str">
        <f t="shared" ref="AB254:AB285" si="126">IF(U254="NC","NC",IF(U254="","erreur",U254+3650))</f>
        <v>NC</v>
      </c>
      <c r="AC254" s="57" t="str">
        <f t="shared" ref="AC254:AC285" si="127">IF(V254="NC","NC",IF(V254="","erreur",V254+365))</f>
        <v>NC</v>
      </c>
      <c r="AD254" s="57" t="str">
        <f t="shared" ref="AD254:AD285" si="128">IF(W254="NC","NC",IF(W254="","erreur",W254+365))</f>
        <v>NC</v>
      </c>
      <c r="AE254" s="57" t="str">
        <f t="shared" ref="AE254:AE285" si="129">IF(X254="NC","NC",IF(X254="","erreur",X254+730))</f>
        <v>NC</v>
      </c>
      <c r="AF254" s="124"/>
      <c r="AG254" s="123" t="str">
        <f t="shared" ref="AG254:AG285" si="130">IF(Y254="NC","NC",IF(Y254="erreur","erreur",Y254-$F$3))</f>
        <v>NC</v>
      </c>
      <c r="AH254" s="123" t="str">
        <f t="shared" ref="AH254:AH285" si="131">IF(Z254="NC","NC",IF(Z254="erreur","erreur",Z254-$F$3))</f>
        <v>NC</v>
      </c>
      <c r="AI254" s="123" t="str">
        <f t="shared" ref="AI254:AI285" si="132">IF(AA254="NC","NC",IF(AA254="erreur","erreur",AA254-$F$3))</f>
        <v>NC</v>
      </c>
      <c r="AJ254" s="123" t="str">
        <f t="shared" ref="AJ254:AJ285" si="133">IF(AB254="NC","NC",IF(AB254="erreur","erreur",AB254-$F$3))</f>
        <v>NC</v>
      </c>
      <c r="AK254" s="123" t="str">
        <f t="shared" ref="AK254:AK285" si="134">IF(AC254="NC","NC",IF(AC254="erreur","erreur",AC254-$F$3))</f>
        <v>NC</v>
      </c>
      <c r="AL254" s="123" t="str">
        <f t="shared" ref="AL254:AL285" si="135">IF(AD254="NC","NC",IF(AD254="erreur","erreur",AD254-$F$3))</f>
        <v>NC</v>
      </c>
      <c r="AM254" s="123" t="str">
        <f t="shared" ref="AM254:AM285" si="136">IF(AE254="NC","NC",IF(AE254="erreur","erreur",AE254-$F$3))</f>
        <v>NC</v>
      </c>
      <c r="AO254" s="151" t="e">
        <f t="shared" si="123"/>
        <v>#DIV/0!</v>
      </c>
      <c r="AP254" s="152"/>
      <c r="AQ254" s="124"/>
      <c r="AR254" s="141" t="s">
        <v>643</v>
      </c>
      <c r="AS254" s="141" t="s">
        <v>643</v>
      </c>
      <c r="AT254" s="124"/>
      <c r="AU254" s="143" t="s">
        <v>1321</v>
      </c>
      <c r="AV254" s="143" t="s">
        <v>1322</v>
      </c>
      <c r="AW254" s="143" t="s">
        <v>1323</v>
      </c>
    </row>
    <row r="255" spans="1:49" s="138" customFormat="1" ht="14.4" customHeight="1" x14ac:dyDescent="0.3">
      <c r="A255" s="26"/>
      <c r="B255" s="26"/>
      <c r="C255" s="121"/>
      <c r="D255" s="116"/>
      <c r="E255" s="116"/>
      <c r="F255" s="121"/>
      <c r="G255" s="120"/>
      <c r="H255" s="120"/>
      <c r="I255" s="120"/>
      <c r="J255" s="120" t="s">
        <v>30</v>
      </c>
      <c r="K255" s="134"/>
      <c r="L255" s="131"/>
      <c r="M255" s="154">
        <v>44866</v>
      </c>
      <c r="N255" s="133" t="s">
        <v>1022</v>
      </c>
      <c r="O255" s="134"/>
      <c r="P255" s="149" t="s">
        <v>596</v>
      </c>
      <c r="Q255" s="136"/>
      <c r="R255" s="57" t="s">
        <v>30</v>
      </c>
      <c r="S255" s="57" t="s">
        <v>30</v>
      </c>
      <c r="T255" s="116" t="s">
        <v>30</v>
      </c>
      <c r="U255" s="57" t="s">
        <v>30</v>
      </c>
      <c r="V255" s="57" t="s">
        <v>30</v>
      </c>
      <c r="W255" s="57" t="s">
        <v>30</v>
      </c>
      <c r="X255" s="34" t="s">
        <v>30</v>
      </c>
      <c r="Y255" s="137" t="str">
        <f t="shared" si="124"/>
        <v>NC</v>
      </c>
      <c r="Z255" s="57" t="str">
        <f t="shared" si="122"/>
        <v>NC</v>
      </c>
      <c r="AA255" s="57" t="str">
        <f t="shared" si="125"/>
        <v>NC</v>
      </c>
      <c r="AB255" s="57" t="str">
        <f t="shared" si="126"/>
        <v>NC</v>
      </c>
      <c r="AC255" s="57" t="str">
        <f t="shared" si="127"/>
        <v>NC</v>
      </c>
      <c r="AD255" s="57" t="str">
        <f t="shared" si="128"/>
        <v>NC</v>
      </c>
      <c r="AE255" s="57" t="str">
        <f t="shared" si="129"/>
        <v>NC</v>
      </c>
      <c r="AF255" s="124"/>
      <c r="AG255" s="123" t="str">
        <f t="shared" si="130"/>
        <v>NC</v>
      </c>
      <c r="AH255" s="123" t="str">
        <f t="shared" si="131"/>
        <v>NC</v>
      </c>
      <c r="AI255" s="123" t="str">
        <f t="shared" si="132"/>
        <v>NC</v>
      </c>
      <c r="AJ255" s="123" t="str">
        <f t="shared" si="133"/>
        <v>NC</v>
      </c>
      <c r="AK255" s="123" t="str">
        <f t="shared" si="134"/>
        <v>NC</v>
      </c>
      <c r="AL255" s="123" t="str">
        <f t="shared" si="135"/>
        <v>NC</v>
      </c>
      <c r="AM255" s="123" t="str">
        <f t="shared" si="136"/>
        <v>NC</v>
      </c>
      <c r="AO255" s="151" t="e">
        <f t="shared" si="123"/>
        <v>#DIV/0!</v>
      </c>
      <c r="AP255" s="152"/>
      <c r="AQ255" s="124"/>
      <c r="AR255" s="141" t="s">
        <v>643</v>
      </c>
      <c r="AS255" s="141" t="s">
        <v>643</v>
      </c>
      <c r="AT255" s="124"/>
      <c r="AU255" s="143" t="s">
        <v>1324</v>
      </c>
      <c r="AV255" s="143" t="s">
        <v>1496</v>
      </c>
      <c r="AW255" s="143" t="s">
        <v>1325</v>
      </c>
    </row>
    <row r="256" spans="1:49" s="138" customFormat="1" ht="14.4" customHeight="1" x14ac:dyDescent="0.3">
      <c r="A256" s="26"/>
      <c r="B256" s="26"/>
      <c r="C256" s="117"/>
      <c r="D256" s="116"/>
      <c r="E256" s="116"/>
      <c r="F256" s="117"/>
      <c r="G256" s="120"/>
      <c r="H256" s="120"/>
      <c r="I256" s="120"/>
      <c r="J256" s="120" t="s">
        <v>30</v>
      </c>
      <c r="K256" s="134"/>
      <c r="L256" s="131"/>
      <c r="M256" s="132"/>
      <c r="N256" s="132"/>
      <c r="O256" s="134"/>
      <c r="P256" s="135" t="s">
        <v>596</v>
      </c>
      <c r="Q256" s="136"/>
      <c r="R256" s="57" t="s">
        <v>30</v>
      </c>
      <c r="S256" s="57" t="s">
        <v>30</v>
      </c>
      <c r="T256" s="116"/>
      <c r="U256" s="57" t="s">
        <v>30</v>
      </c>
      <c r="V256" s="57" t="s">
        <v>30</v>
      </c>
      <c r="W256" s="57" t="s">
        <v>30</v>
      </c>
      <c r="X256" s="34" t="s">
        <v>30</v>
      </c>
      <c r="Y256" s="137" t="str">
        <f t="shared" si="124"/>
        <v>NC</v>
      </c>
      <c r="Z256" s="57" t="str">
        <f t="shared" si="122"/>
        <v>NC</v>
      </c>
      <c r="AA256" s="57" t="str">
        <f t="shared" si="125"/>
        <v>erreur</v>
      </c>
      <c r="AB256" s="57" t="str">
        <f t="shared" si="126"/>
        <v>NC</v>
      </c>
      <c r="AC256" s="57" t="str">
        <f t="shared" si="127"/>
        <v>NC</v>
      </c>
      <c r="AD256" s="57" t="str">
        <f t="shared" si="128"/>
        <v>NC</v>
      </c>
      <c r="AE256" s="57" t="str">
        <f t="shared" si="129"/>
        <v>NC</v>
      </c>
      <c r="AF256" s="124"/>
      <c r="AG256" s="123" t="str">
        <f t="shared" si="130"/>
        <v>NC</v>
      </c>
      <c r="AH256" s="123" t="str">
        <f t="shared" si="131"/>
        <v>NC</v>
      </c>
      <c r="AI256" s="123" t="str">
        <f t="shared" si="132"/>
        <v>erreur</v>
      </c>
      <c r="AJ256" s="123" t="str">
        <f t="shared" si="133"/>
        <v>NC</v>
      </c>
      <c r="AK256" s="123" t="str">
        <f t="shared" si="134"/>
        <v>NC</v>
      </c>
      <c r="AL256" s="123" t="str">
        <f t="shared" si="135"/>
        <v>NC</v>
      </c>
      <c r="AM256" s="123" t="str">
        <f t="shared" si="136"/>
        <v>NC</v>
      </c>
      <c r="AO256" s="151" t="e">
        <f t="shared" si="123"/>
        <v>#DIV/0!</v>
      </c>
      <c r="AP256" s="140"/>
      <c r="AR256" s="141" t="s">
        <v>643</v>
      </c>
      <c r="AS256" s="141" t="s">
        <v>643</v>
      </c>
      <c r="AU256" s="142" t="s">
        <v>1326</v>
      </c>
      <c r="AV256" s="142" t="s">
        <v>1327</v>
      </c>
      <c r="AW256" s="142" t="s">
        <v>1328</v>
      </c>
    </row>
    <row r="257" spans="1:49" s="138" customFormat="1" ht="14.4" customHeight="1" x14ac:dyDescent="0.3">
      <c r="A257" s="121"/>
      <c r="B257" s="117"/>
      <c r="C257" s="121"/>
      <c r="D257" s="123"/>
      <c r="E257" s="123"/>
      <c r="F257" s="121"/>
      <c r="G257" s="120"/>
      <c r="H257" s="120"/>
      <c r="I257" s="120"/>
      <c r="J257" s="120" t="s">
        <v>30</v>
      </c>
      <c r="K257" s="145"/>
      <c r="L257" s="146"/>
      <c r="M257" s="154"/>
      <c r="N257" s="133"/>
      <c r="O257" s="148"/>
      <c r="P257" s="149" t="s">
        <v>596</v>
      </c>
      <c r="Q257" s="150"/>
      <c r="R257" s="57" t="s">
        <v>30</v>
      </c>
      <c r="S257" s="57" t="s">
        <v>30</v>
      </c>
      <c r="T257" s="116" t="s">
        <v>30</v>
      </c>
      <c r="U257" s="118" t="s">
        <v>30</v>
      </c>
      <c r="V257" s="57" t="s">
        <v>30</v>
      </c>
      <c r="W257" s="57" t="s">
        <v>30</v>
      </c>
      <c r="X257" s="34" t="s">
        <v>30</v>
      </c>
      <c r="Y257" s="137" t="str">
        <f t="shared" si="124"/>
        <v>NC</v>
      </c>
      <c r="Z257" s="57" t="str">
        <f t="shared" si="122"/>
        <v>NC</v>
      </c>
      <c r="AA257" s="57" t="str">
        <f t="shared" si="125"/>
        <v>NC</v>
      </c>
      <c r="AB257" s="57" t="str">
        <f t="shared" si="126"/>
        <v>NC</v>
      </c>
      <c r="AC257" s="57" t="str">
        <f t="shared" si="127"/>
        <v>NC</v>
      </c>
      <c r="AD257" s="57" t="str">
        <f t="shared" si="128"/>
        <v>NC</v>
      </c>
      <c r="AE257" s="57" t="str">
        <f t="shared" si="129"/>
        <v>NC</v>
      </c>
      <c r="AF257" s="124"/>
      <c r="AG257" s="123" t="str">
        <f t="shared" si="130"/>
        <v>NC</v>
      </c>
      <c r="AH257" s="123" t="str">
        <f t="shared" si="131"/>
        <v>NC</v>
      </c>
      <c r="AI257" s="123" t="str">
        <f t="shared" si="132"/>
        <v>NC</v>
      </c>
      <c r="AJ257" s="123" t="str">
        <f t="shared" si="133"/>
        <v>NC</v>
      </c>
      <c r="AK257" s="123" t="str">
        <f t="shared" si="134"/>
        <v>NC</v>
      </c>
      <c r="AL257" s="123" t="str">
        <f t="shared" si="135"/>
        <v>NC</v>
      </c>
      <c r="AM257" s="123" t="str">
        <f t="shared" si="136"/>
        <v>NC</v>
      </c>
      <c r="AO257" s="151" t="e">
        <f t="shared" si="123"/>
        <v>#DIV/0!</v>
      </c>
      <c r="AP257" s="152"/>
      <c r="AQ257" s="124"/>
      <c r="AR257" s="141" t="s">
        <v>643</v>
      </c>
      <c r="AS257" s="141" t="s">
        <v>643</v>
      </c>
      <c r="AT257" s="124"/>
      <c r="AU257" s="143" t="s">
        <v>1329</v>
      </c>
      <c r="AV257" s="143" t="s">
        <v>951</v>
      </c>
      <c r="AW257" s="143" t="s">
        <v>952</v>
      </c>
    </row>
    <row r="258" spans="1:49" s="138" customFormat="1" ht="14.4" customHeight="1" x14ac:dyDescent="0.3">
      <c r="A258" s="121"/>
      <c r="B258" s="117"/>
      <c r="C258" s="121"/>
      <c r="D258" s="123"/>
      <c r="E258" s="123"/>
      <c r="F258" s="121"/>
      <c r="G258" s="120"/>
      <c r="H258" s="120"/>
      <c r="I258" s="120"/>
      <c r="J258" s="120" t="s">
        <v>30</v>
      </c>
      <c r="K258" s="145"/>
      <c r="L258" s="146"/>
      <c r="M258" s="154"/>
      <c r="N258" s="133"/>
      <c r="O258" s="148"/>
      <c r="P258" s="149" t="s">
        <v>596</v>
      </c>
      <c r="Q258" s="150"/>
      <c r="R258" s="57" t="s">
        <v>30</v>
      </c>
      <c r="S258" s="57" t="s">
        <v>30</v>
      </c>
      <c r="T258" s="116" t="s">
        <v>30</v>
      </c>
      <c r="U258" s="118" t="s">
        <v>30</v>
      </c>
      <c r="V258" s="57" t="s">
        <v>30</v>
      </c>
      <c r="W258" s="57" t="s">
        <v>30</v>
      </c>
      <c r="X258" s="34" t="s">
        <v>30</v>
      </c>
      <c r="Y258" s="137" t="str">
        <f t="shared" si="124"/>
        <v>NC</v>
      </c>
      <c r="Z258" s="57" t="str">
        <f t="shared" si="122"/>
        <v>NC</v>
      </c>
      <c r="AA258" s="57" t="str">
        <f t="shared" si="125"/>
        <v>NC</v>
      </c>
      <c r="AB258" s="57" t="str">
        <f t="shared" si="126"/>
        <v>NC</v>
      </c>
      <c r="AC258" s="57" t="str">
        <f t="shared" si="127"/>
        <v>NC</v>
      </c>
      <c r="AD258" s="57" t="str">
        <f t="shared" si="128"/>
        <v>NC</v>
      </c>
      <c r="AE258" s="57" t="str">
        <f t="shared" si="129"/>
        <v>NC</v>
      </c>
      <c r="AF258" s="124"/>
      <c r="AG258" s="123" t="str">
        <f t="shared" si="130"/>
        <v>NC</v>
      </c>
      <c r="AH258" s="123" t="str">
        <f t="shared" si="131"/>
        <v>NC</v>
      </c>
      <c r="AI258" s="123" t="str">
        <f t="shared" si="132"/>
        <v>NC</v>
      </c>
      <c r="AJ258" s="123" t="str">
        <f t="shared" si="133"/>
        <v>NC</v>
      </c>
      <c r="AK258" s="123" t="str">
        <f t="shared" si="134"/>
        <v>NC</v>
      </c>
      <c r="AL258" s="123" t="str">
        <f t="shared" si="135"/>
        <v>NC</v>
      </c>
      <c r="AM258" s="123" t="str">
        <f t="shared" si="136"/>
        <v>NC</v>
      </c>
      <c r="AO258" s="151" t="e">
        <f t="shared" si="123"/>
        <v>#DIV/0!</v>
      </c>
      <c r="AP258" s="152"/>
      <c r="AQ258" s="124"/>
      <c r="AR258" s="141" t="s">
        <v>643</v>
      </c>
      <c r="AS258" s="141" t="s">
        <v>643</v>
      </c>
      <c r="AT258" s="124"/>
      <c r="AU258" s="143" t="s">
        <v>1329</v>
      </c>
      <c r="AV258" s="143" t="s">
        <v>951</v>
      </c>
      <c r="AW258" s="143" t="s">
        <v>952</v>
      </c>
    </row>
    <row r="259" spans="1:49" s="138" customFormat="1" ht="14.4" customHeight="1" x14ac:dyDescent="0.3">
      <c r="A259" s="116"/>
      <c r="B259" s="116"/>
      <c r="C259" s="117"/>
      <c r="D259" s="116"/>
      <c r="E259" s="116"/>
      <c r="F259" s="117"/>
      <c r="G259" s="120"/>
      <c r="H259" s="120"/>
      <c r="I259" s="120"/>
      <c r="J259" s="120" t="s">
        <v>30</v>
      </c>
      <c r="K259" s="134"/>
      <c r="L259" s="120"/>
      <c r="M259" s="154"/>
      <c r="N259" s="162">
        <v>43952</v>
      </c>
      <c r="O259" s="116"/>
      <c r="P259" s="149" t="s">
        <v>596</v>
      </c>
      <c r="Q259" s="136"/>
      <c r="R259" s="57" t="s">
        <v>30</v>
      </c>
      <c r="S259" s="57" t="s">
        <v>30</v>
      </c>
      <c r="T259" s="57" t="s">
        <v>30</v>
      </c>
      <c r="U259" s="34" t="s">
        <v>30</v>
      </c>
      <c r="V259" s="57" t="s">
        <v>30</v>
      </c>
      <c r="W259" s="57" t="s">
        <v>30</v>
      </c>
      <c r="X259" s="34" t="s">
        <v>30</v>
      </c>
      <c r="Y259" s="137" t="str">
        <f t="shared" si="124"/>
        <v>NC</v>
      </c>
      <c r="Z259" s="57" t="str">
        <f t="shared" si="122"/>
        <v>NC</v>
      </c>
      <c r="AA259" s="57" t="str">
        <f t="shared" si="125"/>
        <v>NC</v>
      </c>
      <c r="AB259" s="57" t="str">
        <f t="shared" si="126"/>
        <v>NC</v>
      </c>
      <c r="AC259" s="57" t="str">
        <f t="shared" si="127"/>
        <v>NC</v>
      </c>
      <c r="AD259" s="57" t="str">
        <f t="shared" si="128"/>
        <v>NC</v>
      </c>
      <c r="AE259" s="57" t="str">
        <f t="shared" si="129"/>
        <v>NC</v>
      </c>
      <c r="AG259" s="123" t="str">
        <f t="shared" si="130"/>
        <v>NC</v>
      </c>
      <c r="AH259" s="123" t="str">
        <f t="shared" si="131"/>
        <v>NC</v>
      </c>
      <c r="AI259" s="123" t="str">
        <f t="shared" si="132"/>
        <v>NC</v>
      </c>
      <c r="AJ259" s="123" t="str">
        <f t="shared" si="133"/>
        <v>NC</v>
      </c>
      <c r="AK259" s="123" t="str">
        <f t="shared" si="134"/>
        <v>NC</v>
      </c>
      <c r="AL259" s="123" t="str">
        <f t="shared" si="135"/>
        <v>NC</v>
      </c>
      <c r="AM259" s="123" t="str">
        <f t="shared" si="136"/>
        <v>NC</v>
      </c>
      <c r="AO259" s="151" t="e">
        <f t="shared" si="123"/>
        <v>#DIV/0!</v>
      </c>
      <c r="AR259" s="141" t="s">
        <v>643</v>
      </c>
      <c r="AS259" s="141" t="s">
        <v>643</v>
      </c>
      <c r="AU259" s="142" t="s">
        <v>1330</v>
      </c>
      <c r="AV259" s="143" t="s">
        <v>1331</v>
      </c>
      <c r="AW259" s="143" t="s">
        <v>1332</v>
      </c>
    </row>
    <row r="260" spans="1:49" s="124" customFormat="1" ht="14.4" customHeight="1" x14ac:dyDescent="0.3">
      <c r="A260" s="116"/>
      <c r="B260" s="116"/>
      <c r="C260" s="117"/>
      <c r="D260" s="116"/>
      <c r="E260" s="116"/>
      <c r="F260" s="117"/>
      <c r="G260" s="120"/>
      <c r="H260" s="120"/>
      <c r="I260" s="120"/>
      <c r="J260" s="120" t="s">
        <v>30</v>
      </c>
      <c r="K260" s="134"/>
      <c r="L260" s="120"/>
      <c r="M260" s="132"/>
      <c r="N260" s="158">
        <v>43952</v>
      </c>
      <c r="O260" s="116"/>
      <c r="P260" s="135" t="s">
        <v>596</v>
      </c>
      <c r="Q260" s="116"/>
      <c r="R260" s="57" t="s">
        <v>30</v>
      </c>
      <c r="S260" s="57" t="s">
        <v>30</v>
      </c>
      <c r="T260" s="57">
        <v>43853</v>
      </c>
      <c r="U260" s="34" t="s">
        <v>30</v>
      </c>
      <c r="V260" s="57" t="s">
        <v>30</v>
      </c>
      <c r="W260" s="57" t="s">
        <v>30</v>
      </c>
      <c r="X260" s="34" t="s">
        <v>30</v>
      </c>
      <c r="Y260" s="137" t="str">
        <f t="shared" si="124"/>
        <v>NC</v>
      </c>
      <c r="Z260" s="57" t="str">
        <f t="shared" si="122"/>
        <v>NC</v>
      </c>
      <c r="AA260" s="57">
        <f t="shared" si="125"/>
        <v>44218</v>
      </c>
      <c r="AB260" s="57" t="str">
        <f t="shared" si="126"/>
        <v>NC</v>
      </c>
      <c r="AC260" s="57" t="str">
        <f t="shared" si="127"/>
        <v>NC</v>
      </c>
      <c r="AD260" s="57" t="str">
        <f t="shared" si="128"/>
        <v>NC</v>
      </c>
      <c r="AE260" s="57" t="str">
        <f t="shared" si="129"/>
        <v>NC</v>
      </c>
      <c r="AF260" s="138"/>
      <c r="AG260" s="123" t="str">
        <f t="shared" si="130"/>
        <v>NC</v>
      </c>
      <c r="AH260" s="123" t="str">
        <f t="shared" si="131"/>
        <v>NC</v>
      </c>
      <c r="AI260" s="123">
        <f t="shared" ca="1" si="132"/>
        <v>-1369</v>
      </c>
      <c r="AJ260" s="123" t="str">
        <f t="shared" si="133"/>
        <v>NC</v>
      </c>
      <c r="AK260" s="123" t="str">
        <f t="shared" si="134"/>
        <v>NC</v>
      </c>
      <c r="AL260" s="123" t="str">
        <f t="shared" si="135"/>
        <v>NC</v>
      </c>
      <c r="AM260" s="123" t="str">
        <f t="shared" si="136"/>
        <v>NC</v>
      </c>
      <c r="AN260" s="138"/>
      <c r="AO260" s="151" t="e">
        <f t="shared" si="123"/>
        <v>#DIV/0!</v>
      </c>
      <c r="AP260" s="138"/>
      <c r="AQ260" s="138"/>
      <c r="AR260" s="141" t="s">
        <v>643</v>
      </c>
      <c r="AS260" s="141" t="s">
        <v>643</v>
      </c>
      <c r="AT260" s="138"/>
      <c r="AU260" s="142" t="s">
        <v>1333</v>
      </c>
      <c r="AV260" s="143" t="s">
        <v>1334</v>
      </c>
      <c r="AW260" s="143" t="s">
        <v>1335</v>
      </c>
    </row>
    <row r="261" spans="1:49" s="124" customFormat="1" ht="14.4" customHeight="1" x14ac:dyDescent="0.3">
      <c r="A261" s="116"/>
      <c r="B261" s="241"/>
      <c r="C261" s="117"/>
      <c r="D261" s="116"/>
      <c r="E261" s="116"/>
      <c r="F261" s="239"/>
      <c r="G261" s="120"/>
      <c r="H261" s="120"/>
      <c r="I261" s="120"/>
      <c r="J261" s="120" t="s">
        <v>30</v>
      </c>
      <c r="K261" s="134"/>
      <c r="L261" s="120"/>
      <c r="M261" s="132"/>
      <c r="N261" s="158">
        <v>43891</v>
      </c>
      <c r="O261" s="116"/>
      <c r="P261" s="135" t="s">
        <v>596</v>
      </c>
      <c r="Q261" s="116"/>
      <c r="R261" s="57" t="s">
        <v>30</v>
      </c>
      <c r="S261" s="57" t="s">
        <v>30</v>
      </c>
      <c r="T261" s="57">
        <v>43670</v>
      </c>
      <c r="U261" s="34" t="s">
        <v>30</v>
      </c>
      <c r="V261" s="57" t="s">
        <v>30</v>
      </c>
      <c r="W261" s="57" t="s">
        <v>30</v>
      </c>
      <c r="X261" s="34" t="s">
        <v>30</v>
      </c>
      <c r="Y261" s="137" t="str">
        <f t="shared" si="124"/>
        <v>NC</v>
      </c>
      <c r="Z261" s="57" t="str">
        <f t="shared" si="122"/>
        <v>NC</v>
      </c>
      <c r="AA261" s="57">
        <f t="shared" si="125"/>
        <v>44035</v>
      </c>
      <c r="AB261" s="57" t="str">
        <f t="shared" si="126"/>
        <v>NC</v>
      </c>
      <c r="AC261" s="57" t="str">
        <f t="shared" si="127"/>
        <v>NC</v>
      </c>
      <c r="AD261" s="57" t="str">
        <f t="shared" si="128"/>
        <v>NC</v>
      </c>
      <c r="AE261" s="57" t="str">
        <f t="shared" si="129"/>
        <v>NC</v>
      </c>
      <c r="AF261" s="138"/>
      <c r="AG261" s="123" t="str">
        <f t="shared" si="130"/>
        <v>NC</v>
      </c>
      <c r="AH261" s="123" t="str">
        <f t="shared" si="131"/>
        <v>NC</v>
      </c>
      <c r="AI261" s="123">
        <f t="shared" ca="1" si="132"/>
        <v>-1552</v>
      </c>
      <c r="AJ261" s="123" t="str">
        <f t="shared" si="133"/>
        <v>NC</v>
      </c>
      <c r="AK261" s="123" t="str">
        <f t="shared" si="134"/>
        <v>NC</v>
      </c>
      <c r="AL261" s="123" t="str">
        <f t="shared" si="135"/>
        <v>NC</v>
      </c>
      <c r="AM261" s="123" t="str">
        <f t="shared" si="136"/>
        <v>NC</v>
      </c>
      <c r="AN261" s="138"/>
      <c r="AO261" s="139" t="e">
        <f t="shared" si="123"/>
        <v>#DIV/0!</v>
      </c>
      <c r="AP261" s="138"/>
      <c r="AQ261" s="138"/>
      <c r="AR261" s="141" t="s">
        <v>643</v>
      </c>
      <c r="AS261" s="141" t="s">
        <v>643</v>
      </c>
      <c r="AT261" s="138"/>
      <c r="AU261" s="142" t="s">
        <v>1336</v>
      </c>
      <c r="AV261" s="143" t="s">
        <v>1334</v>
      </c>
      <c r="AW261" s="143" t="s">
        <v>1337</v>
      </c>
    </row>
    <row r="262" spans="1:49" s="124" customFormat="1" ht="14.4" customHeight="1" x14ac:dyDescent="0.3">
      <c r="A262" s="116"/>
      <c r="B262" s="116"/>
      <c r="C262" s="117"/>
      <c r="D262" s="116"/>
      <c r="E262" s="116"/>
      <c r="F262" s="239"/>
      <c r="G262" s="120"/>
      <c r="H262" s="120"/>
      <c r="I262" s="120"/>
      <c r="J262" s="120" t="s">
        <v>30</v>
      </c>
      <c r="K262" s="134"/>
      <c r="L262" s="120"/>
      <c r="M262" s="132"/>
      <c r="N262" s="157" t="s">
        <v>1022</v>
      </c>
      <c r="O262" s="116"/>
      <c r="P262" s="135" t="s">
        <v>596</v>
      </c>
      <c r="Q262" s="116"/>
      <c r="R262" s="57" t="s">
        <v>30</v>
      </c>
      <c r="S262" s="57" t="s">
        <v>30</v>
      </c>
      <c r="T262" s="57" t="s">
        <v>30</v>
      </c>
      <c r="U262" s="57" t="s">
        <v>30</v>
      </c>
      <c r="V262" s="57" t="s">
        <v>30</v>
      </c>
      <c r="W262" s="57" t="s">
        <v>30</v>
      </c>
      <c r="X262" s="34" t="s">
        <v>30</v>
      </c>
      <c r="Y262" s="137" t="str">
        <f t="shared" si="124"/>
        <v>NC</v>
      </c>
      <c r="Z262" s="57" t="str">
        <f t="shared" si="122"/>
        <v>NC</v>
      </c>
      <c r="AA262" s="57" t="str">
        <f t="shared" si="125"/>
        <v>NC</v>
      </c>
      <c r="AB262" s="57" t="str">
        <f t="shared" si="126"/>
        <v>NC</v>
      </c>
      <c r="AC262" s="57" t="str">
        <f t="shared" si="127"/>
        <v>NC</v>
      </c>
      <c r="AD262" s="57" t="str">
        <f t="shared" si="128"/>
        <v>NC</v>
      </c>
      <c r="AE262" s="57" t="str">
        <f t="shared" si="129"/>
        <v>NC</v>
      </c>
      <c r="AF262" s="138"/>
      <c r="AG262" s="123" t="str">
        <f t="shared" si="130"/>
        <v>NC</v>
      </c>
      <c r="AH262" s="123" t="str">
        <f t="shared" si="131"/>
        <v>NC</v>
      </c>
      <c r="AI262" s="123" t="str">
        <f t="shared" si="132"/>
        <v>NC</v>
      </c>
      <c r="AJ262" s="123" t="str">
        <f t="shared" si="133"/>
        <v>NC</v>
      </c>
      <c r="AK262" s="123" t="str">
        <f t="shared" si="134"/>
        <v>NC</v>
      </c>
      <c r="AL262" s="123" t="str">
        <f t="shared" si="135"/>
        <v>NC</v>
      </c>
      <c r="AM262" s="123" t="str">
        <f t="shared" si="136"/>
        <v>NC</v>
      </c>
      <c r="AN262" s="138"/>
      <c r="AO262" s="230" t="e">
        <f t="shared" si="123"/>
        <v>#DIV/0!</v>
      </c>
      <c r="AP262" s="138"/>
      <c r="AQ262" s="138"/>
      <c r="AR262" s="141" t="s">
        <v>643</v>
      </c>
      <c r="AS262" s="141" t="s">
        <v>643</v>
      </c>
      <c r="AT262" s="138"/>
      <c r="AU262" s="142" t="s">
        <v>1446</v>
      </c>
      <c r="AV262" s="143" t="s">
        <v>588</v>
      </c>
      <c r="AW262" s="143"/>
    </row>
    <row r="263" spans="1:49" s="124" customFormat="1" ht="14.4" customHeight="1" x14ac:dyDescent="0.3">
      <c r="A263" s="116"/>
      <c r="B263" s="116"/>
      <c r="C263" s="117"/>
      <c r="D263" s="116"/>
      <c r="E263" s="116"/>
      <c r="F263" s="117"/>
      <c r="G263" s="120"/>
      <c r="H263" s="120"/>
      <c r="I263" s="120"/>
      <c r="J263" s="120" t="s">
        <v>30</v>
      </c>
      <c r="K263" s="134"/>
      <c r="L263" s="120"/>
      <c r="M263" s="132"/>
      <c r="N263" s="158">
        <v>43952</v>
      </c>
      <c r="O263" s="116"/>
      <c r="P263" s="135" t="s">
        <v>596</v>
      </c>
      <c r="Q263" s="116"/>
      <c r="R263" s="57" t="s">
        <v>30</v>
      </c>
      <c r="S263" s="57" t="s">
        <v>30</v>
      </c>
      <c r="T263" s="57" t="s">
        <v>30</v>
      </c>
      <c r="U263" s="34" t="s">
        <v>30</v>
      </c>
      <c r="V263" s="57" t="s">
        <v>30</v>
      </c>
      <c r="W263" s="57" t="s">
        <v>30</v>
      </c>
      <c r="X263" s="34" t="s">
        <v>30</v>
      </c>
      <c r="Y263" s="137" t="str">
        <f t="shared" si="124"/>
        <v>NC</v>
      </c>
      <c r="Z263" s="57" t="str">
        <f t="shared" ref="Z263:Z294" si="137">IF(S263="NC","NC",IF(S263="","erreur",S263+181))</f>
        <v>NC</v>
      </c>
      <c r="AA263" s="57" t="str">
        <f t="shared" si="125"/>
        <v>NC</v>
      </c>
      <c r="AB263" s="57" t="str">
        <f t="shared" si="126"/>
        <v>NC</v>
      </c>
      <c r="AC263" s="57" t="str">
        <f t="shared" si="127"/>
        <v>NC</v>
      </c>
      <c r="AD263" s="57" t="str">
        <f t="shared" si="128"/>
        <v>NC</v>
      </c>
      <c r="AE263" s="57" t="str">
        <f t="shared" si="129"/>
        <v>NC</v>
      </c>
      <c r="AF263" s="138"/>
      <c r="AG263" s="123" t="str">
        <f t="shared" si="130"/>
        <v>NC</v>
      </c>
      <c r="AH263" s="123" t="str">
        <f t="shared" si="131"/>
        <v>NC</v>
      </c>
      <c r="AI263" s="123" t="str">
        <f t="shared" si="132"/>
        <v>NC</v>
      </c>
      <c r="AJ263" s="123" t="str">
        <f t="shared" si="133"/>
        <v>NC</v>
      </c>
      <c r="AK263" s="123" t="str">
        <f t="shared" si="134"/>
        <v>NC</v>
      </c>
      <c r="AL263" s="123" t="str">
        <f t="shared" si="135"/>
        <v>NC</v>
      </c>
      <c r="AM263" s="123" t="str">
        <f t="shared" si="136"/>
        <v>NC</v>
      </c>
      <c r="AN263" s="138"/>
      <c r="AO263" s="151" t="e">
        <f t="shared" si="123"/>
        <v>#DIV/0!</v>
      </c>
      <c r="AP263" s="138"/>
      <c r="AQ263" s="138"/>
      <c r="AR263" s="141" t="s">
        <v>643</v>
      </c>
      <c r="AS263" s="141" t="s">
        <v>643</v>
      </c>
      <c r="AT263" s="138"/>
      <c r="AU263" s="142" t="s">
        <v>1448</v>
      </c>
      <c r="AV263" s="143" t="s">
        <v>1449</v>
      </c>
      <c r="AW263" s="143" t="s">
        <v>1450</v>
      </c>
    </row>
    <row r="264" spans="1:49" s="124" customFormat="1" ht="14.4" customHeight="1" x14ac:dyDescent="0.3">
      <c r="A264" s="116"/>
      <c r="B264" s="116"/>
      <c r="C264" s="117"/>
      <c r="D264" s="116"/>
      <c r="E264" s="116"/>
      <c r="F264" s="117"/>
      <c r="G264" s="120"/>
      <c r="H264" s="120"/>
      <c r="I264" s="120"/>
      <c r="J264" s="120" t="s">
        <v>30</v>
      </c>
      <c r="K264" s="134"/>
      <c r="L264" s="120"/>
      <c r="M264" s="132"/>
      <c r="N264" s="158">
        <v>44166</v>
      </c>
      <c r="O264" s="116"/>
      <c r="P264" s="135" t="s">
        <v>596</v>
      </c>
      <c r="Q264" s="116"/>
      <c r="R264" s="57" t="s">
        <v>30</v>
      </c>
      <c r="S264" s="57" t="s">
        <v>30</v>
      </c>
      <c r="T264" s="57" t="s">
        <v>30</v>
      </c>
      <c r="U264" s="34" t="s">
        <v>30</v>
      </c>
      <c r="V264" s="57" t="s">
        <v>30</v>
      </c>
      <c r="W264" s="57" t="s">
        <v>30</v>
      </c>
      <c r="X264" s="34" t="s">
        <v>30</v>
      </c>
      <c r="Y264" s="137" t="str">
        <f t="shared" si="124"/>
        <v>NC</v>
      </c>
      <c r="Z264" s="57" t="str">
        <f t="shared" si="137"/>
        <v>NC</v>
      </c>
      <c r="AA264" s="57" t="str">
        <f t="shared" si="125"/>
        <v>NC</v>
      </c>
      <c r="AB264" s="57" t="str">
        <f t="shared" si="126"/>
        <v>NC</v>
      </c>
      <c r="AC264" s="57" t="str">
        <f t="shared" si="127"/>
        <v>NC</v>
      </c>
      <c r="AD264" s="57" t="str">
        <f t="shared" si="128"/>
        <v>NC</v>
      </c>
      <c r="AE264" s="57" t="str">
        <f t="shared" si="129"/>
        <v>NC</v>
      </c>
      <c r="AF264" s="138"/>
      <c r="AG264" s="123" t="str">
        <f t="shared" si="130"/>
        <v>NC</v>
      </c>
      <c r="AH264" s="123" t="str">
        <f t="shared" si="131"/>
        <v>NC</v>
      </c>
      <c r="AI264" s="123" t="str">
        <f t="shared" si="132"/>
        <v>NC</v>
      </c>
      <c r="AJ264" s="123" t="str">
        <f t="shared" si="133"/>
        <v>NC</v>
      </c>
      <c r="AK264" s="123" t="str">
        <f t="shared" si="134"/>
        <v>NC</v>
      </c>
      <c r="AL264" s="123" t="str">
        <f t="shared" si="135"/>
        <v>NC</v>
      </c>
      <c r="AM264" s="123" t="str">
        <f t="shared" si="136"/>
        <v>NC</v>
      </c>
      <c r="AN264" s="138"/>
      <c r="AO264" s="151" t="e">
        <f t="shared" si="123"/>
        <v>#DIV/0!</v>
      </c>
      <c r="AP264" s="138"/>
      <c r="AQ264" s="138"/>
      <c r="AR264" s="141" t="s">
        <v>643</v>
      </c>
      <c r="AS264" s="141" t="s">
        <v>643</v>
      </c>
      <c r="AT264" s="138"/>
      <c r="AU264" s="142"/>
      <c r="AV264" s="143"/>
      <c r="AW264" s="143"/>
    </row>
    <row r="265" spans="1:49" s="124" customFormat="1" ht="14.4" customHeight="1" x14ac:dyDescent="0.3">
      <c r="A265" s="116"/>
      <c r="B265" s="116"/>
      <c r="C265" s="121"/>
      <c r="D265" s="116"/>
      <c r="E265" s="116"/>
      <c r="F265" s="117"/>
      <c r="G265" s="120"/>
      <c r="H265" s="120"/>
      <c r="I265" s="120"/>
      <c r="J265" s="120" t="s">
        <v>30</v>
      </c>
      <c r="K265" s="134"/>
      <c r="L265" s="120"/>
      <c r="M265" s="154">
        <v>45261</v>
      </c>
      <c r="N265" s="162">
        <v>43952</v>
      </c>
      <c r="O265" s="116"/>
      <c r="P265" s="149" t="s">
        <v>596</v>
      </c>
      <c r="Q265" s="136"/>
      <c r="R265" s="57" t="s">
        <v>30</v>
      </c>
      <c r="S265" s="57" t="s">
        <v>30</v>
      </c>
      <c r="T265" s="57" t="s">
        <v>30</v>
      </c>
      <c r="U265" s="34">
        <v>43101</v>
      </c>
      <c r="V265" s="57" t="s">
        <v>30</v>
      </c>
      <c r="W265" s="57" t="s">
        <v>30</v>
      </c>
      <c r="X265" s="34" t="s">
        <v>30</v>
      </c>
      <c r="Y265" s="137" t="str">
        <f t="shared" si="124"/>
        <v>NC</v>
      </c>
      <c r="Z265" s="57" t="str">
        <f t="shared" si="137"/>
        <v>NC</v>
      </c>
      <c r="AA265" s="57" t="str">
        <f t="shared" si="125"/>
        <v>NC</v>
      </c>
      <c r="AB265" s="57">
        <f t="shared" si="126"/>
        <v>46751</v>
      </c>
      <c r="AC265" s="57" t="str">
        <f t="shared" si="127"/>
        <v>NC</v>
      </c>
      <c r="AD265" s="57" t="str">
        <f t="shared" si="128"/>
        <v>NC</v>
      </c>
      <c r="AE265" s="57" t="str">
        <f t="shared" si="129"/>
        <v>NC</v>
      </c>
      <c r="AF265" s="138"/>
      <c r="AG265" s="123" t="str">
        <f t="shared" si="130"/>
        <v>NC</v>
      </c>
      <c r="AH265" s="123" t="str">
        <f t="shared" si="131"/>
        <v>NC</v>
      </c>
      <c r="AI265" s="123" t="str">
        <f t="shared" si="132"/>
        <v>NC</v>
      </c>
      <c r="AJ265" s="123">
        <f t="shared" ca="1" si="133"/>
        <v>1164</v>
      </c>
      <c r="AK265" s="123" t="str">
        <f t="shared" si="134"/>
        <v>NC</v>
      </c>
      <c r="AL265" s="123" t="str">
        <f t="shared" si="135"/>
        <v>NC</v>
      </c>
      <c r="AM265" s="123" t="str">
        <f t="shared" si="136"/>
        <v>NC</v>
      </c>
      <c r="AN265" s="138"/>
      <c r="AO265" s="151" t="e">
        <f t="shared" si="123"/>
        <v>#DIV/0!</v>
      </c>
      <c r="AP265" s="138"/>
      <c r="AQ265" s="138"/>
      <c r="AR265" s="141" t="s">
        <v>643</v>
      </c>
      <c r="AS265" s="141" t="s">
        <v>643</v>
      </c>
      <c r="AT265" s="138"/>
      <c r="AU265" s="142" t="s">
        <v>1338</v>
      </c>
      <c r="AV265" s="143" t="s">
        <v>1339</v>
      </c>
      <c r="AW265" s="143" t="s">
        <v>1340</v>
      </c>
    </row>
    <row r="266" spans="1:49" s="124" customFormat="1" ht="14.4" customHeight="1" x14ac:dyDescent="0.3">
      <c r="A266" s="116"/>
      <c r="B266" s="26"/>
      <c r="C266" s="121"/>
      <c r="D266" s="116"/>
      <c r="E266" s="116"/>
      <c r="F266" s="117"/>
      <c r="G266" s="120"/>
      <c r="H266" s="120"/>
      <c r="I266" s="120"/>
      <c r="J266" s="120" t="s">
        <v>30</v>
      </c>
      <c r="K266" s="145"/>
      <c r="L266" s="120"/>
      <c r="M266" s="154"/>
      <c r="N266" s="162">
        <v>43952</v>
      </c>
      <c r="O266" s="116"/>
      <c r="P266" s="149" t="s">
        <v>596</v>
      </c>
      <c r="Q266" s="136"/>
      <c r="R266" s="57" t="s">
        <v>30</v>
      </c>
      <c r="S266" s="57" t="s">
        <v>30</v>
      </c>
      <c r="T266" s="57" t="s">
        <v>30</v>
      </c>
      <c r="U266" s="118" t="s">
        <v>30</v>
      </c>
      <c r="V266" s="57" t="s">
        <v>30</v>
      </c>
      <c r="W266" s="57" t="s">
        <v>30</v>
      </c>
      <c r="X266" s="34" t="s">
        <v>30</v>
      </c>
      <c r="Y266" s="137" t="str">
        <f t="shared" si="124"/>
        <v>NC</v>
      </c>
      <c r="Z266" s="57" t="str">
        <f t="shared" si="137"/>
        <v>NC</v>
      </c>
      <c r="AA266" s="57" t="str">
        <f t="shared" si="125"/>
        <v>NC</v>
      </c>
      <c r="AB266" s="57" t="str">
        <f t="shared" si="126"/>
        <v>NC</v>
      </c>
      <c r="AC266" s="57" t="str">
        <f t="shared" si="127"/>
        <v>NC</v>
      </c>
      <c r="AD266" s="57" t="str">
        <f t="shared" si="128"/>
        <v>NC</v>
      </c>
      <c r="AE266" s="57" t="str">
        <f t="shared" si="129"/>
        <v>NC</v>
      </c>
      <c r="AF266" s="138"/>
      <c r="AG266" s="123" t="str">
        <f t="shared" si="130"/>
        <v>NC</v>
      </c>
      <c r="AH266" s="123" t="str">
        <f t="shared" si="131"/>
        <v>NC</v>
      </c>
      <c r="AI266" s="123" t="str">
        <f t="shared" si="132"/>
        <v>NC</v>
      </c>
      <c r="AJ266" s="123" t="str">
        <f t="shared" si="133"/>
        <v>NC</v>
      </c>
      <c r="AK266" s="123" t="str">
        <f t="shared" si="134"/>
        <v>NC</v>
      </c>
      <c r="AL266" s="123" t="str">
        <f t="shared" si="135"/>
        <v>NC</v>
      </c>
      <c r="AM266" s="123" t="str">
        <f t="shared" si="136"/>
        <v>NC</v>
      </c>
      <c r="AN266" s="138"/>
      <c r="AO266" s="151" t="e">
        <f t="shared" si="123"/>
        <v>#DIV/0!</v>
      </c>
      <c r="AP266" s="138"/>
      <c r="AQ266" s="138"/>
      <c r="AR266" s="141" t="s">
        <v>643</v>
      </c>
      <c r="AS266" s="141" t="s">
        <v>643</v>
      </c>
      <c r="AT266" s="138"/>
      <c r="AU266" s="142" t="s">
        <v>1341</v>
      </c>
      <c r="AV266" s="143" t="s">
        <v>1342</v>
      </c>
      <c r="AW266" s="143">
        <v>867</v>
      </c>
    </row>
    <row r="267" spans="1:49" s="124" customFormat="1" ht="14.4" customHeight="1" x14ac:dyDescent="0.3">
      <c r="A267" s="26"/>
      <c r="B267" s="26"/>
      <c r="C267" s="121"/>
      <c r="D267" s="123"/>
      <c r="E267" s="123"/>
      <c r="F267" s="121"/>
      <c r="G267" s="120"/>
      <c r="H267" s="120"/>
      <c r="I267" s="120"/>
      <c r="J267" s="120" t="s">
        <v>30</v>
      </c>
      <c r="K267" s="145"/>
      <c r="L267" s="146"/>
      <c r="M267" s="154">
        <v>44835</v>
      </c>
      <c r="N267" s="133">
        <v>44136</v>
      </c>
      <c r="O267" s="148"/>
      <c r="P267" s="149" t="s">
        <v>596</v>
      </c>
      <c r="Q267" s="150">
        <v>2365</v>
      </c>
      <c r="R267" s="57" t="s">
        <v>30</v>
      </c>
      <c r="S267" s="57" t="s">
        <v>30</v>
      </c>
      <c r="T267" s="116" t="s">
        <v>30</v>
      </c>
      <c r="U267" s="116" t="s">
        <v>30</v>
      </c>
      <c r="V267" s="57" t="s">
        <v>30</v>
      </c>
      <c r="W267" s="57" t="s">
        <v>30</v>
      </c>
      <c r="X267" s="57" t="s">
        <v>30</v>
      </c>
      <c r="Y267" s="137" t="str">
        <f t="shared" si="124"/>
        <v>NC</v>
      </c>
      <c r="Z267" s="57" t="str">
        <f t="shared" si="137"/>
        <v>NC</v>
      </c>
      <c r="AA267" s="57" t="str">
        <f t="shared" si="125"/>
        <v>NC</v>
      </c>
      <c r="AB267" s="57" t="str">
        <f t="shared" si="126"/>
        <v>NC</v>
      </c>
      <c r="AC267" s="57" t="str">
        <f t="shared" si="127"/>
        <v>NC</v>
      </c>
      <c r="AD267" s="57" t="str">
        <f t="shared" si="128"/>
        <v>NC</v>
      </c>
      <c r="AE267" s="57" t="str">
        <f t="shared" si="129"/>
        <v>NC</v>
      </c>
      <c r="AG267" s="123" t="str">
        <f t="shared" si="130"/>
        <v>NC</v>
      </c>
      <c r="AH267" s="123" t="str">
        <f t="shared" si="131"/>
        <v>NC</v>
      </c>
      <c r="AI267" s="123" t="str">
        <f t="shared" si="132"/>
        <v>NC</v>
      </c>
      <c r="AJ267" s="123" t="str">
        <f t="shared" si="133"/>
        <v>NC</v>
      </c>
      <c r="AK267" s="123" t="str">
        <f t="shared" si="134"/>
        <v>NC</v>
      </c>
      <c r="AL267" s="123" t="str">
        <f t="shared" si="135"/>
        <v>NC</v>
      </c>
      <c r="AM267" s="123" t="str">
        <f t="shared" si="136"/>
        <v>NC</v>
      </c>
      <c r="AN267" s="138"/>
      <c r="AO267" s="151" t="e">
        <f t="shared" si="123"/>
        <v>#DIV/0!</v>
      </c>
      <c r="AP267" s="152"/>
      <c r="AR267" s="141" t="s">
        <v>643</v>
      </c>
      <c r="AS267" s="141" t="s">
        <v>643</v>
      </c>
      <c r="AU267" s="143" t="s">
        <v>1341</v>
      </c>
      <c r="AV267" s="143" t="s">
        <v>1342</v>
      </c>
      <c r="AW267" s="143">
        <v>867</v>
      </c>
    </row>
    <row r="268" spans="1:49" s="124" customFormat="1" ht="14.4" customHeight="1" x14ac:dyDescent="0.3">
      <c r="A268" s="26"/>
      <c r="B268" s="26"/>
      <c r="C268" s="121"/>
      <c r="D268" s="123"/>
      <c r="E268" s="123"/>
      <c r="F268" s="121"/>
      <c r="G268" s="120"/>
      <c r="H268" s="120"/>
      <c r="I268" s="120"/>
      <c r="J268" s="120" t="s">
        <v>30</v>
      </c>
      <c r="K268" s="145"/>
      <c r="L268" s="146"/>
      <c r="M268" s="154">
        <v>44470</v>
      </c>
      <c r="N268" s="133">
        <v>43952</v>
      </c>
      <c r="O268" s="148"/>
      <c r="P268" s="149" t="s">
        <v>596</v>
      </c>
      <c r="Q268" s="150">
        <v>3000</v>
      </c>
      <c r="R268" s="57" t="s">
        <v>30</v>
      </c>
      <c r="S268" s="57" t="s">
        <v>30</v>
      </c>
      <c r="T268" s="116" t="s">
        <v>30</v>
      </c>
      <c r="U268" s="118" t="s">
        <v>30</v>
      </c>
      <c r="V268" s="57" t="s">
        <v>30</v>
      </c>
      <c r="W268" s="57" t="s">
        <v>30</v>
      </c>
      <c r="X268" s="34" t="s">
        <v>30</v>
      </c>
      <c r="Y268" s="137" t="str">
        <f t="shared" si="124"/>
        <v>NC</v>
      </c>
      <c r="Z268" s="57" t="str">
        <f t="shared" si="137"/>
        <v>NC</v>
      </c>
      <c r="AA268" s="57" t="str">
        <f t="shared" si="125"/>
        <v>NC</v>
      </c>
      <c r="AB268" s="57" t="str">
        <f t="shared" si="126"/>
        <v>NC</v>
      </c>
      <c r="AC268" s="57" t="str">
        <f t="shared" si="127"/>
        <v>NC</v>
      </c>
      <c r="AD268" s="57" t="str">
        <f t="shared" si="128"/>
        <v>NC</v>
      </c>
      <c r="AE268" s="57" t="str">
        <f t="shared" si="129"/>
        <v>NC</v>
      </c>
      <c r="AG268" s="123" t="str">
        <f t="shared" si="130"/>
        <v>NC</v>
      </c>
      <c r="AH268" s="123" t="str">
        <f t="shared" si="131"/>
        <v>NC</v>
      </c>
      <c r="AI268" s="123" t="str">
        <f t="shared" si="132"/>
        <v>NC</v>
      </c>
      <c r="AJ268" s="123" t="str">
        <f t="shared" si="133"/>
        <v>NC</v>
      </c>
      <c r="AK268" s="123" t="str">
        <f t="shared" si="134"/>
        <v>NC</v>
      </c>
      <c r="AL268" s="123" t="str">
        <f t="shared" si="135"/>
        <v>NC</v>
      </c>
      <c r="AM268" s="123" t="str">
        <f t="shared" si="136"/>
        <v>NC</v>
      </c>
      <c r="AN268" s="138"/>
      <c r="AO268" s="151" t="e">
        <f t="shared" si="123"/>
        <v>#DIV/0!</v>
      </c>
      <c r="AP268" s="152"/>
      <c r="AR268" s="141" t="s">
        <v>643</v>
      </c>
      <c r="AS268" s="141" t="s">
        <v>643</v>
      </c>
      <c r="AU268" s="143" t="s">
        <v>1341</v>
      </c>
      <c r="AV268" s="143" t="s">
        <v>1342</v>
      </c>
      <c r="AW268" s="143">
        <v>867</v>
      </c>
    </row>
    <row r="269" spans="1:49" s="212" customFormat="1" ht="14.4" customHeight="1" x14ac:dyDescent="0.3">
      <c r="A269" s="117"/>
      <c r="B269" s="117"/>
      <c r="C269" s="121"/>
      <c r="D269" s="116"/>
      <c r="E269" s="116"/>
      <c r="F269" s="121"/>
      <c r="G269" s="120"/>
      <c r="H269" s="120"/>
      <c r="I269" s="120"/>
      <c r="J269" s="120" t="s">
        <v>30</v>
      </c>
      <c r="K269" s="134"/>
      <c r="L269" s="131"/>
      <c r="M269" s="154">
        <v>43770</v>
      </c>
      <c r="N269" s="133">
        <v>44166</v>
      </c>
      <c r="O269" s="134"/>
      <c r="P269" s="149" t="s">
        <v>596</v>
      </c>
      <c r="Q269" s="136">
        <v>5726</v>
      </c>
      <c r="R269" s="57" t="s">
        <v>30</v>
      </c>
      <c r="S269" s="57" t="s">
        <v>30</v>
      </c>
      <c r="T269" s="57">
        <v>43735</v>
      </c>
      <c r="U269" s="118" t="s">
        <v>30</v>
      </c>
      <c r="V269" s="57" t="s">
        <v>30</v>
      </c>
      <c r="W269" s="57" t="s">
        <v>30</v>
      </c>
      <c r="X269" s="34" t="s">
        <v>30</v>
      </c>
      <c r="Y269" s="137" t="str">
        <f t="shared" si="124"/>
        <v>NC</v>
      </c>
      <c r="Z269" s="57" t="str">
        <f t="shared" si="137"/>
        <v>NC</v>
      </c>
      <c r="AA269" s="57">
        <f t="shared" si="125"/>
        <v>44100</v>
      </c>
      <c r="AB269" s="57" t="str">
        <f t="shared" si="126"/>
        <v>NC</v>
      </c>
      <c r="AC269" s="57" t="str">
        <f t="shared" si="127"/>
        <v>NC</v>
      </c>
      <c r="AD269" s="57" t="str">
        <f t="shared" si="128"/>
        <v>NC</v>
      </c>
      <c r="AE269" s="57" t="str">
        <f t="shared" si="129"/>
        <v>NC</v>
      </c>
      <c r="AF269" s="124"/>
      <c r="AG269" s="123" t="str">
        <f t="shared" si="130"/>
        <v>NC</v>
      </c>
      <c r="AH269" s="123" t="str">
        <f t="shared" si="131"/>
        <v>NC</v>
      </c>
      <c r="AI269" s="123">
        <f t="shared" ca="1" si="132"/>
        <v>-1487</v>
      </c>
      <c r="AJ269" s="123" t="str">
        <f t="shared" si="133"/>
        <v>NC</v>
      </c>
      <c r="AK269" s="123" t="str">
        <f t="shared" si="134"/>
        <v>NC</v>
      </c>
      <c r="AL269" s="123" t="str">
        <f t="shared" si="135"/>
        <v>NC</v>
      </c>
      <c r="AM269" s="123" t="str">
        <f t="shared" si="136"/>
        <v>NC</v>
      </c>
      <c r="AN269" s="138"/>
      <c r="AO269" s="151" t="e">
        <f t="shared" si="123"/>
        <v>#DIV/0!</v>
      </c>
      <c r="AP269" s="140"/>
      <c r="AQ269" s="124"/>
      <c r="AR269" s="141" t="s">
        <v>643</v>
      </c>
      <c r="AS269" s="141" t="s">
        <v>643</v>
      </c>
      <c r="AT269" s="124"/>
      <c r="AU269" s="143" t="s">
        <v>1343</v>
      </c>
      <c r="AV269" s="143" t="s">
        <v>1344</v>
      </c>
      <c r="AW269" s="143" t="s">
        <v>1345</v>
      </c>
    </row>
    <row r="270" spans="1:49" s="138" customFormat="1" ht="14.4" customHeight="1" x14ac:dyDescent="0.3">
      <c r="A270" s="121"/>
      <c r="B270" s="117"/>
      <c r="C270" s="121"/>
      <c r="D270" s="123"/>
      <c r="E270" s="123"/>
      <c r="F270" s="121"/>
      <c r="G270" s="120"/>
      <c r="H270" s="120"/>
      <c r="I270" s="120"/>
      <c r="J270" s="120" t="s">
        <v>30</v>
      </c>
      <c r="K270" s="145"/>
      <c r="L270" s="146"/>
      <c r="M270" s="154"/>
      <c r="N270" s="133"/>
      <c r="O270" s="148"/>
      <c r="P270" s="149" t="s">
        <v>596</v>
      </c>
      <c r="Q270" s="150"/>
      <c r="R270" s="57" t="s">
        <v>30</v>
      </c>
      <c r="S270" s="57" t="s">
        <v>30</v>
      </c>
      <c r="T270" s="116" t="s">
        <v>30</v>
      </c>
      <c r="U270" s="118" t="s">
        <v>30</v>
      </c>
      <c r="V270" s="57" t="s">
        <v>30</v>
      </c>
      <c r="W270" s="57" t="s">
        <v>30</v>
      </c>
      <c r="X270" s="34" t="s">
        <v>30</v>
      </c>
      <c r="Y270" s="137" t="str">
        <f t="shared" si="124"/>
        <v>NC</v>
      </c>
      <c r="Z270" s="57" t="str">
        <f t="shared" si="137"/>
        <v>NC</v>
      </c>
      <c r="AA270" s="57" t="str">
        <f t="shared" si="125"/>
        <v>NC</v>
      </c>
      <c r="AB270" s="57" t="str">
        <f t="shared" si="126"/>
        <v>NC</v>
      </c>
      <c r="AC270" s="57" t="str">
        <f t="shared" si="127"/>
        <v>NC</v>
      </c>
      <c r="AD270" s="57" t="str">
        <f t="shared" si="128"/>
        <v>NC</v>
      </c>
      <c r="AE270" s="57" t="str">
        <f t="shared" si="129"/>
        <v>NC</v>
      </c>
      <c r="AF270" s="124"/>
      <c r="AG270" s="123" t="str">
        <f t="shared" si="130"/>
        <v>NC</v>
      </c>
      <c r="AH270" s="123" t="str">
        <f t="shared" si="131"/>
        <v>NC</v>
      </c>
      <c r="AI270" s="123" t="str">
        <f t="shared" si="132"/>
        <v>NC</v>
      </c>
      <c r="AJ270" s="123" t="str">
        <f t="shared" si="133"/>
        <v>NC</v>
      </c>
      <c r="AK270" s="123" t="str">
        <f t="shared" si="134"/>
        <v>NC</v>
      </c>
      <c r="AL270" s="123" t="str">
        <f t="shared" si="135"/>
        <v>NC</v>
      </c>
      <c r="AM270" s="123" t="str">
        <f t="shared" si="136"/>
        <v>NC</v>
      </c>
      <c r="AO270" s="151" t="e">
        <f t="shared" si="123"/>
        <v>#DIV/0!</v>
      </c>
      <c r="AP270" s="152"/>
      <c r="AQ270" s="124"/>
      <c r="AR270" s="141" t="s">
        <v>643</v>
      </c>
      <c r="AS270" s="141" t="s">
        <v>643</v>
      </c>
      <c r="AT270" s="124"/>
      <c r="AU270" s="143" t="s">
        <v>1277</v>
      </c>
      <c r="AV270" s="143" t="s">
        <v>953</v>
      </c>
      <c r="AW270" s="143" t="s">
        <v>954</v>
      </c>
    </row>
    <row r="271" spans="1:49" s="160" customFormat="1" ht="14.4" customHeight="1" x14ac:dyDescent="0.3">
      <c r="A271" s="121"/>
      <c r="B271" s="117"/>
      <c r="C271" s="121"/>
      <c r="D271" s="123"/>
      <c r="E271" s="123"/>
      <c r="F271" s="121"/>
      <c r="G271" s="120"/>
      <c r="H271" s="120"/>
      <c r="I271" s="120"/>
      <c r="J271" s="120" t="s">
        <v>30</v>
      </c>
      <c r="K271" s="145"/>
      <c r="L271" s="146"/>
      <c r="M271" s="154"/>
      <c r="N271" s="133"/>
      <c r="O271" s="148"/>
      <c r="P271" s="149" t="s">
        <v>596</v>
      </c>
      <c r="Q271" s="150"/>
      <c r="R271" s="57" t="s">
        <v>30</v>
      </c>
      <c r="S271" s="57" t="s">
        <v>30</v>
      </c>
      <c r="T271" s="116" t="s">
        <v>30</v>
      </c>
      <c r="U271" s="118" t="s">
        <v>30</v>
      </c>
      <c r="V271" s="57" t="s">
        <v>30</v>
      </c>
      <c r="W271" s="57" t="s">
        <v>30</v>
      </c>
      <c r="X271" s="34" t="s">
        <v>30</v>
      </c>
      <c r="Y271" s="137" t="str">
        <f t="shared" si="124"/>
        <v>NC</v>
      </c>
      <c r="Z271" s="57" t="str">
        <f t="shared" si="137"/>
        <v>NC</v>
      </c>
      <c r="AA271" s="57" t="str">
        <f t="shared" si="125"/>
        <v>NC</v>
      </c>
      <c r="AB271" s="57" t="str">
        <f t="shared" si="126"/>
        <v>NC</v>
      </c>
      <c r="AC271" s="57" t="str">
        <f t="shared" si="127"/>
        <v>NC</v>
      </c>
      <c r="AD271" s="57" t="str">
        <f t="shared" si="128"/>
        <v>NC</v>
      </c>
      <c r="AE271" s="57" t="str">
        <f t="shared" si="129"/>
        <v>NC</v>
      </c>
      <c r="AF271" s="124"/>
      <c r="AG271" s="123" t="str">
        <f t="shared" si="130"/>
        <v>NC</v>
      </c>
      <c r="AH271" s="123" t="str">
        <f t="shared" si="131"/>
        <v>NC</v>
      </c>
      <c r="AI271" s="123" t="str">
        <f t="shared" si="132"/>
        <v>NC</v>
      </c>
      <c r="AJ271" s="123" t="str">
        <f t="shared" si="133"/>
        <v>NC</v>
      </c>
      <c r="AK271" s="123" t="str">
        <f t="shared" si="134"/>
        <v>NC</v>
      </c>
      <c r="AL271" s="123" t="str">
        <f t="shared" si="135"/>
        <v>NC</v>
      </c>
      <c r="AM271" s="123" t="str">
        <f t="shared" si="136"/>
        <v>NC</v>
      </c>
      <c r="AN271" s="138"/>
      <c r="AO271" s="151" t="e">
        <f t="shared" si="123"/>
        <v>#DIV/0!</v>
      </c>
      <c r="AP271" s="152"/>
      <c r="AQ271" s="124"/>
      <c r="AR271" s="141" t="s">
        <v>643</v>
      </c>
      <c r="AS271" s="141" t="s">
        <v>643</v>
      </c>
      <c r="AT271" s="124"/>
      <c r="AU271" s="143" t="s">
        <v>1277</v>
      </c>
      <c r="AV271" s="143" t="s">
        <v>953</v>
      </c>
      <c r="AW271" s="143" t="s">
        <v>954</v>
      </c>
    </row>
    <row r="272" spans="1:49" s="160" customFormat="1" ht="14.4" customHeight="1" x14ac:dyDescent="0.3">
      <c r="A272" s="121"/>
      <c r="B272" s="117"/>
      <c r="C272" s="121"/>
      <c r="D272" s="123"/>
      <c r="E272" s="123"/>
      <c r="F272" s="121"/>
      <c r="G272" s="120"/>
      <c r="H272" s="120"/>
      <c r="I272" s="120"/>
      <c r="J272" s="120" t="s">
        <v>30</v>
      </c>
      <c r="K272" s="145"/>
      <c r="L272" s="146"/>
      <c r="M272" s="154"/>
      <c r="N272" s="133"/>
      <c r="O272" s="148"/>
      <c r="P272" s="149" t="s">
        <v>596</v>
      </c>
      <c r="Q272" s="150"/>
      <c r="R272" s="57" t="s">
        <v>30</v>
      </c>
      <c r="S272" s="57" t="s">
        <v>30</v>
      </c>
      <c r="T272" s="116" t="s">
        <v>30</v>
      </c>
      <c r="U272" s="118" t="s">
        <v>30</v>
      </c>
      <c r="V272" s="57" t="s">
        <v>30</v>
      </c>
      <c r="W272" s="57" t="s">
        <v>30</v>
      </c>
      <c r="X272" s="34" t="s">
        <v>30</v>
      </c>
      <c r="Y272" s="137" t="str">
        <f t="shared" si="124"/>
        <v>NC</v>
      </c>
      <c r="Z272" s="57" t="str">
        <f t="shared" si="137"/>
        <v>NC</v>
      </c>
      <c r="AA272" s="57" t="str">
        <f t="shared" si="125"/>
        <v>NC</v>
      </c>
      <c r="AB272" s="57" t="str">
        <f t="shared" si="126"/>
        <v>NC</v>
      </c>
      <c r="AC272" s="57" t="str">
        <f t="shared" si="127"/>
        <v>NC</v>
      </c>
      <c r="AD272" s="57" t="str">
        <f t="shared" si="128"/>
        <v>NC</v>
      </c>
      <c r="AE272" s="57" t="str">
        <f t="shared" si="129"/>
        <v>NC</v>
      </c>
      <c r="AF272" s="124"/>
      <c r="AG272" s="123" t="str">
        <f t="shared" si="130"/>
        <v>NC</v>
      </c>
      <c r="AH272" s="123" t="str">
        <f t="shared" si="131"/>
        <v>NC</v>
      </c>
      <c r="AI272" s="123" t="str">
        <f t="shared" si="132"/>
        <v>NC</v>
      </c>
      <c r="AJ272" s="123" t="str">
        <f t="shared" si="133"/>
        <v>NC</v>
      </c>
      <c r="AK272" s="123" t="str">
        <f t="shared" si="134"/>
        <v>NC</v>
      </c>
      <c r="AL272" s="123" t="str">
        <f t="shared" si="135"/>
        <v>NC</v>
      </c>
      <c r="AM272" s="123" t="str">
        <f t="shared" si="136"/>
        <v>NC</v>
      </c>
      <c r="AN272" s="138"/>
      <c r="AO272" s="151" t="e">
        <f t="shared" si="123"/>
        <v>#DIV/0!</v>
      </c>
      <c r="AP272" s="152"/>
      <c r="AQ272" s="124"/>
      <c r="AR272" s="141" t="s">
        <v>643</v>
      </c>
      <c r="AS272" s="141" t="s">
        <v>643</v>
      </c>
      <c r="AT272" s="124"/>
      <c r="AU272" s="143"/>
      <c r="AV272" s="143" t="s">
        <v>117</v>
      </c>
      <c r="AW272" s="143"/>
    </row>
    <row r="273" spans="1:49" s="138" customFormat="1" ht="14.4" customHeight="1" x14ac:dyDescent="0.3">
      <c r="A273" s="121"/>
      <c r="B273" s="117"/>
      <c r="C273" s="121"/>
      <c r="D273" s="123"/>
      <c r="E273" s="123"/>
      <c r="F273" s="121"/>
      <c r="G273" s="120"/>
      <c r="H273" s="120"/>
      <c r="I273" s="120"/>
      <c r="J273" s="120" t="s">
        <v>30</v>
      </c>
      <c r="K273" s="145"/>
      <c r="L273" s="146"/>
      <c r="M273" s="154"/>
      <c r="N273" s="133"/>
      <c r="O273" s="148"/>
      <c r="P273" s="149" t="s">
        <v>596</v>
      </c>
      <c r="Q273" s="150"/>
      <c r="R273" s="57" t="s">
        <v>30</v>
      </c>
      <c r="S273" s="57" t="s">
        <v>30</v>
      </c>
      <c r="T273" s="116" t="s">
        <v>30</v>
      </c>
      <c r="U273" s="116" t="s">
        <v>30</v>
      </c>
      <c r="V273" s="57" t="s">
        <v>30</v>
      </c>
      <c r="W273" s="57" t="s">
        <v>30</v>
      </c>
      <c r="X273" s="34" t="s">
        <v>30</v>
      </c>
      <c r="Y273" s="137" t="str">
        <f t="shared" si="124"/>
        <v>NC</v>
      </c>
      <c r="Z273" s="57" t="str">
        <f t="shared" si="137"/>
        <v>NC</v>
      </c>
      <c r="AA273" s="57" t="str">
        <f t="shared" si="125"/>
        <v>NC</v>
      </c>
      <c r="AB273" s="57" t="str">
        <f t="shared" si="126"/>
        <v>NC</v>
      </c>
      <c r="AC273" s="57" t="str">
        <f t="shared" si="127"/>
        <v>NC</v>
      </c>
      <c r="AD273" s="57" t="str">
        <f t="shared" si="128"/>
        <v>NC</v>
      </c>
      <c r="AE273" s="57" t="str">
        <f t="shared" si="129"/>
        <v>NC</v>
      </c>
      <c r="AF273" s="124"/>
      <c r="AG273" s="123" t="str">
        <f t="shared" si="130"/>
        <v>NC</v>
      </c>
      <c r="AH273" s="123" t="str">
        <f t="shared" si="131"/>
        <v>NC</v>
      </c>
      <c r="AI273" s="123" t="str">
        <f t="shared" si="132"/>
        <v>NC</v>
      </c>
      <c r="AJ273" s="123" t="str">
        <f t="shared" si="133"/>
        <v>NC</v>
      </c>
      <c r="AK273" s="123" t="str">
        <f t="shared" si="134"/>
        <v>NC</v>
      </c>
      <c r="AL273" s="123" t="str">
        <f t="shared" si="135"/>
        <v>NC</v>
      </c>
      <c r="AM273" s="123" t="str">
        <f t="shared" si="136"/>
        <v>NC</v>
      </c>
      <c r="AO273" s="151" t="e">
        <f t="shared" si="123"/>
        <v>#DIV/0!</v>
      </c>
      <c r="AP273" s="152"/>
      <c r="AQ273" s="124"/>
      <c r="AR273" s="141" t="s">
        <v>643</v>
      </c>
      <c r="AS273" s="141" t="s">
        <v>643</v>
      </c>
      <c r="AT273" s="124"/>
      <c r="AU273" s="143"/>
      <c r="AV273" s="143"/>
      <c r="AW273" s="143"/>
    </row>
    <row r="274" spans="1:49" s="160" customFormat="1" ht="14.4" customHeight="1" x14ac:dyDescent="0.3">
      <c r="A274" s="121"/>
      <c r="B274" s="117"/>
      <c r="C274" s="121"/>
      <c r="D274" s="123"/>
      <c r="E274" s="123"/>
      <c r="F274" s="121"/>
      <c r="G274" s="120"/>
      <c r="H274" s="120"/>
      <c r="I274" s="120"/>
      <c r="J274" s="120" t="s">
        <v>30</v>
      </c>
      <c r="K274" s="145"/>
      <c r="L274" s="146"/>
      <c r="M274" s="154"/>
      <c r="N274" s="133"/>
      <c r="O274" s="148"/>
      <c r="P274" s="149" t="s">
        <v>596</v>
      </c>
      <c r="Q274" s="150"/>
      <c r="R274" s="57" t="s">
        <v>30</v>
      </c>
      <c r="S274" s="57" t="s">
        <v>30</v>
      </c>
      <c r="T274" s="116" t="s">
        <v>30</v>
      </c>
      <c r="U274" s="118" t="s">
        <v>30</v>
      </c>
      <c r="V274" s="57" t="s">
        <v>30</v>
      </c>
      <c r="W274" s="57" t="s">
        <v>30</v>
      </c>
      <c r="X274" s="34" t="s">
        <v>30</v>
      </c>
      <c r="Y274" s="137" t="str">
        <f t="shared" si="124"/>
        <v>NC</v>
      </c>
      <c r="Z274" s="57" t="str">
        <f t="shared" si="137"/>
        <v>NC</v>
      </c>
      <c r="AA274" s="57" t="str">
        <f t="shared" si="125"/>
        <v>NC</v>
      </c>
      <c r="AB274" s="57" t="str">
        <f t="shared" si="126"/>
        <v>NC</v>
      </c>
      <c r="AC274" s="57" t="str">
        <f t="shared" si="127"/>
        <v>NC</v>
      </c>
      <c r="AD274" s="57" t="str">
        <f t="shared" si="128"/>
        <v>NC</v>
      </c>
      <c r="AE274" s="57" t="str">
        <f t="shared" si="129"/>
        <v>NC</v>
      </c>
      <c r="AF274" s="124"/>
      <c r="AG274" s="123" t="str">
        <f t="shared" si="130"/>
        <v>NC</v>
      </c>
      <c r="AH274" s="123" t="str">
        <f t="shared" si="131"/>
        <v>NC</v>
      </c>
      <c r="AI274" s="123" t="str">
        <f t="shared" si="132"/>
        <v>NC</v>
      </c>
      <c r="AJ274" s="123" t="str">
        <f t="shared" si="133"/>
        <v>NC</v>
      </c>
      <c r="AK274" s="123" t="str">
        <f t="shared" si="134"/>
        <v>NC</v>
      </c>
      <c r="AL274" s="123" t="str">
        <f t="shared" si="135"/>
        <v>NC</v>
      </c>
      <c r="AM274" s="123" t="str">
        <f t="shared" si="136"/>
        <v>NC</v>
      </c>
      <c r="AN274" s="138"/>
      <c r="AO274" s="151" t="e">
        <f t="shared" si="123"/>
        <v>#DIV/0!</v>
      </c>
      <c r="AP274" s="152"/>
      <c r="AQ274" s="124"/>
      <c r="AR274" s="141" t="s">
        <v>643</v>
      </c>
      <c r="AS274" s="141" t="s">
        <v>643</v>
      </c>
      <c r="AT274" s="124"/>
      <c r="AU274" s="143" t="s">
        <v>1346</v>
      </c>
      <c r="AV274" s="143" t="s">
        <v>955</v>
      </c>
      <c r="AW274" s="143" t="s">
        <v>956</v>
      </c>
    </row>
    <row r="275" spans="1:49" s="160" customFormat="1" ht="14.4" customHeight="1" x14ac:dyDescent="0.3">
      <c r="A275" s="121"/>
      <c r="B275" s="117"/>
      <c r="C275" s="121"/>
      <c r="D275" s="123"/>
      <c r="E275" s="123"/>
      <c r="F275" s="121"/>
      <c r="G275" s="120"/>
      <c r="H275" s="120"/>
      <c r="I275" s="120"/>
      <c r="J275" s="120" t="s">
        <v>30</v>
      </c>
      <c r="K275" s="145"/>
      <c r="L275" s="146"/>
      <c r="M275" s="154"/>
      <c r="N275" s="133"/>
      <c r="O275" s="148"/>
      <c r="P275" s="149" t="s">
        <v>596</v>
      </c>
      <c r="Q275" s="150"/>
      <c r="R275" s="57" t="s">
        <v>30</v>
      </c>
      <c r="S275" s="57" t="s">
        <v>30</v>
      </c>
      <c r="T275" s="116" t="s">
        <v>30</v>
      </c>
      <c r="U275" s="118" t="s">
        <v>30</v>
      </c>
      <c r="V275" s="57" t="s">
        <v>30</v>
      </c>
      <c r="W275" s="57" t="s">
        <v>30</v>
      </c>
      <c r="X275" s="34" t="s">
        <v>30</v>
      </c>
      <c r="Y275" s="137" t="str">
        <f t="shared" si="124"/>
        <v>NC</v>
      </c>
      <c r="Z275" s="57" t="str">
        <f t="shared" si="137"/>
        <v>NC</v>
      </c>
      <c r="AA275" s="57" t="str">
        <f t="shared" si="125"/>
        <v>NC</v>
      </c>
      <c r="AB275" s="57" t="str">
        <f t="shared" si="126"/>
        <v>NC</v>
      </c>
      <c r="AC275" s="57" t="str">
        <f t="shared" si="127"/>
        <v>NC</v>
      </c>
      <c r="AD275" s="57" t="str">
        <f t="shared" si="128"/>
        <v>NC</v>
      </c>
      <c r="AE275" s="57" t="str">
        <f t="shared" si="129"/>
        <v>NC</v>
      </c>
      <c r="AF275" s="124"/>
      <c r="AG275" s="123" t="str">
        <f t="shared" si="130"/>
        <v>NC</v>
      </c>
      <c r="AH275" s="123" t="str">
        <f t="shared" si="131"/>
        <v>NC</v>
      </c>
      <c r="AI275" s="123" t="str">
        <f t="shared" si="132"/>
        <v>NC</v>
      </c>
      <c r="AJ275" s="123" t="str">
        <f t="shared" si="133"/>
        <v>NC</v>
      </c>
      <c r="AK275" s="123" t="str">
        <f t="shared" si="134"/>
        <v>NC</v>
      </c>
      <c r="AL275" s="123" t="str">
        <f t="shared" si="135"/>
        <v>NC</v>
      </c>
      <c r="AM275" s="123" t="str">
        <f t="shared" si="136"/>
        <v>NC</v>
      </c>
      <c r="AN275" s="138"/>
      <c r="AO275" s="151" t="e">
        <f t="shared" si="123"/>
        <v>#DIV/0!</v>
      </c>
      <c r="AP275" s="152"/>
      <c r="AQ275" s="124"/>
      <c r="AR275" s="141" t="s">
        <v>643</v>
      </c>
      <c r="AS275" s="141" t="s">
        <v>643</v>
      </c>
      <c r="AT275" s="124"/>
      <c r="AU275" s="143" t="s">
        <v>1346</v>
      </c>
      <c r="AV275" s="143" t="s">
        <v>955</v>
      </c>
      <c r="AW275" s="143" t="s">
        <v>957</v>
      </c>
    </row>
    <row r="276" spans="1:49" s="124" customFormat="1" ht="14.4" customHeight="1" x14ac:dyDescent="0.3">
      <c r="A276" s="117"/>
      <c r="B276" s="117"/>
      <c r="C276" s="121"/>
      <c r="D276" s="116"/>
      <c r="E276" s="116"/>
      <c r="F276" s="121"/>
      <c r="G276" s="120"/>
      <c r="H276" s="120"/>
      <c r="I276" s="120"/>
      <c r="J276" s="120" t="s">
        <v>30</v>
      </c>
      <c r="K276" s="134"/>
      <c r="L276" s="131"/>
      <c r="M276" s="154">
        <v>44136</v>
      </c>
      <c r="N276" s="133">
        <v>44013</v>
      </c>
      <c r="O276" s="134"/>
      <c r="P276" s="149" t="s">
        <v>596</v>
      </c>
      <c r="Q276" s="136"/>
      <c r="R276" s="57" t="s">
        <v>30</v>
      </c>
      <c r="S276" s="57" t="s">
        <v>30</v>
      </c>
      <c r="T276" s="116" t="s">
        <v>30</v>
      </c>
      <c r="U276" s="118" t="s">
        <v>30</v>
      </c>
      <c r="V276" s="57" t="s">
        <v>30</v>
      </c>
      <c r="W276" s="57" t="s">
        <v>30</v>
      </c>
      <c r="X276" s="34" t="s">
        <v>30</v>
      </c>
      <c r="Y276" s="137" t="str">
        <f t="shared" si="124"/>
        <v>NC</v>
      </c>
      <c r="Z276" s="57" t="str">
        <f t="shared" si="137"/>
        <v>NC</v>
      </c>
      <c r="AA276" s="57" t="str">
        <f t="shared" si="125"/>
        <v>NC</v>
      </c>
      <c r="AB276" s="57" t="str">
        <f t="shared" si="126"/>
        <v>NC</v>
      </c>
      <c r="AC276" s="57" t="str">
        <f t="shared" si="127"/>
        <v>NC</v>
      </c>
      <c r="AD276" s="57" t="str">
        <f t="shared" si="128"/>
        <v>NC</v>
      </c>
      <c r="AE276" s="57" t="str">
        <f t="shared" si="129"/>
        <v>NC</v>
      </c>
      <c r="AG276" s="123" t="str">
        <f t="shared" si="130"/>
        <v>NC</v>
      </c>
      <c r="AH276" s="123" t="str">
        <f t="shared" si="131"/>
        <v>NC</v>
      </c>
      <c r="AI276" s="123" t="str">
        <f t="shared" si="132"/>
        <v>NC</v>
      </c>
      <c r="AJ276" s="123" t="str">
        <f t="shared" si="133"/>
        <v>NC</v>
      </c>
      <c r="AK276" s="123" t="str">
        <f t="shared" si="134"/>
        <v>NC</v>
      </c>
      <c r="AL276" s="123" t="str">
        <f t="shared" si="135"/>
        <v>NC</v>
      </c>
      <c r="AM276" s="123" t="str">
        <f t="shared" si="136"/>
        <v>NC</v>
      </c>
      <c r="AN276" s="138"/>
      <c r="AO276" s="151" t="e">
        <f t="shared" si="123"/>
        <v>#DIV/0!</v>
      </c>
      <c r="AP276" s="140"/>
      <c r="AR276" s="141" t="s">
        <v>643</v>
      </c>
      <c r="AS276" s="141" t="s">
        <v>643</v>
      </c>
      <c r="AU276" s="143" t="s">
        <v>1347</v>
      </c>
      <c r="AV276" s="143" t="s">
        <v>958</v>
      </c>
      <c r="AW276" s="143" t="s">
        <v>1348</v>
      </c>
    </row>
    <row r="277" spans="1:49" s="124" customFormat="1" ht="14.4" customHeight="1" x14ac:dyDescent="0.3">
      <c r="A277" s="117"/>
      <c r="B277" s="117"/>
      <c r="C277" s="121"/>
      <c r="D277" s="116"/>
      <c r="E277" s="116"/>
      <c r="F277" s="121"/>
      <c r="G277" s="120"/>
      <c r="H277" s="120"/>
      <c r="I277" s="120"/>
      <c r="J277" s="120" t="s">
        <v>30</v>
      </c>
      <c r="K277" s="134"/>
      <c r="L277" s="131"/>
      <c r="M277" s="154">
        <v>44136</v>
      </c>
      <c r="N277" s="133">
        <v>44013</v>
      </c>
      <c r="O277" s="134"/>
      <c r="P277" s="149" t="s">
        <v>596</v>
      </c>
      <c r="Q277" s="136"/>
      <c r="R277" s="57" t="s">
        <v>30</v>
      </c>
      <c r="S277" s="57" t="s">
        <v>30</v>
      </c>
      <c r="T277" s="116" t="s">
        <v>30</v>
      </c>
      <c r="U277" s="116" t="s">
        <v>30</v>
      </c>
      <c r="V277" s="57" t="s">
        <v>30</v>
      </c>
      <c r="W277" s="57" t="s">
        <v>30</v>
      </c>
      <c r="X277" s="34" t="s">
        <v>30</v>
      </c>
      <c r="Y277" s="137" t="str">
        <f t="shared" si="124"/>
        <v>NC</v>
      </c>
      <c r="Z277" s="57" t="str">
        <f t="shared" si="137"/>
        <v>NC</v>
      </c>
      <c r="AA277" s="57" t="str">
        <f t="shared" si="125"/>
        <v>NC</v>
      </c>
      <c r="AB277" s="57" t="str">
        <f t="shared" si="126"/>
        <v>NC</v>
      </c>
      <c r="AC277" s="57" t="str">
        <f t="shared" si="127"/>
        <v>NC</v>
      </c>
      <c r="AD277" s="57" t="str">
        <f t="shared" si="128"/>
        <v>NC</v>
      </c>
      <c r="AE277" s="57" t="str">
        <f t="shared" si="129"/>
        <v>NC</v>
      </c>
      <c r="AG277" s="123" t="str">
        <f t="shared" si="130"/>
        <v>NC</v>
      </c>
      <c r="AH277" s="123" t="str">
        <f t="shared" si="131"/>
        <v>NC</v>
      </c>
      <c r="AI277" s="123" t="str">
        <f t="shared" si="132"/>
        <v>NC</v>
      </c>
      <c r="AJ277" s="123" t="str">
        <f t="shared" si="133"/>
        <v>NC</v>
      </c>
      <c r="AK277" s="123" t="str">
        <f t="shared" si="134"/>
        <v>NC</v>
      </c>
      <c r="AL277" s="123" t="str">
        <f t="shared" si="135"/>
        <v>NC</v>
      </c>
      <c r="AM277" s="123" t="str">
        <f t="shared" si="136"/>
        <v>NC</v>
      </c>
      <c r="AN277" s="138"/>
      <c r="AO277" s="151" t="e">
        <f t="shared" si="123"/>
        <v>#DIV/0!</v>
      </c>
      <c r="AP277" s="140"/>
      <c r="AR277" s="141" t="s">
        <v>643</v>
      </c>
      <c r="AS277" s="141" t="s">
        <v>643</v>
      </c>
      <c r="AU277" s="143" t="s">
        <v>1347</v>
      </c>
      <c r="AV277" s="143" t="s">
        <v>1349</v>
      </c>
      <c r="AW277" s="143" t="s">
        <v>1350</v>
      </c>
    </row>
    <row r="278" spans="1:49" s="124" customFormat="1" ht="14.4" customHeight="1" x14ac:dyDescent="0.3">
      <c r="A278" s="117"/>
      <c r="B278" s="117"/>
      <c r="C278" s="121"/>
      <c r="D278" s="116"/>
      <c r="E278" s="116"/>
      <c r="F278" s="121"/>
      <c r="G278" s="120"/>
      <c r="H278" s="120"/>
      <c r="I278" s="120"/>
      <c r="J278" s="120" t="s">
        <v>30</v>
      </c>
      <c r="K278" s="134"/>
      <c r="L278" s="131"/>
      <c r="M278" s="154"/>
      <c r="N278" s="133">
        <v>43952</v>
      </c>
      <c r="O278" s="134"/>
      <c r="P278" s="149" t="s">
        <v>596</v>
      </c>
      <c r="Q278" s="136"/>
      <c r="R278" s="57" t="s">
        <v>30</v>
      </c>
      <c r="S278" s="57" t="s">
        <v>30</v>
      </c>
      <c r="T278" s="57" t="s">
        <v>30</v>
      </c>
      <c r="U278" s="34" t="s">
        <v>30</v>
      </c>
      <c r="V278" s="57" t="s">
        <v>30</v>
      </c>
      <c r="W278" s="57" t="s">
        <v>30</v>
      </c>
      <c r="X278" s="34" t="s">
        <v>30</v>
      </c>
      <c r="Y278" s="137" t="str">
        <f t="shared" si="124"/>
        <v>NC</v>
      </c>
      <c r="Z278" s="57" t="str">
        <f t="shared" si="137"/>
        <v>NC</v>
      </c>
      <c r="AA278" s="57" t="str">
        <f t="shared" si="125"/>
        <v>NC</v>
      </c>
      <c r="AB278" s="57" t="str">
        <f t="shared" si="126"/>
        <v>NC</v>
      </c>
      <c r="AC278" s="57" t="str">
        <f t="shared" si="127"/>
        <v>NC</v>
      </c>
      <c r="AD278" s="57" t="str">
        <f t="shared" si="128"/>
        <v>NC</v>
      </c>
      <c r="AE278" s="57" t="str">
        <f t="shared" si="129"/>
        <v>NC</v>
      </c>
      <c r="AG278" s="123" t="str">
        <f t="shared" si="130"/>
        <v>NC</v>
      </c>
      <c r="AH278" s="123" t="str">
        <f t="shared" si="131"/>
        <v>NC</v>
      </c>
      <c r="AI278" s="123" t="str">
        <f t="shared" si="132"/>
        <v>NC</v>
      </c>
      <c r="AJ278" s="123" t="str">
        <f t="shared" si="133"/>
        <v>NC</v>
      </c>
      <c r="AK278" s="123" t="str">
        <f t="shared" si="134"/>
        <v>NC</v>
      </c>
      <c r="AL278" s="123" t="str">
        <f t="shared" si="135"/>
        <v>NC</v>
      </c>
      <c r="AM278" s="123" t="str">
        <f t="shared" si="136"/>
        <v>NC</v>
      </c>
      <c r="AN278" s="138"/>
      <c r="AO278" s="151" t="e">
        <f t="shared" ref="AO278:AO309" si="138">K278*($AO$3-L278)/$K$4</f>
        <v>#DIV/0!</v>
      </c>
      <c r="AP278" s="140"/>
      <c r="AR278" s="141" t="s">
        <v>643</v>
      </c>
      <c r="AS278" s="141" t="s">
        <v>643</v>
      </c>
      <c r="AU278" s="143" t="s">
        <v>1491</v>
      </c>
      <c r="AV278" s="143" t="s">
        <v>1492</v>
      </c>
      <c r="AW278" s="143"/>
    </row>
    <row r="279" spans="1:49" s="124" customFormat="1" ht="14.4" customHeight="1" x14ac:dyDescent="0.3">
      <c r="A279" s="121"/>
      <c r="B279" s="117"/>
      <c r="C279" s="121"/>
      <c r="D279" s="123"/>
      <c r="E279" s="123"/>
      <c r="F279" s="121"/>
      <c r="G279" s="120"/>
      <c r="H279" s="120"/>
      <c r="I279" s="120"/>
      <c r="J279" s="120" t="s">
        <v>30</v>
      </c>
      <c r="K279" s="145"/>
      <c r="L279" s="146"/>
      <c r="M279" s="154">
        <v>44835</v>
      </c>
      <c r="N279" s="133">
        <v>44044</v>
      </c>
      <c r="O279" s="148"/>
      <c r="P279" s="149" t="s">
        <v>596</v>
      </c>
      <c r="Q279" s="150">
        <v>6536</v>
      </c>
      <c r="R279" s="57" t="s">
        <v>30</v>
      </c>
      <c r="S279" s="57" t="s">
        <v>30</v>
      </c>
      <c r="T279" s="116" t="s">
        <v>30</v>
      </c>
      <c r="U279" s="118" t="s">
        <v>30</v>
      </c>
      <c r="V279" s="57" t="s">
        <v>30</v>
      </c>
      <c r="W279" s="57" t="s">
        <v>30</v>
      </c>
      <c r="X279" s="34" t="s">
        <v>30</v>
      </c>
      <c r="Y279" s="137" t="str">
        <f t="shared" si="124"/>
        <v>NC</v>
      </c>
      <c r="Z279" s="57" t="str">
        <f t="shared" si="137"/>
        <v>NC</v>
      </c>
      <c r="AA279" s="57" t="str">
        <f t="shared" si="125"/>
        <v>NC</v>
      </c>
      <c r="AB279" s="57" t="str">
        <f t="shared" si="126"/>
        <v>NC</v>
      </c>
      <c r="AC279" s="57" t="str">
        <f t="shared" si="127"/>
        <v>NC</v>
      </c>
      <c r="AD279" s="57" t="str">
        <f t="shared" si="128"/>
        <v>NC</v>
      </c>
      <c r="AE279" s="57" t="str">
        <f t="shared" si="129"/>
        <v>NC</v>
      </c>
      <c r="AG279" s="123" t="str">
        <f t="shared" si="130"/>
        <v>NC</v>
      </c>
      <c r="AH279" s="123" t="str">
        <f t="shared" si="131"/>
        <v>NC</v>
      </c>
      <c r="AI279" s="123" t="str">
        <f t="shared" si="132"/>
        <v>NC</v>
      </c>
      <c r="AJ279" s="123" t="str">
        <f t="shared" si="133"/>
        <v>NC</v>
      </c>
      <c r="AK279" s="123" t="str">
        <f t="shared" si="134"/>
        <v>NC</v>
      </c>
      <c r="AL279" s="123" t="str">
        <f t="shared" si="135"/>
        <v>NC</v>
      </c>
      <c r="AM279" s="123" t="str">
        <f t="shared" si="136"/>
        <v>NC</v>
      </c>
      <c r="AN279" s="138"/>
      <c r="AO279" s="151" t="e">
        <f t="shared" si="138"/>
        <v>#DIV/0!</v>
      </c>
      <c r="AP279" s="152"/>
      <c r="AR279" s="141" t="s">
        <v>643</v>
      </c>
      <c r="AS279" s="141" t="s">
        <v>643</v>
      </c>
      <c r="AU279" s="143" t="s">
        <v>1169</v>
      </c>
      <c r="AV279" s="143" t="s">
        <v>1351</v>
      </c>
      <c r="AW279" s="143" t="s">
        <v>1469</v>
      </c>
    </row>
    <row r="280" spans="1:49" s="124" customFormat="1" ht="14.4" customHeight="1" x14ac:dyDescent="0.3">
      <c r="A280" s="121"/>
      <c r="B280" s="117"/>
      <c r="C280" s="121"/>
      <c r="D280" s="123"/>
      <c r="E280" s="123"/>
      <c r="F280" s="121"/>
      <c r="G280" s="120"/>
      <c r="H280" s="120"/>
      <c r="I280" s="120"/>
      <c r="J280" s="120" t="s">
        <v>30</v>
      </c>
      <c r="K280" s="145"/>
      <c r="L280" s="146"/>
      <c r="M280" s="154">
        <v>45200</v>
      </c>
      <c r="N280" s="133">
        <v>43952</v>
      </c>
      <c r="O280" s="148"/>
      <c r="P280" s="149" t="s">
        <v>596</v>
      </c>
      <c r="Q280" s="150">
        <v>4935</v>
      </c>
      <c r="R280" s="57" t="s">
        <v>30</v>
      </c>
      <c r="S280" s="57" t="s">
        <v>30</v>
      </c>
      <c r="T280" s="116" t="s">
        <v>30</v>
      </c>
      <c r="U280" s="118" t="s">
        <v>30</v>
      </c>
      <c r="V280" s="57" t="s">
        <v>30</v>
      </c>
      <c r="W280" s="57" t="s">
        <v>30</v>
      </c>
      <c r="X280" s="34" t="s">
        <v>30</v>
      </c>
      <c r="Y280" s="137" t="str">
        <f t="shared" si="124"/>
        <v>NC</v>
      </c>
      <c r="Z280" s="57" t="str">
        <f t="shared" si="137"/>
        <v>NC</v>
      </c>
      <c r="AA280" s="57" t="str">
        <f t="shared" si="125"/>
        <v>NC</v>
      </c>
      <c r="AB280" s="57" t="str">
        <f t="shared" si="126"/>
        <v>NC</v>
      </c>
      <c r="AC280" s="57" t="str">
        <f t="shared" si="127"/>
        <v>NC</v>
      </c>
      <c r="AD280" s="57" t="str">
        <f t="shared" si="128"/>
        <v>NC</v>
      </c>
      <c r="AE280" s="57" t="str">
        <f t="shared" si="129"/>
        <v>NC</v>
      </c>
      <c r="AG280" s="123" t="str">
        <f t="shared" si="130"/>
        <v>NC</v>
      </c>
      <c r="AH280" s="123" t="str">
        <f t="shared" si="131"/>
        <v>NC</v>
      </c>
      <c r="AI280" s="123" t="str">
        <f t="shared" si="132"/>
        <v>NC</v>
      </c>
      <c r="AJ280" s="123" t="str">
        <f t="shared" si="133"/>
        <v>NC</v>
      </c>
      <c r="AK280" s="123" t="str">
        <f t="shared" si="134"/>
        <v>NC</v>
      </c>
      <c r="AL280" s="123" t="str">
        <f t="shared" si="135"/>
        <v>NC</v>
      </c>
      <c r="AM280" s="123" t="str">
        <f t="shared" si="136"/>
        <v>NC</v>
      </c>
      <c r="AN280" s="138"/>
      <c r="AO280" s="151" t="e">
        <f t="shared" si="138"/>
        <v>#DIV/0!</v>
      </c>
      <c r="AP280" s="152"/>
      <c r="AR280" s="141" t="s">
        <v>643</v>
      </c>
      <c r="AS280" s="141" t="s">
        <v>643</v>
      </c>
      <c r="AT280" s="212"/>
      <c r="AU280" s="143" t="s">
        <v>1169</v>
      </c>
      <c r="AV280" s="143" t="s">
        <v>1352</v>
      </c>
      <c r="AW280" s="143" t="s">
        <v>1470</v>
      </c>
    </row>
    <row r="281" spans="1:49" s="124" customFormat="1" ht="14.4" customHeight="1" x14ac:dyDescent="0.3">
      <c r="A281" s="116"/>
      <c r="B281" s="117"/>
      <c r="C281" s="121"/>
      <c r="D281" s="116"/>
      <c r="E281" s="116"/>
      <c r="F281" s="117"/>
      <c r="G281" s="120"/>
      <c r="H281" s="120"/>
      <c r="I281" s="120"/>
      <c r="J281" s="120" t="s">
        <v>30</v>
      </c>
      <c r="K281" s="145"/>
      <c r="L281" s="120"/>
      <c r="M281" s="154"/>
      <c r="N281" s="162">
        <v>44075</v>
      </c>
      <c r="O281" s="116"/>
      <c r="P281" s="149" t="s">
        <v>596</v>
      </c>
      <c r="Q281" s="136">
        <v>5925</v>
      </c>
      <c r="R281" s="57" t="s">
        <v>30</v>
      </c>
      <c r="S281" s="57" t="s">
        <v>30</v>
      </c>
      <c r="T281" s="57" t="s">
        <v>30</v>
      </c>
      <c r="U281" s="34" t="s">
        <v>30</v>
      </c>
      <c r="V281" s="57" t="s">
        <v>30</v>
      </c>
      <c r="W281" s="57" t="s">
        <v>30</v>
      </c>
      <c r="X281" s="34" t="s">
        <v>30</v>
      </c>
      <c r="Y281" s="137" t="str">
        <f t="shared" si="124"/>
        <v>NC</v>
      </c>
      <c r="Z281" s="57" t="str">
        <f t="shared" si="137"/>
        <v>NC</v>
      </c>
      <c r="AA281" s="57" t="str">
        <f t="shared" si="125"/>
        <v>NC</v>
      </c>
      <c r="AB281" s="57" t="str">
        <f t="shared" si="126"/>
        <v>NC</v>
      </c>
      <c r="AC281" s="57" t="str">
        <f t="shared" si="127"/>
        <v>NC</v>
      </c>
      <c r="AD281" s="57" t="str">
        <f t="shared" si="128"/>
        <v>NC</v>
      </c>
      <c r="AE281" s="57" t="str">
        <f t="shared" si="129"/>
        <v>NC</v>
      </c>
      <c r="AF281" s="138"/>
      <c r="AG281" s="123" t="str">
        <f t="shared" si="130"/>
        <v>NC</v>
      </c>
      <c r="AH281" s="123" t="str">
        <f t="shared" si="131"/>
        <v>NC</v>
      </c>
      <c r="AI281" s="123" t="str">
        <f t="shared" si="132"/>
        <v>NC</v>
      </c>
      <c r="AJ281" s="123" t="str">
        <f t="shared" si="133"/>
        <v>NC</v>
      </c>
      <c r="AK281" s="123" t="str">
        <f t="shared" si="134"/>
        <v>NC</v>
      </c>
      <c r="AL281" s="123" t="str">
        <f t="shared" si="135"/>
        <v>NC</v>
      </c>
      <c r="AM281" s="123" t="str">
        <f t="shared" si="136"/>
        <v>NC</v>
      </c>
      <c r="AN281" s="138"/>
      <c r="AO281" s="151" t="e">
        <f t="shared" si="138"/>
        <v>#DIV/0!</v>
      </c>
      <c r="AP281" s="138"/>
      <c r="AQ281" s="138"/>
      <c r="AR281" s="141" t="s">
        <v>643</v>
      </c>
      <c r="AS281" s="141" t="s">
        <v>643</v>
      </c>
      <c r="AT281" s="138"/>
      <c r="AU281" s="143" t="s">
        <v>1169</v>
      </c>
      <c r="AV281" s="143" t="s">
        <v>1351</v>
      </c>
      <c r="AW281" s="143" t="s">
        <v>1469</v>
      </c>
    </row>
    <row r="282" spans="1:49" s="124" customFormat="1" ht="14.4" customHeight="1" x14ac:dyDescent="0.3">
      <c r="A282" s="121"/>
      <c r="B282" s="117"/>
      <c r="C282" s="121"/>
      <c r="D282" s="123"/>
      <c r="E282" s="123"/>
      <c r="F282" s="121"/>
      <c r="G282" s="120"/>
      <c r="H282" s="120"/>
      <c r="I282" s="120"/>
      <c r="J282" s="120" t="s">
        <v>30</v>
      </c>
      <c r="K282" s="145"/>
      <c r="L282" s="146"/>
      <c r="M282" s="154">
        <v>45200</v>
      </c>
      <c r="N282" s="133">
        <v>43983</v>
      </c>
      <c r="O282" s="148"/>
      <c r="P282" s="149" t="s">
        <v>596</v>
      </c>
      <c r="Q282" s="150">
        <v>5610</v>
      </c>
      <c r="R282" s="57" t="s">
        <v>30</v>
      </c>
      <c r="S282" s="57" t="s">
        <v>30</v>
      </c>
      <c r="T282" s="116" t="s">
        <v>30</v>
      </c>
      <c r="U282" s="118" t="s">
        <v>30</v>
      </c>
      <c r="V282" s="57" t="s">
        <v>30</v>
      </c>
      <c r="W282" s="57" t="s">
        <v>30</v>
      </c>
      <c r="X282" s="34" t="s">
        <v>30</v>
      </c>
      <c r="Y282" s="137" t="str">
        <f t="shared" si="124"/>
        <v>NC</v>
      </c>
      <c r="Z282" s="57" t="str">
        <f t="shared" si="137"/>
        <v>NC</v>
      </c>
      <c r="AA282" s="57" t="str">
        <f t="shared" si="125"/>
        <v>NC</v>
      </c>
      <c r="AB282" s="57" t="str">
        <f t="shared" si="126"/>
        <v>NC</v>
      </c>
      <c r="AC282" s="57" t="str">
        <f t="shared" si="127"/>
        <v>NC</v>
      </c>
      <c r="AD282" s="57" t="str">
        <f t="shared" si="128"/>
        <v>NC</v>
      </c>
      <c r="AE282" s="57" t="str">
        <f t="shared" si="129"/>
        <v>NC</v>
      </c>
      <c r="AG282" s="123" t="str">
        <f t="shared" si="130"/>
        <v>NC</v>
      </c>
      <c r="AH282" s="123" t="str">
        <f t="shared" si="131"/>
        <v>NC</v>
      </c>
      <c r="AI282" s="123" t="str">
        <f t="shared" si="132"/>
        <v>NC</v>
      </c>
      <c r="AJ282" s="123" t="str">
        <f t="shared" si="133"/>
        <v>NC</v>
      </c>
      <c r="AK282" s="123" t="str">
        <f t="shared" si="134"/>
        <v>NC</v>
      </c>
      <c r="AL282" s="123" t="str">
        <f t="shared" si="135"/>
        <v>NC</v>
      </c>
      <c r="AM282" s="123" t="str">
        <f t="shared" si="136"/>
        <v>NC</v>
      </c>
      <c r="AN282" s="138"/>
      <c r="AO282" s="151" t="e">
        <f t="shared" si="138"/>
        <v>#DIV/0!</v>
      </c>
      <c r="AP282" s="152"/>
      <c r="AR282" s="141" t="s">
        <v>643</v>
      </c>
      <c r="AS282" s="141" t="s">
        <v>643</v>
      </c>
      <c r="AT282" s="160"/>
      <c r="AU282" s="143" t="s">
        <v>1169</v>
      </c>
      <c r="AV282" s="143" t="s">
        <v>1353</v>
      </c>
      <c r="AW282" s="143" t="s">
        <v>1471</v>
      </c>
    </row>
    <row r="283" spans="1:49" s="124" customFormat="1" ht="14.4" customHeight="1" x14ac:dyDescent="0.3">
      <c r="A283" s="117"/>
      <c r="B283" s="117"/>
      <c r="C283" s="121"/>
      <c r="D283" s="116"/>
      <c r="E283" s="116"/>
      <c r="F283" s="121"/>
      <c r="G283" s="120"/>
      <c r="H283" s="120"/>
      <c r="I283" s="120"/>
      <c r="J283" s="120" t="s">
        <v>30</v>
      </c>
      <c r="K283" s="134"/>
      <c r="L283" s="131"/>
      <c r="M283" s="154"/>
      <c r="N283" s="133">
        <v>43952</v>
      </c>
      <c r="O283" s="134"/>
      <c r="P283" s="149" t="s">
        <v>596</v>
      </c>
      <c r="Q283" s="136">
        <v>6231</v>
      </c>
      <c r="R283" s="57" t="s">
        <v>30</v>
      </c>
      <c r="S283" s="57" t="s">
        <v>30</v>
      </c>
      <c r="T283" s="116" t="s">
        <v>30</v>
      </c>
      <c r="U283" s="118" t="s">
        <v>30</v>
      </c>
      <c r="V283" s="57" t="s">
        <v>30</v>
      </c>
      <c r="W283" s="57" t="s">
        <v>30</v>
      </c>
      <c r="X283" s="34" t="s">
        <v>30</v>
      </c>
      <c r="Y283" s="137" t="str">
        <f t="shared" si="124"/>
        <v>NC</v>
      </c>
      <c r="Z283" s="57" t="str">
        <f t="shared" si="137"/>
        <v>NC</v>
      </c>
      <c r="AA283" s="57" t="str">
        <f t="shared" si="125"/>
        <v>NC</v>
      </c>
      <c r="AB283" s="57" t="str">
        <f t="shared" si="126"/>
        <v>NC</v>
      </c>
      <c r="AC283" s="57" t="str">
        <f t="shared" si="127"/>
        <v>NC</v>
      </c>
      <c r="AD283" s="57" t="str">
        <f t="shared" si="128"/>
        <v>NC</v>
      </c>
      <c r="AE283" s="57" t="str">
        <f t="shared" si="129"/>
        <v>NC</v>
      </c>
      <c r="AG283" s="123" t="str">
        <f t="shared" si="130"/>
        <v>NC</v>
      </c>
      <c r="AH283" s="123" t="str">
        <f t="shared" si="131"/>
        <v>NC</v>
      </c>
      <c r="AI283" s="123" t="str">
        <f t="shared" si="132"/>
        <v>NC</v>
      </c>
      <c r="AJ283" s="123" t="str">
        <f t="shared" si="133"/>
        <v>NC</v>
      </c>
      <c r="AK283" s="123" t="str">
        <f t="shared" si="134"/>
        <v>NC</v>
      </c>
      <c r="AL283" s="123" t="str">
        <f t="shared" si="135"/>
        <v>NC</v>
      </c>
      <c r="AM283" s="123" t="str">
        <f t="shared" si="136"/>
        <v>NC</v>
      </c>
      <c r="AN283" s="138"/>
      <c r="AO283" s="151" t="e">
        <f t="shared" si="138"/>
        <v>#DIV/0!</v>
      </c>
      <c r="AP283" s="152"/>
      <c r="AR283" s="141" t="s">
        <v>643</v>
      </c>
      <c r="AS283" s="141" t="s">
        <v>643</v>
      </c>
      <c r="AT283" s="160"/>
      <c r="AU283" s="143" t="s">
        <v>1169</v>
      </c>
      <c r="AV283" s="143" t="s">
        <v>1353</v>
      </c>
      <c r="AW283" s="143" t="s">
        <v>1471</v>
      </c>
    </row>
    <row r="284" spans="1:49" s="138" customFormat="1" ht="14.4" customHeight="1" x14ac:dyDescent="0.3">
      <c r="A284" s="116"/>
      <c r="B284" s="117"/>
      <c r="C284" s="121"/>
      <c r="D284" s="116"/>
      <c r="E284" s="116"/>
      <c r="F284" s="250"/>
      <c r="G284" s="120"/>
      <c r="H284" s="120"/>
      <c r="I284" s="120"/>
      <c r="J284" s="120" t="s">
        <v>30</v>
      </c>
      <c r="K284" s="134"/>
      <c r="L284" s="120"/>
      <c r="M284" s="154"/>
      <c r="N284" s="133">
        <v>44105</v>
      </c>
      <c r="O284" s="116"/>
      <c r="P284" s="149" t="s">
        <v>596</v>
      </c>
      <c r="Q284" s="136">
        <v>4272</v>
      </c>
      <c r="R284" s="57" t="s">
        <v>30</v>
      </c>
      <c r="S284" s="57" t="s">
        <v>30</v>
      </c>
      <c r="T284" s="57" t="s">
        <v>30</v>
      </c>
      <c r="U284" s="34" t="s">
        <v>30</v>
      </c>
      <c r="V284" s="57" t="s">
        <v>30</v>
      </c>
      <c r="W284" s="57" t="s">
        <v>30</v>
      </c>
      <c r="X284" s="34" t="s">
        <v>30</v>
      </c>
      <c r="Y284" s="137" t="str">
        <f t="shared" si="124"/>
        <v>NC</v>
      </c>
      <c r="Z284" s="57" t="str">
        <f t="shared" si="137"/>
        <v>NC</v>
      </c>
      <c r="AA284" s="57" t="str">
        <f t="shared" si="125"/>
        <v>NC</v>
      </c>
      <c r="AB284" s="57" t="str">
        <f t="shared" si="126"/>
        <v>NC</v>
      </c>
      <c r="AC284" s="57" t="str">
        <f t="shared" si="127"/>
        <v>NC</v>
      </c>
      <c r="AD284" s="57" t="str">
        <f t="shared" si="128"/>
        <v>NC</v>
      </c>
      <c r="AE284" s="57" t="str">
        <f t="shared" si="129"/>
        <v>NC</v>
      </c>
      <c r="AG284" s="123" t="str">
        <f t="shared" si="130"/>
        <v>NC</v>
      </c>
      <c r="AH284" s="123" t="str">
        <f t="shared" si="131"/>
        <v>NC</v>
      </c>
      <c r="AI284" s="123" t="str">
        <f t="shared" si="132"/>
        <v>NC</v>
      </c>
      <c r="AJ284" s="123" t="str">
        <f t="shared" si="133"/>
        <v>NC</v>
      </c>
      <c r="AK284" s="123" t="str">
        <f t="shared" si="134"/>
        <v>NC</v>
      </c>
      <c r="AL284" s="123" t="str">
        <f t="shared" si="135"/>
        <v>NC</v>
      </c>
      <c r="AM284" s="123" t="str">
        <f t="shared" si="136"/>
        <v>NC</v>
      </c>
      <c r="AO284" s="151" t="e">
        <f t="shared" si="138"/>
        <v>#DIV/0!</v>
      </c>
      <c r="AR284" s="141" t="s">
        <v>643</v>
      </c>
      <c r="AS284" s="141" t="s">
        <v>643</v>
      </c>
      <c r="AU284" s="143" t="s">
        <v>1169</v>
      </c>
      <c r="AV284" s="143" t="s">
        <v>1353</v>
      </c>
      <c r="AW284" s="143" t="s">
        <v>1471</v>
      </c>
    </row>
    <row r="285" spans="1:49" s="138" customFormat="1" ht="14.4" customHeight="1" x14ac:dyDescent="0.3">
      <c r="A285" s="121"/>
      <c r="B285" s="117"/>
      <c r="C285" s="121"/>
      <c r="D285" s="123"/>
      <c r="E285" s="123"/>
      <c r="F285" s="121"/>
      <c r="G285" s="120"/>
      <c r="H285" s="120"/>
      <c r="I285" s="120"/>
      <c r="J285" s="120" t="s">
        <v>30</v>
      </c>
      <c r="K285" s="145"/>
      <c r="L285" s="146"/>
      <c r="M285" s="154">
        <v>45200</v>
      </c>
      <c r="N285" s="133">
        <v>43952</v>
      </c>
      <c r="O285" s="148"/>
      <c r="P285" s="149" t="s">
        <v>596</v>
      </c>
      <c r="Q285" s="150">
        <v>4840</v>
      </c>
      <c r="R285" s="57" t="s">
        <v>30</v>
      </c>
      <c r="S285" s="57" t="s">
        <v>30</v>
      </c>
      <c r="T285" s="116" t="s">
        <v>30</v>
      </c>
      <c r="U285" s="118" t="s">
        <v>30</v>
      </c>
      <c r="V285" s="57" t="s">
        <v>30</v>
      </c>
      <c r="W285" s="57" t="s">
        <v>30</v>
      </c>
      <c r="X285" s="34" t="s">
        <v>30</v>
      </c>
      <c r="Y285" s="137" t="str">
        <f t="shared" si="124"/>
        <v>NC</v>
      </c>
      <c r="Z285" s="57" t="str">
        <f t="shared" si="137"/>
        <v>NC</v>
      </c>
      <c r="AA285" s="57" t="str">
        <f t="shared" si="125"/>
        <v>NC</v>
      </c>
      <c r="AB285" s="57" t="str">
        <f t="shared" si="126"/>
        <v>NC</v>
      </c>
      <c r="AC285" s="57" t="str">
        <f t="shared" si="127"/>
        <v>NC</v>
      </c>
      <c r="AD285" s="57" t="str">
        <f t="shared" si="128"/>
        <v>NC</v>
      </c>
      <c r="AE285" s="57" t="str">
        <f t="shared" si="129"/>
        <v>NC</v>
      </c>
      <c r="AF285" s="124"/>
      <c r="AG285" s="123" t="str">
        <f t="shared" si="130"/>
        <v>NC</v>
      </c>
      <c r="AH285" s="123" t="str">
        <f t="shared" si="131"/>
        <v>NC</v>
      </c>
      <c r="AI285" s="123" t="str">
        <f t="shared" si="132"/>
        <v>NC</v>
      </c>
      <c r="AJ285" s="123" t="str">
        <f t="shared" si="133"/>
        <v>NC</v>
      </c>
      <c r="AK285" s="123" t="str">
        <f t="shared" si="134"/>
        <v>NC</v>
      </c>
      <c r="AL285" s="123" t="str">
        <f t="shared" si="135"/>
        <v>NC</v>
      </c>
      <c r="AM285" s="123" t="str">
        <f t="shared" si="136"/>
        <v>NC</v>
      </c>
      <c r="AO285" s="151" t="e">
        <f t="shared" si="138"/>
        <v>#DIV/0!</v>
      </c>
      <c r="AP285" s="152"/>
      <c r="AQ285" s="124"/>
      <c r="AR285" s="141" t="s">
        <v>643</v>
      </c>
      <c r="AS285" s="141" t="s">
        <v>643</v>
      </c>
      <c r="AT285" s="160"/>
      <c r="AU285" s="143" t="s">
        <v>1169</v>
      </c>
      <c r="AV285" s="143" t="s">
        <v>1354</v>
      </c>
      <c r="AW285" s="143" t="s">
        <v>1472</v>
      </c>
    </row>
    <row r="286" spans="1:49" s="124" customFormat="1" ht="14.4" customHeight="1" x14ac:dyDescent="0.3">
      <c r="A286" s="117"/>
      <c r="B286" s="117"/>
      <c r="C286" s="121"/>
      <c r="D286" s="116"/>
      <c r="E286" s="116"/>
      <c r="F286" s="121"/>
      <c r="G286" s="120"/>
      <c r="H286" s="120"/>
      <c r="I286" s="120"/>
      <c r="J286" s="120" t="s">
        <v>30</v>
      </c>
      <c r="K286" s="134"/>
      <c r="L286" s="131"/>
      <c r="M286" s="154">
        <v>44866</v>
      </c>
      <c r="N286" s="133">
        <v>44105</v>
      </c>
      <c r="O286" s="134"/>
      <c r="P286" s="149" t="s">
        <v>596</v>
      </c>
      <c r="Q286" s="136">
        <v>2061</v>
      </c>
      <c r="R286" s="57" t="s">
        <v>30</v>
      </c>
      <c r="S286" s="57" t="s">
        <v>30</v>
      </c>
      <c r="T286" s="116" t="s">
        <v>30</v>
      </c>
      <c r="U286" s="118" t="s">
        <v>30</v>
      </c>
      <c r="V286" s="57" t="s">
        <v>30</v>
      </c>
      <c r="W286" s="57" t="s">
        <v>30</v>
      </c>
      <c r="X286" s="34" t="s">
        <v>30</v>
      </c>
      <c r="Y286" s="137" t="str">
        <f t="shared" ref="Y286:Y317" si="139">IF(R286="NC","NC",IF(R286="","erreur",R286+365))</f>
        <v>NC</v>
      </c>
      <c r="Z286" s="57" t="str">
        <f t="shared" si="137"/>
        <v>NC</v>
      </c>
      <c r="AA286" s="57" t="str">
        <f t="shared" ref="AA286:AA317" si="140">IF(T286="NC","NC",IF(T286="","erreur",T286+365))</f>
        <v>NC</v>
      </c>
      <c r="AB286" s="57" t="str">
        <f t="shared" ref="AB286:AB317" si="141">IF(U286="NC","NC",IF(U286="","erreur",U286+3650))</f>
        <v>NC</v>
      </c>
      <c r="AC286" s="57" t="str">
        <f t="shared" ref="AC286:AC317" si="142">IF(V286="NC","NC",IF(V286="","erreur",V286+365))</f>
        <v>NC</v>
      </c>
      <c r="AD286" s="57" t="str">
        <f t="shared" ref="AD286:AD317" si="143">IF(W286="NC","NC",IF(W286="","erreur",W286+365))</f>
        <v>NC</v>
      </c>
      <c r="AE286" s="57" t="str">
        <f t="shared" ref="AE286:AE317" si="144">IF(X286="NC","NC",IF(X286="","erreur",X286+730))</f>
        <v>NC</v>
      </c>
      <c r="AG286" s="123" t="str">
        <f t="shared" ref="AG286:AG317" si="145">IF(Y286="NC","NC",IF(Y286="erreur","erreur",Y286-$F$3))</f>
        <v>NC</v>
      </c>
      <c r="AH286" s="123" t="str">
        <f t="shared" ref="AH286:AH317" si="146">IF(Z286="NC","NC",IF(Z286="erreur","erreur",Z286-$F$3))</f>
        <v>NC</v>
      </c>
      <c r="AI286" s="123" t="str">
        <f t="shared" ref="AI286:AI317" si="147">IF(AA286="NC","NC",IF(AA286="erreur","erreur",AA286-$F$3))</f>
        <v>NC</v>
      </c>
      <c r="AJ286" s="123" t="str">
        <f t="shared" ref="AJ286:AJ317" si="148">IF(AB286="NC","NC",IF(AB286="erreur","erreur",AB286-$F$3))</f>
        <v>NC</v>
      </c>
      <c r="AK286" s="123" t="str">
        <f t="shared" ref="AK286:AK317" si="149">IF(AC286="NC","NC",IF(AC286="erreur","erreur",AC286-$F$3))</f>
        <v>NC</v>
      </c>
      <c r="AL286" s="123" t="str">
        <f t="shared" ref="AL286:AL317" si="150">IF(AD286="NC","NC",IF(AD286="erreur","erreur",AD286-$F$3))</f>
        <v>NC</v>
      </c>
      <c r="AM286" s="123" t="str">
        <f t="shared" ref="AM286:AM317" si="151">IF(AE286="NC","NC",IF(AE286="erreur","erreur",AE286-$F$3))</f>
        <v>NC</v>
      </c>
      <c r="AN286" s="138"/>
      <c r="AO286" s="151" t="e">
        <f t="shared" si="138"/>
        <v>#DIV/0!</v>
      </c>
      <c r="AP286" s="152"/>
      <c r="AR286" s="141" t="s">
        <v>643</v>
      </c>
      <c r="AS286" s="141" t="s">
        <v>643</v>
      </c>
      <c r="AT286" s="160"/>
      <c r="AU286" s="143" t="s">
        <v>1169</v>
      </c>
      <c r="AV286" s="143" t="s">
        <v>1355</v>
      </c>
      <c r="AW286" s="143" t="s">
        <v>1473</v>
      </c>
    </row>
    <row r="287" spans="1:49" s="124" customFormat="1" ht="14.4" customHeight="1" x14ac:dyDescent="0.3">
      <c r="A287" s="121"/>
      <c r="B287" s="117"/>
      <c r="C287" s="121"/>
      <c r="D287" s="123"/>
      <c r="E287" s="123"/>
      <c r="F287" s="121"/>
      <c r="G287" s="120"/>
      <c r="H287" s="120"/>
      <c r="I287" s="120"/>
      <c r="J287" s="120" t="s">
        <v>30</v>
      </c>
      <c r="K287" s="145"/>
      <c r="L287" s="146"/>
      <c r="M287" s="154"/>
      <c r="N287" s="133"/>
      <c r="O287" s="148"/>
      <c r="P287" s="149" t="s">
        <v>596</v>
      </c>
      <c r="Q287" s="150"/>
      <c r="R287" s="57" t="s">
        <v>30</v>
      </c>
      <c r="S287" s="57" t="s">
        <v>30</v>
      </c>
      <c r="T287" s="116" t="s">
        <v>30</v>
      </c>
      <c r="U287" s="118" t="s">
        <v>30</v>
      </c>
      <c r="V287" s="57" t="s">
        <v>30</v>
      </c>
      <c r="W287" s="57" t="s">
        <v>30</v>
      </c>
      <c r="X287" s="34" t="s">
        <v>30</v>
      </c>
      <c r="Y287" s="137" t="str">
        <f t="shared" si="139"/>
        <v>NC</v>
      </c>
      <c r="Z287" s="57" t="str">
        <f t="shared" si="137"/>
        <v>NC</v>
      </c>
      <c r="AA287" s="57" t="str">
        <f t="shared" si="140"/>
        <v>NC</v>
      </c>
      <c r="AB287" s="57" t="str">
        <f t="shared" si="141"/>
        <v>NC</v>
      </c>
      <c r="AC287" s="57" t="str">
        <f t="shared" si="142"/>
        <v>NC</v>
      </c>
      <c r="AD287" s="57" t="str">
        <f t="shared" si="143"/>
        <v>NC</v>
      </c>
      <c r="AE287" s="57" t="str">
        <f t="shared" si="144"/>
        <v>NC</v>
      </c>
      <c r="AG287" s="123" t="str">
        <f t="shared" si="145"/>
        <v>NC</v>
      </c>
      <c r="AH287" s="123" t="str">
        <f t="shared" si="146"/>
        <v>NC</v>
      </c>
      <c r="AI287" s="123" t="str">
        <f t="shared" si="147"/>
        <v>NC</v>
      </c>
      <c r="AJ287" s="123" t="str">
        <f t="shared" si="148"/>
        <v>NC</v>
      </c>
      <c r="AK287" s="123" t="str">
        <f t="shared" si="149"/>
        <v>NC</v>
      </c>
      <c r="AL287" s="123" t="str">
        <f t="shared" si="150"/>
        <v>NC</v>
      </c>
      <c r="AM287" s="123" t="str">
        <f t="shared" si="151"/>
        <v>NC</v>
      </c>
      <c r="AN287" s="138"/>
      <c r="AO287" s="151" t="e">
        <f t="shared" si="138"/>
        <v>#DIV/0!</v>
      </c>
      <c r="AP287" s="152"/>
      <c r="AR287" s="141" t="s">
        <v>643</v>
      </c>
      <c r="AS287" s="141" t="s">
        <v>643</v>
      </c>
      <c r="AU287" s="143" t="s">
        <v>1356</v>
      </c>
      <c r="AV287" s="143" t="s">
        <v>959</v>
      </c>
      <c r="AW287" s="143" t="s">
        <v>960</v>
      </c>
    </row>
    <row r="288" spans="1:49" s="124" customFormat="1" ht="14.4" customHeight="1" x14ac:dyDescent="0.3">
      <c r="A288" s="121"/>
      <c r="B288" s="117"/>
      <c r="C288" s="121"/>
      <c r="D288" s="123"/>
      <c r="E288" s="123"/>
      <c r="F288" s="121"/>
      <c r="G288" s="120"/>
      <c r="H288" s="120"/>
      <c r="I288" s="120"/>
      <c r="J288" s="120" t="s">
        <v>30</v>
      </c>
      <c r="K288" s="145"/>
      <c r="L288" s="146"/>
      <c r="M288" s="154"/>
      <c r="N288" s="133"/>
      <c r="O288" s="148"/>
      <c r="P288" s="149" t="s">
        <v>596</v>
      </c>
      <c r="Q288" s="150"/>
      <c r="R288" s="57" t="s">
        <v>30</v>
      </c>
      <c r="S288" s="57" t="s">
        <v>30</v>
      </c>
      <c r="T288" s="116" t="s">
        <v>30</v>
      </c>
      <c r="U288" s="118" t="s">
        <v>30</v>
      </c>
      <c r="V288" s="57" t="s">
        <v>30</v>
      </c>
      <c r="W288" s="57" t="s">
        <v>30</v>
      </c>
      <c r="X288" s="34" t="s">
        <v>30</v>
      </c>
      <c r="Y288" s="137" t="str">
        <f t="shared" si="139"/>
        <v>NC</v>
      </c>
      <c r="Z288" s="57" t="str">
        <f t="shared" si="137"/>
        <v>NC</v>
      </c>
      <c r="AA288" s="57" t="str">
        <f t="shared" si="140"/>
        <v>NC</v>
      </c>
      <c r="AB288" s="57" t="str">
        <f t="shared" si="141"/>
        <v>NC</v>
      </c>
      <c r="AC288" s="57" t="str">
        <f t="shared" si="142"/>
        <v>NC</v>
      </c>
      <c r="AD288" s="57" t="str">
        <f t="shared" si="143"/>
        <v>NC</v>
      </c>
      <c r="AE288" s="57" t="str">
        <f t="shared" si="144"/>
        <v>NC</v>
      </c>
      <c r="AG288" s="123" t="str">
        <f t="shared" si="145"/>
        <v>NC</v>
      </c>
      <c r="AH288" s="123" t="str">
        <f t="shared" si="146"/>
        <v>NC</v>
      </c>
      <c r="AI288" s="123" t="str">
        <f t="shared" si="147"/>
        <v>NC</v>
      </c>
      <c r="AJ288" s="123" t="str">
        <f t="shared" si="148"/>
        <v>NC</v>
      </c>
      <c r="AK288" s="123" t="str">
        <f t="shared" si="149"/>
        <v>NC</v>
      </c>
      <c r="AL288" s="123" t="str">
        <f t="shared" si="150"/>
        <v>NC</v>
      </c>
      <c r="AM288" s="123" t="str">
        <f t="shared" si="151"/>
        <v>NC</v>
      </c>
      <c r="AN288" s="138"/>
      <c r="AO288" s="151" t="e">
        <f t="shared" si="138"/>
        <v>#DIV/0!</v>
      </c>
      <c r="AP288" s="152"/>
      <c r="AR288" s="141" t="s">
        <v>643</v>
      </c>
      <c r="AS288" s="141" t="s">
        <v>643</v>
      </c>
      <c r="AU288" s="143" t="s">
        <v>1356</v>
      </c>
      <c r="AV288" s="143" t="s">
        <v>959</v>
      </c>
      <c r="AW288" s="143" t="s">
        <v>960</v>
      </c>
    </row>
    <row r="289" spans="1:49" s="124" customFormat="1" ht="14.4" customHeight="1" x14ac:dyDescent="0.3">
      <c r="A289" s="121"/>
      <c r="B289" s="117"/>
      <c r="C289" s="121"/>
      <c r="D289" s="123"/>
      <c r="E289" s="123"/>
      <c r="F289" s="121"/>
      <c r="G289" s="120"/>
      <c r="H289" s="120"/>
      <c r="I289" s="120"/>
      <c r="J289" s="120" t="s">
        <v>30</v>
      </c>
      <c r="K289" s="145"/>
      <c r="L289" s="146"/>
      <c r="M289" s="147" t="s">
        <v>609</v>
      </c>
      <c r="N289" s="133">
        <v>43952</v>
      </c>
      <c r="O289" s="148"/>
      <c r="P289" s="149" t="s">
        <v>596</v>
      </c>
      <c r="Q289" s="150">
        <v>11315</v>
      </c>
      <c r="R289" s="57" t="s">
        <v>30</v>
      </c>
      <c r="S289" s="57" t="s">
        <v>30</v>
      </c>
      <c r="T289" s="116" t="s">
        <v>30</v>
      </c>
      <c r="U289" s="118" t="s">
        <v>30</v>
      </c>
      <c r="V289" s="57" t="s">
        <v>30</v>
      </c>
      <c r="W289" s="57" t="s">
        <v>30</v>
      </c>
      <c r="X289" s="34" t="s">
        <v>30</v>
      </c>
      <c r="Y289" s="137" t="str">
        <f t="shared" si="139"/>
        <v>NC</v>
      </c>
      <c r="Z289" s="57" t="str">
        <f t="shared" si="137"/>
        <v>NC</v>
      </c>
      <c r="AA289" s="57" t="str">
        <f t="shared" si="140"/>
        <v>NC</v>
      </c>
      <c r="AB289" s="57" t="str">
        <f t="shared" si="141"/>
        <v>NC</v>
      </c>
      <c r="AC289" s="57" t="str">
        <f t="shared" si="142"/>
        <v>NC</v>
      </c>
      <c r="AD289" s="57" t="str">
        <f t="shared" si="143"/>
        <v>NC</v>
      </c>
      <c r="AE289" s="57" t="str">
        <f t="shared" si="144"/>
        <v>NC</v>
      </c>
      <c r="AG289" s="123" t="str">
        <f t="shared" si="145"/>
        <v>NC</v>
      </c>
      <c r="AH289" s="123" t="str">
        <f t="shared" si="146"/>
        <v>NC</v>
      </c>
      <c r="AI289" s="123" t="str">
        <f t="shared" si="147"/>
        <v>NC</v>
      </c>
      <c r="AJ289" s="123" t="str">
        <f t="shared" si="148"/>
        <v>NC</v>
      </c>
      <c r="AK289" s="123" t="str">
        <f t="shared" si="149"/>
        <v>NC</v>
      </c>
      <c r="AL289" s="123" t="str">
        <f t="shared" si="150"/>
        <v>NC</v>
      </c>
      <c r="AM289" s="123" t="str">
        <f t="shared" si="151"/>
        <v>NC</v>
      </c>
      <c r="AN289" s="138"/>
      <c r="AO289" s="151" t="e">
        <f t="shared" si="138"/>
        <v>#DIV/0!</v>
      </c>
      <c r="AP289" s="152"/>
      <c r="AR289" s="141" t="s">
        <v>643</v>
      </c>
      <c r="AS289" s="141" t="s">
        <v>643</v>
      </c>
      <c r="AU289" s="143" t="s">
        <v>1169</v>
      </c>
      <c r="AV289" s="143" t="s">
        <v>1357</v>
      </c>
      <c r="AW289" s="143" t="s">
        <v>1358</v>
      </c>
    </row>
    <row r="290" spans="1:49" s="138" customFormat="1" ht="14.4" customHeight="1" x14ac:dyDescent="0.3">
      <c r="A290" s="121"/>
      <c r="B290" s="117"/>
      <c r="C290" s="121"/>
      <c r="D290" s="123"/>
      <c r="E290" s="123"/>
      <c r="F290" s="121"/>
      <c r="G290" s="120"/>
      <c r="H290" s="120"/>
      <c r="I290" s="120"/>
      <c r="J290" s="120" t="s">
        <v>30</v>
      </c>
      <c r="K290" s="145"/>
      <c r="L290" s="146"/>
      <c r="M290" s="154">
        <v>43739</v>
      </c>
      <c r="N290" s="133">
        <v>43983</v>
      </c>
      <c r="O290" s="148"/>
      <c r="P290" s="149" t="s">
        <v>596</v>
      </c>
      <c r="Q290" s="150"/>
      <c r="R290" s="57" t="s">
        <v>30</v>
      </c>
      <c r="S290" s="57" t="s">
        <v>30</v>
      </c>
      <c r="T290" s="116" t="s">
        <v>30</v>
      </c>
      <c r="U290" s="118" t="s">
        <v>30</v>
      </c>
      <c r="V290" s="57" t="s">
        <v>30</v>
      </c>
      <c r="W290" s="57" t="s">
        <v>30</v>
      </c>
      <c r="X290" s="34" t="s">
        <v>30</v>
      </c>
      <c r="Y290" s="137" t="str">
        <f t="shared" si="139"/>
        <v>NC</v>
      </c>
      <c r="Z290" s="57" t="str">
        <f t="shared" si="137"/>
        <v>NC</v>
      </c>
      <c r="AA290" s="57" t="str">
        <f t="shared" si="140"/>
        <v>NC</v>
      </c>
      <c r="AB290" s="57" t="str">
        <f t="shared" si="141"/>
        <v>NC</v>
      </c>
      <c r="AC290" s="57" t="str">
        <f t="shared" si="142"/>
        <v>NC</v>
      </c>
      <c r="AD290" s="57" t="str">
        <f t="shared" si="143"/>
        <v>NC</v>
      </c>
      <c r="AE290" s="57" t="str">
        <f t="shared" si="144"/>
        <v>NC</v>
      </c>
      <c r="AF290" s="124"/>
      <c r="AG290" s="123" t="str">
        <f t="shared" si="145"/>
        <v>NC</v>
      </c>
      <c r="AH290" s="123" t="str">
        <f t="shared" si="146"/>
        <v>NC</v>
      </c>
      <c r="AI290" s="123" t="str">
        <f t="shared" si="147"/>
        <v>NC</v>
      </c>
      <c r="AJ290" s="123" t="str">
        <f t="shared" si="148"/>
        <v>NC</v>
      </c>
      <c r="AK290" s="123" t="str">
        <f t="shared" si="149"/>
        <v>NC</v>
      </c>
      <c r="AL290" s="123" t="str">
        <f t="shared" si="150"/>
        <v>NC</v>
      </c>
      <c r="AM290" s="123" t="str">
        <f t="shared" si="151"/>
        <v>NC</v>
      </c>
      <c r="AO290" s="151" t="e">
        <f t="shared" si="138"/>
        <v>#DIV/0!</v>
      </c>
      <c r="AP290" s="152"/>
      <c r="AQ290" s="124"/>
      <c r="AR290" s="141" t="s">
        <v>643</v>
      </c>
      <c r="AS290" s="141" t="s">
        <v>643</v>
      </c>
      <c r="AT290" s="124"/>
      <c r="AU290" s="143" t="s">
        <v>1359</v>
      </c>
      <c r="AV290" s="143" t="s">
        <v>1360</v>
      </c>
      <c r="AW290" s="143" t="s">
        <v>1361</v>
      </c>
    </row>
    <row r="291" spans="1:49" s="138" customFormat="1" ht="14.4" customHeight="1" x14ac:dyDescent="0.3">
      <c r="A291" s="121"/>
      <c r="B291" s="117"/>
      <c r="C291" s="121"/>
      <c r="D291" s="123"/>
      <c r="E291" s="123"/>
      <c r="F291" s="121"/>
      <c r="G291" s="120"/>
      <c r="H291" s="120"/>
      <c r="I291" s="120"/>
      <c r="J291" s="120" t="s">
        <v>30</v>
      </c>
      <c r="K291" s="145"/>
      <c r="L291" s="146"/>
      <c r="M291" s="154">
        <v>43739</v>
      </c>
      <c r="N291" s="133">
        <v>43983</v>
      </c>
      <c r="O291" s="148"/>
      <c r="P291" s="149" t="s">
        <v>596</v>
      </c>
      <c r="Q291" s="150"/>
      <c r="R291" s="57" t="s">
        <v>30</v>
      </c>
      <c r="S291" s="57" t="s">
        <v>30</v>
      </c>
      <c r="T291" s="116" t="s">
        <v>30</v>
      </c>
      <c r="U291" s="118" t="s">
        <v>30</v>
      </c>
      <c r="V291" s="57" t="s">
        <v>30</v>
      </c>
      <c r="W291" s="57" t="s">
        <v>30</v>
      </c>
      <c r="X291" s="34" t="s">
        <v>30</v>
      </c>
      <c r="Y291" s="137" t="str">
        <f t="shared" si="139"/>
        <v>NC</v>
      </c>
      <c r="Z291" s="57" t="str">
        <f t="shared" si="137"/>
        <v>NC</v>
      </c>
      <c r="AA291" s="57" t="str">
        <f t="shared" si="140"/>
        <v>NC</v>
      </c>
      <c r="AB291" s="57" t="str">
        <f t="shared" si="141"/>
        <v>NC</v>
      </c>
      <c r="AC291" s="57" t="str">
        <f t="shared" si="142"/>
        <v>NC</v>
      </c>
      <c r="AD291" s="57" t="str">
        <f t="shared" si="143"/>
        <v>NC</v>
      </c>
      <c r="AE291" s="57" t="str">
        <f t="shared" si="144"/>
        <v>NC</v>
      </c>
      <c r="AF291" s="124"/>
      <c r="AG291" s="123" t="str">
        <f t="shared" si="145"/>
        <v>NC</v>
      </c>
      <c r="AH291" s="123" t="str">
        <f t="shared" si="146"/>
        <v>NC</v>
      </c>
      <c r="AI291" s="123" t="str">
        <f t="shared" si="147"/>
        <v>NC</v>
      </c>
      <c r="AJ291" s="123" t="str">
        <f t="shared" si="148"/>
        <v>NC</v>
      </c>
      <c r="AK291" s="123" t="str">
        <f t="shared" si="149"/>
        <v>NC</v>
      </c>
      <c r="AL291" s="123" t="str">
        <f t="shared" si="150"/>
        <v>NC</v>
      </c>
      <c r="AM291" s="123" t="str">
        <f t="shared" si="151"/>
        <v>NC</v>
      </c>
      <c r="AO291" s="151" t="e">
        <f t="shared" si="138"/>
        <v>#DIV/0!</v>
      </c>
      <c r="AP291" s="152"/>
      <c r="AQ291" s="124"/>
      <c r="AR291" s="141" t="s">
        <v>643</v>
      </c>
      <c r="AS291" s="141" t="s">
        <v>643</v>
      </c>
      <c r="AT291" s="124"/>
      <c r="AU291" s="143" t="s">
        <v>1359</v>
      </c>
      <c r="AV291" s="143" t="s">
        <v>1360</v>
      </c>
      <c r="AW291" s="143" t="s">
        <v>1361</v>
      </c>
    </row>
    <row r="292" spans="1:49" s="138" customFormat="1" ht="14.4" customHeight="1" x14ac:dyDescent="0.3">
      <c r="A292" s="121"/>
      <c r="B292" s="117"/>
      <c r="C292" s="121"/>
      <c r="D292" s="123"/>
      <c r="E292" s="123"/>
      <c r="F292" s="121"/>
      <c r="G292" s="120"/>
      <c r="H292" s="120"/>
      <c r="I292" s="120"/>
      <c r="J292" s="120" t="s">
        <v>30</v>
      </c>
      <c r="K292" s="145"/>
      <c r="L292" s="146"/>
      <c r="M292" s="154">
        <v>43739</v>
      </c>
      <c r="N292" s="133">
        <v>43983</v>
      </c>
      <c r="O292" s="148"/>
      <c r="P292" s="149" t="s">
        <v>596</v>
      </c>
      <c r="Q292" s="150"/>
      <c r="R292" s="57" t="s">
        <v>30</v>
      </c>
      <c r="S292" s="57" t="s">
        <v>30</v>
      </c>
      <c r="T292" s="116" t="s">
        <v>30</v>
      </c>
      <c r="U292" s="118" t="s">
        <v>30</v>
      </c>
      <c r="V292" s="57" t="s">
        <v>30</v>
      </c>
      <c r="W292" s="57" t="s">
        <v>30</v>
      </c>
      <c r="X292" s="34" t="s">
        <v>30</v>
      </c>
      <c r="Y292" s="137" t="str">
        <f t="shared" si="139"/>
        <v>NC</v>
      </c>
      <c r="Z292" s="57" t="str">
        <f t="shared" si="137"/>
        <v>NC</v>
      </c>
      <c r="AA292" s="57" t="str">
        <f t="shared" si="140"/>
        <v>NC</v>
      </c>
      <c r="AB292" s="57" t="str">
        <f t="shared" si="141"/>
        <v>NC</v>
      </c>
      <c r="AC292" s="57" t="str">
        <f t="shared" si="142"/>
        <v>NC</v>
      </c>
      <c r="AD292" s="57" t="str">
        <f t="shared" si="143"/>
        <v>NC</v>
      </c>
      <c r="AE292" s="57" t="str">
        <f t="shared" si="144"/>
        <v>NC</v>
      </c>
      <c r="AF292" s="124"/>
      <c r="AG292" s="123" t="str">
        <f t="shared" si="145"/>
        <v>NC</v>
      </c>
      <c r="AH292" s="123" t="str">
        <f t="shared" si="146"/>
        <v>NC</v>
      </c>
      <c r="AI292" s="123" t="str">
        <f t="shared" si="147"/>
        <v>NC</v>
      </c>
      <c r="AJ292" s="123" t="str">
        <f t="shared" si="148"/>
        <v>NC</v>
      </c>
      <c r="AK292" s="123" t="str">
        <f t="shared" si="149"/>
        <v>NC</v>
      </c>
      <c r="AL292" s="123" t="str">
        <f t="shared" si="150"/>
        <v>NC</v>
      </c>
      <c r="AM292" s="123" t="str">
        <f t="shared" si="151"/>
        <v>NC</v>
      </c>
      <c r="AO292" s="151" t="e">
        <f t="shared" si="138"/>
        <v>#DIV/0!</v>
      </c>
      <c r="AP292" s="152"/>
      <c r="AQ292" s="124"/>
      <c r="AR292" s="141" t="s">
        <v>643</v>
      </c>
      <c r="AS292" s="141" t="s">
        <v>643</v>
      </c>
      <c r="AT292" s="124" t="s">
        <v>580</v>
      </c>
      <c r="AU292" s="143" t="s">
        <v>1359</v>
      </c>
      <c r="AV292" s="143" t="s">
        <v>1360</v>
      </c>
      <c r="AW292" s="143" t="s">
        <v>1361</v>
      </c>
    </row>
    <row r="293" spans="1:49" s="138" customFormat="1" ht="14.4" customHeight="1" x14ac:dyDescent="0.3">
      <c r="A293" s="121"/>
      <c r="B293" s="117"/>
      <c r="C293" s="121"/>
      <c r="D293" s="123"/>
      <c r="E293" s="123"/>
      <c r="F293" s="121"/>
      <c r="G293" s="120"/>
      <c r="H293" s="120"/>
      <c r="I293" s="120"/>
      <c r="J293" s="120" t="s">
        <v>30</v>
      </c>
      <c r="K293" s="145"/>
      <c r="L293" s="146"/>
      <c r="M293" s="154">
        <v>43739</v>
      </c>
      <c r="N293" s="133">
        <v>43983</v>
      </c>
      <c r="O293" s="148"/>
      <c r="P293" s="149" t="s">
        <v>596</v>
      </c>
      <c r="Q293" s="150"/>
      <c r="R293" s="57" t="s">
        <v>30</v>
      </c>
      <c r="S293" s="57" t="s">
        <v>30</v>
      </c>
      <c r="T293" s="116" t="s">
        <v>30</v>
      </c>
      <c r="U293" s="118" t="s">
        <v>30</v>
      </c>
      <c r="V293" s="57" t="s">
        <v>30</v>
      </c>
      <c r="W293" s="57" t="s">
        <v>30</v>
      </c>
      <c r="X293" s="34" t="s">
        <v>30</v>
      </c>
      <c r="Y293" s="137" t="str">
        <f t="shared" si="139"/>
        <v>NC</v>
      </c>
      <c r="Z293" s="57" t="str">
        <f t="shared" si="137"/>
        <v>NC</v>
      </c>
      <c r="AA293" s="57" t="str">
        <f t="shared" si="140"/>
        <v>NC</v>
      </c>
      <c r="AB293" s="57" t="str">
        <f t="shared" si="141"/>
        <v>NC</v>
      </c>
      <c r="AC293" s="57" t="str">
        <f t="shared" si="142"/>
        <v>NC</v>
      </c>
      <c r="AD293" s="57" t="str">
        <f t="shared" si="143"/>
        <v>NC</v>
      </c>
      <c r="AE293" s="57" t="str">
        <f t="shared" si="144"/>
        <v>NC</v>
      </c>
      <c r="AF293" s="124"/>
      <c r="AG293" s="123" t="str">
        <f t="shared" si="145"/>
        <v>NC</v>
      </c>
      <c r="AH293" s="123" t="str">
        <f t="shared" si="146"/>
        <v>NC</v>
      </c>
      <c r="AI293" s="123" t="str">
        <f t="shared" si="147"/>
        <v>NC</v>
      </c>
      <c r="AJ293" s="123" t="str">
        <f t="shared" si="148"/>
        <v>NC</v>
      </c>
      <c r="AK293" s="123" t="str">
        <f t="shared" si="149"/>
        <v>NC</v>
      </c>
      <c r="AL293" s="123" t="str">
        <f t="shared" si="150"/>
        <v>NC</v>
      </c>
      <c r="AM293" s="123" t="str">
        <f t="shared" si="151"/>
        <v>NC</v>
      </c>
      <c r="AO293" s="151" t="e">
        <f t="shared" si="138"/>
        <v>#DIV/0!</v>
      </c>
      <c r="AP293" s="152"/>
      <c r="AQ293" s="124"/>
      <c r="AR293" s="141" t="s">
        <v>643</v>
      </c>
      <c r="AS293" s="141" t="s">
        <v>643</v>
      </c>
      <c r="AT293" s="124"/>
      <c r="AU293" s="143" t="s">
        <v>1359</v>
      </c>
      <c r="AV293" s="143" t="s">
        <v>1360</v>
      </c>
      <c r="AW293" s="143" t="s">
        <v>1361</v>
      </c>
    </row>
    <row r="294" spans="1:49" s="124" customFormat="1" ht="14.4" customHeight="1" x14ac:dyDescent="0.3">
      <c r="A294" s="117"/>
      <c r="B294" s="117"/>
      <c r="C294" s="121"/>
      <c r="D294" s="116"/>
      <c r="E294" s="116"/>
      <c r="F294" s="117"/>
      <c r="G294" s="120"/>
      <c r="H294" s="120"/>
      <c r="I294" s="120"/>
      <c r="J294" s="120" t="s">
        <v>30</v>
      </c>
      <c r="K294" s="134"/>
      <c r="L294" s="131"/>
      <c r="M294" s="154">
        <v>44531</v>
      </c>
      <c r="N294" s="133">
        <v>43952</v>
      </c>
      <c r="O294" s="134"/>
      <c r="P294" s="149" t="s">
        <v>596</v>
      </c>
      <c r="Q294" s="136">
        <v>8516</v>
      </c>
      <c r="R294" s="57" t="s">
        <v>30</v>
      </c>
      <c r="S294" s="57" t="s">
        <v>30</v>
      </c>
      <c r="T294" s="116" t="s">
        <v>30</v>
      </c>
      <c r="U294" s="118" t="s">
        <v>30</v>
      </c>
      <c r="V294" s="57" t="s">
        <v>30</v>
      </c>
      <c r="W294" s="57" t="s">
        <v>30</v>
      </c>
      <c r="X294" s="34" t="s">
        <v>30</v>
      </c>
      <c r="Y294" s="137" t="str">
        <f t="shared" si="139"/>
        <v>NC</v>
      </c>
      <c r="Z294" s="57" t="str">
        <f t="shared" si="137"/>
        <v>NC</v>
      </c>
      <c r="AA294" s="57" t="str">
        <f t="shared" si="140"/>
        <v>NC</v>
      </c>
      <c r="AB294" s="57" t="str">
        <f t="shared" si="141"/>
        <v>NC</v>
      </c>
      <c r="AC294" s="57" t="str">
        <f t="shared" si="142"/>
        <v>NC</v>
      </c>
      <c r="AD294" s="57" t="str">
        <f t="shared" si="143"/>
        <v>NC</v>
      </c>
      <c r="AE294" s="57" t="str">
        <f t="shared" si="144"/>
        <v>NC</v>
      </c>
      <c r="AG294" s="123" t="str">
        <f t="shared" si="145"/>
        <v>NC</v>
      </c>
      <c r="AH294" s="123" t="str">
        <f t="shared" si="146"/>
        <v>NC</v>
      </c>
      <c r="AI294" s="123" t="str">
        <f t="shared" si="147"/>
        <v>NC</v>
      </c>
      <c r="AJ294" s="123" t="str">
        <f t="shared" si="148"/>
        <v>NC</v>
      </c>
      <c r="AK294" s="123" t="str">
        <f t="shared" si="149"/>
        <v>NC</v>
      </c>
      <c r="AL294" s="123" t="str">
        <f t="shared" si="150"/>
        <v>NC</v>
      </c>
      <c r="AM294" s="123" t="str">
        <f t="shared" si="151"/>
        <v>NC</v>
      </c>
      <c r="AN294" s="138"/>
      <c r="AO294" s="151" t="e">
        <f t="shared" si="138"/>
        <v>#DIV/0!</v>
      </c>
      <c r="AP294" s="140"/>
      <c r="AR294" s="141" t="s">
        <v>643</v>
      </c>
      <c r="AS294" s="141" t="s">
        <v>643</v>
      </c>
      <c r="AU294" s="143" t="s">
        <v>1359</v>
      </c>
      <c r="AV294" s="143" t="s">
        <v>1362</v>
      </c>
      <c r="AW294" s="143" t="s">
        <v>1363</v>
      </c>
    </row>
    <row r="295" spans="1:49" s="138" customFormat="1" ht="14.4" customHeight="1" x14ac:dyDescent="0.3">
      <c r="A295" s="117"/>
      <c r="B295" s="117"/>
      <c r="C295" s="117"/>
      <c r="D295" s="116"/>
      <c r="E295" s="116"/>
      <c r="F295" s="251"/>
      <c r="G295" s="120"/>
      <c r="H295" s="120"/>
      <c r="I295" s="120"/>
      <c r="J295" s="120" t="s">
        <v>30</v>
      </c>
      <c r="K295" s="153"/>
      <c r="L295" s="131"/>
      <c r="M295" s="132"/>
      <c r="N295" s="133" t="s">
        <v>1022</v>
      </c>
      <c r="O295" s="134"/>
      <c r="P295" s="149" t="s">
        <v>596</v>
      </c>
      <c r="Q295" s="136"/>
      <c r="R295" s="57" t="s">
        <v>30</v>
      </c>
      <c r="S295" s="57" t="s">
        <v>30</v>
      </c>
      <c r="T295" s="116" t="s">
        <v>30</v>
      </c>
      <c r="U295" s="118" t="s">
        <v>30</v>
      </c>
      <c r="V295" s="57" t="s">
        <v>30</v>
      </c>
      <c r="W295" s="57" t="s">
        <v>30</v>
      </c>
      <c r="X295" s="34" t="s">
        <v>30</v>
      </c>
      <c r="Y295" s="137" t="str">
        <f t="shared" si="139"/>
        <v>NC</v>
      </c>
      <c r="Z295" s="57" t="str">
        <f t="shared" ref="Z295:Z325" si="152">IF(S295="NC","NC",IF(S295="","erreur",S295+181))</f>
        <v>NC</v>
      </c>
      <c r="AA295" s="57" t="str">
        <f t="shared" si="140"/>
        <v>NC</v>
      </c>
      <c r="AB295" s="57" t="str">
        <f t="shared" si="141"/>
        <v>NC</v>
      </c>
      <c r="AC295" s="57" t="str">
        <f t="shared" si="142"/>
        <v>NC</v>
      </c>
      <c r="AD295" s="57" t="str">
        <f t="shared" si="143"/>
        <v>NC</v>
      </c>
      <c r="AE295" s="57" t="str">
        <f t="shared" si="144"/>
        <v>NC</v>
      </c>
      <c r="AG295" s="123" t="str">
        <f t="shared" si="145"/>
        <v>NC</v>
      </c>
      <c r="AH295" s="123" t="str">
        <f t="shared" si="146"/>
        <v>NC</v>
      </c>
      <c r="AI295" s="123" t="str">
        <f t="shared" si="147"/>
        <v>NC</v>
      </c>
      <c r="AJ295" s="123" t="str">
        <f t="shared" si="148"/>
        <v>NC</v>
      </c>
      <c r="AK295" s="123" t="str">
        <f t="shared" si="149"/>
        <v>NC</v>
      </c>
      <c r="AL295" s="123" t="str">
        <f t="shared" si="150"/>
        <v>NC</v>
      </c>
      <c r="AM295" s="123" t="str">
        <f t="shared" si="151"/>
        <v>NC</v>
      </c>
      <c r="AO295" s="151" t="e">
        <f t="shared" si="138"/>
        <v>#DIV/0!</v>
      </c>
      <c r="AP295" s="140"/>
      <c r="AR295" s="141" t="s">
        <v>643</v>
      </c>
      <c r="AS295" s="141" t="s">
        <v>643</v>
      </c>
      <c r="AU295" s="142" t="s">
        <v>1169</v>
      </c>
      <c r="AV295" s="143" t="s">
        <v>1364</v>
      </c>
      <c r="AW295" s="143" t="s">
        <v>1365</v>
      </c>
    </row>
    <row r="296" spans="1:49" s="124" customFormat="1" ht="14.4" customHeight="1" x14ac:dyDescent="0.3">
      <c r="A296" s="117"/>
      <c r="B296" s="117"/>
      <c r="C296" s="117"/>
      <c r="D296" s="116"/>
      <c r="E296" s="116"/>
      <c r="F296" s="117"/>
      <c r="G296" s="120"/>
      <c r="H296" s="120"/>
      <c r="I296" s="120"/>
      <c r="J296" s="120" t="s">
        <v>30</v>
      </c>
      <c r="K296" s="153"/>
      <c r="L296" s="131"/>
      <c r="M296" s="132"/>
      <c r="N296" s="133" t="s">
        <v>1022</v>
      </c>
      <c r="O296" s="134"/>
      <c r="P296" s="149" t="s">
        <v>596</v>
      </c>
      <c r="Q296" s="136"/>
      <c r="R296" s="57" t="s">
        <v>30</v>
      </c>
      <c r="S296" s="57" t="s">
        <v>30</v>
      </c>
      <c r="T296" s="116" t="s">
        <v>30</v>
      </c>
      <c r="U296" s="118" t="s">
        <v>30</v>
      </c>
      <c r="V296" s="57" t="s">
        <v>30</v>
      </c>
      <c r="W296" s="57" t="s">
        <v>30</v>
      </c>
      <c r="X296" s="34" t="s">
        <v>30</v>
      </c>
      <c r="Y296" s="137" t="str">
        <f t="shared" si="139"/>
        <v>NC</v>
      </c>
      <c r="Z296" s="57" t="str">
        <f t="shared" si="152"/>
        <v>NC</v>
      </c>
      <c r="AA296" s="57" t="str">
        <f t="shared" si="140"/>
        <v>NC</v>
      </c>
      <c r="AB296" s="57" t="str">
        <f t="shared" si="141"/>
        <v>NC</v>
      </c>
      <c r="AC296" s="57" t="str">
        <f t="shared" si="142"/>
        <v>NC</v>
      </c>
      <c r="AD296" s="57" t="str">
        <f t="shared" si="143"/>
        <v>NC</v>
      </c>
      <c r="AE296" s="57" t="str">
        <f t="shared" si="144"/>
        <v>NC</v>
      </c>
      <c r="AF296" s="138"/>
      <c r="AG296" s="123" t="str">
        <f t="shared" si="145"/>
        <v>NC</v>
      </c>
      <c r="AH296" s="123" t="str">
        <f t="shared" si="146"/>
        <v>NC</v>
      </c>
      <c r="AI296" s="123" t="str">
        <f t="shared" si="147"/>
        <v>NC</v>
      </c>
      <c r="AJ296" s="123" t="str">
        <f t="shared" si="148"/>
        <v>NC</v>
      </c>
      <c r="AK296" s="123" t="str">
        <f t="shared" si="149"/>
        <v>NC</v>
      </c>
      <c r="AL296" s="123" t="str">
        <f t="shared" si="150"/>
        <v>NC</v>
      </c>
      <c r="AM296" s="123" t="str">
        <f t="shared" si="151"/>
        <v>NC</v>
      </c>
      <c r="AN296" s="138"/>
      <c r="AO296" s="151" t="e">
        <f t="shared" si="138"/>
        <v>#DIV/0!</v>
      </c>
      <c r="AP296" s="140"/>
      <c r="AQ296" s="138"/>
      <c r="AR296" s="141" t="s">
        <v>643</v>
      </c>
      <c r="AS296" s="141" t="s">
        <v>643</v>
      </c>
      <c r="AT296" s="138"/>
      <c r="AU296" s="142" t="s">
        <v>1169</v>
      </c>
      <c r="AV296" s="143" t="s">
        <v>1364</v>
      </c>
      <c r="AW296" s="143" t="s">
        <v>1365</v>
      </c>
    </row>
    <row r="297" spans="1:49" s="124" customFormat="1" ht="14.4" customHeight="1" x14ac:dyDescent="0.3">
      <c r="A297" s="121"/>
      <c r="B297" s="121"/>
      <c r="C297" s="121"/>
      <c r="D297" s="123"/>
      <c r="E297" s="123"/>
      <c r="F297" s="121"/>
      <c r="G297" s="120"/>
      <c r="H297" s="120"/>
      <c r="I297" s="120"/>
      <c r="J297" s="120" t="s">
        <v>30</v>
      </c>
      <c r="K297" s="145"/>
      <c r="L297" s="146"/>
      <c r="M297" s="154">
        <v>45017</v>
      </c>
      <c r="N297" s="133">
        <v>44166</v>
      </c>
      <c r="O297" s="148"/>
      <c r="P297" s="149" t="s">
        <v>596</v>
      </c>
      <c r="Q297" s="150"/>
      <c r="R297" s="57" t="s">
        <v>30</v>
      </c>
      <c r="S297" s="57" t="s">
        <v>30</v>
      </c>
      <c r="T297" s="116" t="s">
        <v>30</v>
      </c>
      <c r="U297" s="118" t="s">
        <v>30</v>
      </c>
      <c r="V297" s="57" t="s">
        <v>30</v>
      </c>
      <c r="W297" s="57" t="s">
        <v>30</v>
      </c>
      <c r="X297" s="34" t="s">
        <v>30</v>
      </c>
      <c r="Y297" s="137" t="str">
        <f t="shared" si="139"/>
        <v>NC</v>
      </c>
      <c r="Z297" s="57" t="str">
        <f t="shared" si="152"/>
        <v>NC</v>
      </c>
      <c r="AA297" s="57" t="str">
        <f t="shared" si="140"/>
        <v>NC</v>
      </c>
      <c r="AB297" s="57" t="str">
        <f t="shared" si="141"/>
        <v>NC</v>
      </c>
      <c r="AC297" s="57" t="str">
        <f t="shared" si="142"/>
        <v>NC</v>
      </c>
      <c r="AD297" s="57" t="str">
        <f t="shared" si="143"/>
        <v>NC</v>
      </c>
      <c r="AE297" s="57" t="str">
        <f t="shared" si="144"/>
        <v>NC</v>
      </c>
      <c r="AG297" s="123" t="str">
        <f t="shared" si="145"/>
        <v>NC</v>
      </c>
      <c r="AH297" s="123" t="str">
        <f t="shared" si="146"/>
        <v>NC</v>
      </c>
      <c r="AI297" s="123" t="str">
        <f t="shared" si="147"/>
        <v>NC</v>
      </c>
      <c r="AJ297" s="123" t="str">
        <f t="shared" si="148"/>
        <v>NC</v>
      </c>
      <c r="AK297" s="123" t="str">
        <f t="shared" si="149"/>
        <v>NC</v>
      </c>
      <c r="AL297" s="123" t="str">
        <f t="shared" si="150"/>
        <v>NC</v>
      </c>
      <c r="AM297" s="123" t="str">
        <f t="shared" si="151"/>
        <v>NC</v>
      </c>
      <c r="AN297" s="138"/>
      <c r="AO297" s="151" t="e">
        <f t="shared" si="138"/>
        <v>#DIV/0!</v>
      </c>
      <c r="AP297" s="152"/>
      <c r="AR297" s="141" t="s">
        <v>643</v>
      </c>
      <c r="AS297" s="141" t="s">
        <v>643</v>
      </c>
      <c r="AU297" s="143" t="s">
        <v>1169</v>
      </c>
      <c r="AV297" s="143" t="s">
        <v>1366</v>
      </c>
      <c r="AW297" s="143" t="s">
        <v>1474</v>
      </c>
    </row>
    <row r="298" spans="1:49" s="124" customFormat="1" ht="14.4" customHeight="1" x14ac:dyDescent="0.3">
      <c r="A298" s="121"/>
      <c r="B298" s="117"/>
      <c r="C298" s="121"/>
      <c r="D298" s="123"/>
      <c r="E298" s="123"/>
      <c r="F298" s="121"/>
      <c r="G298" s="120"/>
      <c r="H298" s="120"/>
      <c r="I298" s="120"/>
      <c r="J298" s="120" t="s">
        <v>30</v>
      </c>
      <c r="K298" s="153"/>
      <c r="L298" s="146"/>
      <c r="M298" s="154">
        <v>45108</v>
      </c>
      <c r="N298" s="133">
        <v>43862</v>
      </c>
      <c r="O298" s="148"/>
      <c r="P298" s="149" t="s">
        <v>596</v>
      </c>
      <c r="Q298" s="150">
        <v>632</v>
      </c>
      <c r="R298" s="57" t="s">
        <v>30</v>
      </c>
      <c r="S298" s="57" t="s">
        <v>30</v>
      </c>
      <c r="T298" s="116" t="s">
        <v>30</v>
      </c>
      <c r="U298" s="118" t="s">
        <v>30</v>
      </c>
      <c r="V298" s="57" t="s">
        <v>30</v>
      </c>
      <c r="W298" s="57" t="s">
        <v>30</v>
      </c>
      <c r="X298" s="34" t="s">
        <v>30</v>
      </c>
      <c r="Y298" s="137" t="str">
        <f t="shared" si="139"/>
        <v>NC</v>
      </c>
      <c r="Z298" s="57" t="str">
        <f t="shared" si="152"/>
        <v>NC</v>
      </c>
      <c r="AA298" s="57" t="str">
        <f t="shared" si="140"/>
        <v>NC</v>
      </c>
      <c r="AB298" s="57" t="str">
        <f t="shared" si="141"/>
        <v>NC</v>
      </c>
      <c r="AC298" s="57" t="str">
        <f t="shared" si="142"/>
        <v>NC</v>
      </c>
      <c r="AD298" s="57" t="str">
        <f t="shared" si="143"/>
        <v>NC</v>
      </c>
      <c r="AE298" s="57" t="str">
        <f t="shared" si="144"/>
        <v>NC</v>
      </c>
      <c r="AG298" s="123" t="str">
        <f t="shared" si="145"/>
        <v>NC</v>
      </c>
      <c r="AH298" s="123" t="str">
        <f t="shared" si="146"/>
        <v>NC</v>
      </c>
      <c r="AI298" s="123" t="str">
        <f t="shared" si="147"/>
        <v>NC</v>
      </c>
      <c r="AJ298" s="123" t="str">
        <f t="shared" si="148"/>
        <v>NC</v>
      </c>
      <c r="AK298" s="123" t="str">
        <f t="shared" si="149"/>
        <v>NC</v>
      </c>
      <c r="AL298" s="123" t="str">
        <f t="shared" si="150"/>
        <v>NC</v>
      </c>
      <c r="AM298" s="123" t="str">
        <f t="shared" si="151"/>
        <v>NC</v>
      </c>
      <c r="AN298" s="138"/>
      <c r="AO298" s="151" t="e">
        <f t="shared" si="138"/>
        <v>#DIV/0!</v>
      </c>
      <c r="AP298" s="152"/>
      <c r="AR298" s="141" t="s">
        <v>643</v>
      </c>
      <c r="AS298" s="141" t="s">
        <v>643</v>
      </c>
      <c r="AU298" s="143" t="s">
        <v>1367</v>
      </c>
      <c r="AV298" s="143" t="s">
        <v>1360</v>
      </c>
      <c r="AW298" s="143"/>
    </row>
    <row r="299" spans="1:49" s="124" customFormat="1" ht="14.4" customHeight="1" x14ac:dyDescent="0.3">
      <c r="A299" s="121"/>
      <c r="B299" s="117"/>
      <c r="C299" s="121"/>
      <c r="D299" s="123"/>
      <c r="E299" s="123"/>
      <c r="F299" s="121"/>
      <c r="G299" s="120"/>
      <c r="H299" s="120"/>
      <c r="I299" s="120"/>
      <c r="J299" s="120" t="s">
        <v>30</v>
      </c>
      <c r="K299" s="153"/>
      <c r="L299" s="146"/>
      <c r="M299" s="154">
        <v>45108</v>
      </c>
      <c r="N299" s="133" t="s">
        <v>1022</v>
      </c>
      <c r="O299" s="148"/>
      <c r="P299" s="149" t="s">
        <v>596</v>
      </c>
      <c r="Q299" s="150">
        <v>389</v>
      </c>
      <c r="R299" s="57" t="s">
        <v>30</v>
      </c>
      <c r="S299" s="57" t="s">
        <v>30</v>
      </c>
      <c r="T299" s="116" t="s">
        <v>30</v>
      </c>
      <c r="U299" s="118" t="s">
        <v>30</v>
      </c>
      <c r="V299" s="57" t="s">
        <v>30</v>
      </c>
      <c r="W299" s="57" t="s">
        <v>30</v>
      </c>
      <c r="X299" s="34" t="s">
        <v>30</v>
      </c>
      <c r="Y299" s="137" t="str">
        <f t="shared" si="139"/>
        <v>NC</v>
      </c>
      <c r="Z299" s="57" t="str">
        <f t="shared" si="152"/>
        <v>NC</v>
      </c>
      <c r="AA299" s="57" t="str">
        <f t="shared" si="140"/>
        <v>NC</v>
      </c>
      <c r="AB299" s="57" t="str">
        <f t="shared" si="141"/>
        <v>NC</v>
      </c>
      <c r="AC299" s="57" t="str">
        <f t="shared" si="142"/>
        <v>NC</v>
      </c>
      <c r="AD299" s="57" t="str">
        <f t="shared" si="143"/>
        <v>NC</v>
      </c>
      <c r="AE299" s="57" t="str">
        <f t="shared" si="144"/>
        <v>NC</v>
      </c>
      <c r="AG299" s="123" t="str">
        <f t="shared" si="145"/>
        <v>NC</v>
      </c>
      <c r="AH299" s="123" t="str">
        <f t="shared" si="146"/>
        <v>NC</v>
      </c>
      <c r="AI299" s="123" t="str">
        <f t="shared" si="147"/>
        <v>NC</v>
      </c>
      <c r="AJ299" s="123" t="str">
        <f t="shared" si="148"/>
        <v>NC</v>
      </c>
      <c r="AK299" s="123" t="str">
        <f t="shared" si="149"/>
        <v>NC</v>
      </c>
      <c r="AL299" s="123" t="str">
        <f t="shared" si="150"/>
        <v>NC</v>
      </c>
      <c r="AM299" s="123" t="str">
        <f t="shared" si="151"/>
        <v>NC</v>
      </c>
      <c r="AN299" s="138"/>
      <c r="AO299" s="151" t="e">
        <f t="shared" si="138"/>
        <v>#DIV/0!</v>
      </c>
      <c r="AP299" s="152"/>
      <c r="AR299" s="141" t="s">
        <v>643</v>
      </c>
      <c r="AS299" s="141" t="s">
        <v>643</v>
      </c>
      <c r="AU299" s="143" t="s">
        <v>1367</v>
      </c>
      <c r="AV299" s="143" t="s">
        <v>1368</v>
      </c>
      <c r="AW299" s="143"/>
    </row>
    <row r="300" spans="1:49" s="124" customFormat="1" ht="14.4" customHeight="1" x14ac:dyDescent="0.3">
      <c r="A300" s="121"/>
      <c r="B300" s="117"/>
      <c r="C300" s="121"/>
      <c r="D300" s="123"/>
      <c r="E300" s="123"/>
      <c r="F300" s="121"/>
      <c r="G300" s="120"/>
      <c r="H300" s="120"/>
      <c r="I300" s="120"/>
      <c r="J300" s="120" t="s">
        <v>30</v>
      </c>
      <c r="K300" s="153"/>
      <c r="L300" s="146"/>
      <c r="M300" s="154"/>
      <c r="N300" s="133">
        <v>43952</v>
      </c>
      <c r="O300" s="148"/>
      <c r="P300" s="149" t="s">
        <v>596</v>
      </c>
      <c r="Q300" s="150"/>
      <c r="R300" s="57" t="s">
        <v>30</v>
      </c>
      <c r="S300" s="57" t="s">
        <v>30</v>
      </c>
      <c r="T300" s="116" t="s">
        <v>30</v>
      </c>
      <c r="U300" s="118" t="s">
        <v>30</v>
      </c>
      <c r="V300" s="57" t="s">
        <v>30</v>
      </c>
      <c r="W300" s="57" t="s">
        <v>30</v>
      </c>
      <c r="X300" s="34" t="s">
        <v>30</v>
      </c>
      <c r="Y300" s="137" t="str">
        <f t="shared" si="139"/>
        <v>NC</v>
      </c>
      <c r="Z300" s="57" t="str">
        <f t="shared" si="152"/>
        <v>NC</v>
      </c>
      <c r="AA300" s="57" t="str">
        <f t="shared" si="140"/>
        <v>NC</v>
      </c>
      <c r="AB300" s="57" t="str">
        <f t="shared" si="141"/>
        <v>NC</v>
      </c>
      <c r="AC300" s="57" t="str">
        <f t="shared" si="142"/>
        <v>NC</v>
      </c>
      <c r="AD300" s="57" t="str">
        <f t="shared" si="143"/>
        <v>NC</v>
      </c>
      <c r="AE300" s="57" t="str">
        <f t="shared" si="144"/>
        <v>NC</v>
      </c>
      <c r="AG300" s="123" t="str">
        <f t="shared" si="145"/>
        <v>NC</v>
      </c>
      <c r="AH300" s="123" t="str">
        <f t="shared" si="146"/>
        <v>NC</v>
      </c>
      <c r="AI300" s="123" t="str">
        <f t="shared" si="147"/>
        <v>NC</v>
      </c>
      <c r="AJ300" s="123" t="str">
        <f t="shared" si="148"/>
        <v>NC</v>
      </c>
      <c r="AK300" s="123" t="str">
        <f t="shared" si="149"/>
        <v>NC</v>
      </c>
      <c r="AL300" s="123" t="str">
        <f t="shared" si="150"/>
        <v>NC</v>
      </c>
      <c r="AM300" s="123" t="str">
        <f t="shared" si="151"/>
        <v>NC</v>
      </c>
      <c r="AN300" s="138"/>
      <c r="AO300" s="151" t="e">
        <f t="shared" si="138"/>
        <v>#DIV/0!</v>
      </c>
      <c r="AP300" s="152"/>
      <c r="AR300" s="141" t="s">
        <v>643</v>
      </c>
      <c r="AS300" s="141" t="s">
        <v>643</v>
      </c>
      <c r="AU300" s="143" t="s">
        <v>1169</v>
      </c>
      <c r="AV300" s="143" t="s">
        <v>959</v>
      </c>
      <c r="AW300" s="143" t="s">
        <v>1365</v>
      </c>
    </row>
    <row r="301" spans="1:49" s="124" customFormat="1" ht="14.4" customHeight="1" x14ac:dyDescent="0.3">
      <c r="A301" s="116"/>
      <c r="B301" s="117"/>
      <c r="C301" s="117"/>
      <c r="D301" s="116"/>
      <c r="E301" s="116"/>
      <c r="F301" s="117"/>
      <c r="G301" s="120"/>
      <c r="H301" s="120"/>
      <c r="I301" s="120"/>
      <c r="J301" s="120" t="s">
        <v>30</v>
      </c>
      <c r="K301" s="134"/>
      <c r="L301" s="120"/>
      <c r="M301" s="132"/>
      <c r="N301" s="158">
        <v>43952</v>
      </c>
      <c r="O301" s="116"/>
      <c r="P301" s="135" t="s">
        <v>596</v>
      </c>
      <c r="Q301" s="116"/>
      <c r="R301" s="57" t="s">
        <v>30</v>
      </c>
      <c r="S301" s="57" t="s">
        <v>30</v>
      </c>
      <c r="T301" s="57" t="s">
        <v>30</v>
      </c>
      <c r="U301" s="34" t="s">
        <v>30</v>
      </c>
      <c r="V301" s="57" t="s">
        <v>30</v>
      </c>
      <c r="W301" s="57" t="s">
        <v>30</v>
      </c>
      <c r="X301" s="34" t="s">
        <v>30</v>
      </c>
      <c r="Y301" s="137" t="str">
        <f t="shared" si="139"/>
        <v>NC</v>
      </c>
      <c r="Z301" s="57" t="str">
        <f t="shared" si="152"/>
        <v>NC</v>
      </c>
      <c r="AA301" s="57" t="str">
        <f t="shared" si="140"/>
        <v>NC</v>
      </c>
      <c r="AB301" s="57" t="str">
        <f t="shared" si="141"/>
        <v>NC</v>
      </c>
      <c r="AC301" s="57" t="str">
        <f t="shared" si="142"/>
        <v>NC</v>
      </c>
      <c r="AD301" s="57" t="str">
        <f t="shared" si="143"/>
        <v>NC</v>
      </c>
      <c r="AE301" s="57" t="str">
        <f t="shared" si="144"/>
        <v>NC</v>
      </c>
      <c r="AF301" s="138"/>
      <c r="AG301" s="123" t="str">
        <f t="shared" si="145"/>
        <v>NC</v>
      </c>
      <c r="AH301" s="123" t="str">
        <f t="shared" si="146"/>
        <v>NC</v>
      </c>
      <c r="AI301" s="123" t="str">
        <f t="shared" si="147"/>
        <v>NC</v>
      </c>
      <c r="AJ301" s="123" t="str">
        <f t="shared" si="148"/>
        <v>NC</v>
      </c>
      <c r="AK301" s="123" t="str">
        <f t="shared" si="149"/>
        <v>NC</v>
      </c>
      <c r="AL301" s="123" t="str">
        <f t="shared" si="150"/>
        <v>NC</v>
      </c>
      <c r="AM301" s="123" t="str">
        <f t="shared" si="151"/>
        <v>NC</v>
      </c>
      <c r="AN301" s="138"/>
      <c r="AO301" s="151" t="e">
        <f t="shared" si="138"/>
        <v>#DIV/0!</v>
      </c>
      <c r="AP301" s="138"/>
      <c r="AQ301" s="138"/>
      <c r="AR301" s="141" t="s">
        <v>643</v>
      </c>
      <c r="AS301" s="141" t="s">
        <v>643</v>
      </c>
      <c r="AT301" s="138"/>
      <c r="AU301" s="142" t="s">
        <v>1169</v>
      </c>
      <c r="AV301" s="143" t="s">
        <v>1355</v>
      </c>
      <c r="AW301" s="143" t="s">
        <v>1473</v>
      </c>
    </row>
    <row r="302" spans="1:49" s="138" customFormat="1" ht="14.4" customHeight="1" x14ac:dyDescent="0.3">
      <c r="A302" s="116"/>
      <c r="B302" s="116"/>
      <c r="C302" s="117"/>
      <c r="D302" s="116"/>
      <c r="E302" s="116"/>
      <c r="F302" s="117"/>
      <c r="G302" s="120"/>
      <c r="H302" s="120"/>
      <c r="I302" s="120"/>
      <c r="J302" s="120" t="s">
        <v>30</v>
      </c>
      <c r="K302" s="134"/>
      <c r="L302" s="120"/>
      <c r="M302" s="132"/>
      <c r="N302" s="158">
        <v>44013</v>
      </c>
      <c r="O302" s="116"/>
      <c r="P302" s="135" t="s">
        <v>596</v>
      </c>
      <c r="Q302" s="116"/>
      <c r="R302" s="57" t="s">
        <v>30</v>
      </c>
      <c r="S302" s="57" t="s">
        <v>30</v>
      </c>
      <c r="T302" s="57" t="s">
        <v>30</v>
      </c>
      <c r="U302" s="34" t="s">
        <v>30</v>
      </c>
      <c r="V302" s="57" t="s">
        <v>30</v>
      </c>
      <c r="W302" s="57" t="s">
        <v>30</v>
      </c>
      <c r="X302" s="34" t="s">
        <v>30</v>
      </c>
      <c r="Y302" s="137" t="str">
        <f t="shared" si="139"/>
        <v>NC</v>
      </c>
      <c r="Z302" s="57" t="str">
        <f t="shared" si="152"/>
        <v>NC</v>
      </c>
      <c r="AA302" s="57" t="str">
        <f t="shared" si="140"/>
        <v>NC</v>
      </c>
      <c r="AB302" s="57" t="str">
        <f t="shared" si="141"/>
        <v>NC</v>
      </c>
      <c r="AC302" s="57" t="str">
        <f t="shared" si="142"/>
        <v>NC</v>
      </c>
      <c r="AD302" s="57" t="str">
        <f t="shared" si="143"/>
        <v>NC</v>
      </c>
      <c r="AE302" s="57" t="str">
        <f t="shared" si="144"/>
        <v>NC</v>
      </c>
      <c r="AG302" s="123" t="str">
        <f t="shared" si="145"/>
        <v>NC</v>
      </c>
      <c r="AH302" s="123" t="str">
        <f t="shared" si="146"/>
        <v>NC</v>
      </c>
      <c r="AI302" s="123" t="str">
        <f t="shared" si="147"/>
        <v>NC</v>
      </c>
      <c r="AJ302" s="123" t="str">
        <f t="shared" si="148"/>
        <v>NC</v>
      </c>
      <c r="AK302" s="123" t="str">
        <f t="shared" si="149"/>
        <v>NC</v>
      </c>
      <c r="AL302" s="123" t="str">
        <f t="shared" si="150"/>
        <v>NC</v>
      </c>
      <c r="AM302" s="123" t="str">
        <f t="shared" si="151"/>
        <v>NC</v>
      </c>
      <c r="AO302" s="139" t="e">
        <f t="shared" si="138"/>
        <v>#DIV/0!</v>
      </c>
      <c r="AR302" s="141" t="s">
        <v>643</v>
      </c>
      <c r="AS302" s="141" t="s">
        <v>643</v>
      </c>
      <c r="AU302" s="142" t="s">
        <v>1169</v>
      </c>
      <c r="AV302" s="143" t="s">
        <v>1475</v>
      </c>
      <c r="AW302" s="143" t="s">
        <v>1476</v>
      </c>
    </row>
    <row r="303" spans="1:49" s="138" customFormat="1" ht="14.4" customHeight="1" x14ac:dyDescent="0.3">
      <c r="A303" s="116"/>
      <c r="B303" s="116"/>
      <c r="C303" s="117"/>
      <c r="D303" s="116"/>
      <c r="E303" s="116"/>
      <c r="F303" s="117"/>
      <c r="G303" s="120"/>
      <c r="H303" s="120"/>
      <c r="I303" s="120"/>
      <c r="J303" s="120" t="s">
        <v>30</v>
      </c>
      <c r="K303" s="134"/>
      <c r="L303" s="120"/>
      <c r="M303" s="132"/>
      <c r="N303" s="158">
        <v>44013</v>
      </c>
      <c r="O303" s="116"/>
      <c r="P303" s="135" t="s">
        <v>596</v>
      </c>
      <c r="Q303" s="116"/>
      <c r="R303" s="57" t="s">
        <v>30</v>
      </c>
      <c r="S303" s="57" t="s">
        <v>30</v>
      </c>
      <c r="T303" s="57" t="s">
        <v>30</v>
      </c>
      <c r="U303" s="34" t="s">
        <v>30</v>
      </c>
      <c r="V303" s="57" t="s">
        <v>30</v>
      </c>
      <c r="W303" s="57" t="s">
        <v>30</v>
      </c>
      <c r="X303" s="34" t="s">
        <v>30</v>
      </c>
      <c r="Y303" s="137" t="str">
        <f t="shared" si="139"/>
        <v>NC</v>
      </c>
      <c r="Z303" s="57" t="str">
        <f t="shared" si="152"/>
        <v>NC</v>
      </c>
      <c r="AA303" s="57" t="str">
        <f t="shared" si="140"/>
        <v>NC</v>
      </c>
      <c r="AB303" s="57" t="str">
        <f t="shared" si="141"/>
        <v>NC</v>
      </c>
      <c r="AC303" s="57" t="str">
        <f t="shared" si="142"/>
        <v>NC</v>
      </c>
      <c r="AD303" s="57" t="str">
        <f t="shared" si="143"/>
        <v>NC</v>
      </c>
      <c r="AE303" s="57" t="str">
        <f t="shared" si="144"/>
        <v>NC</v>
      </c>
      <c r="AG303" s="123" t="str">
        <f t="shared" si="145"/>
        <v>NC</v>
      </c>
      <c r="AH303" s="123" t="str">
        <f t="shared" si="146"/>
        <v>NC</v>
      </c>
      <c r="AI303" s="123" t="str">
        <f t="shared" si="147"/>
        <v>NC</v>
      </c>
      <c r="AJ303" s="123" t="str">
        <f t="shared" si="148"/>
        <v>NC</v>
      </c>
      <c r="AK303" s="123" t="str">
        <f t="shared" si="149"/>
        <v>NC</v>
      </c>
      <c r="AL303" s="123" t="str">
        <f t="shared" si="150"/>
        <v>NC</v>
      </c>
      <c r="AM303" s="123" t="str">
        <f t="shared" si="151"/>
        <v>NC</v>
      </c>
      <c r="AO303" s="139" t="e">
        <f t="shared" si="138"/>
        <v>#DIV/0!</v>
      </c>
      <c r="AR303" s="141" t="s">
        <v>643</v>
      </c>
      <c r="AS303" s="141" t="s">
        <v>643</v>
      </c>
      <c r="AU303" s="142" t="s">
        <v>1169</v>
      </c>
      <c r="AV303" s="143" t="s">
        <v>1475</v>
      </c>
      <c r="AW303" s="143" t="s">
        <v>1476</v>
      </c>
    </row>
    <row r="304" spans="1:49" s="138" customFormat="1" ht="14.4" customHeight="1" x14ac:dyDescent="0.3">
      <c r="A304" s="116"/>
      <c r="B304" s="116"/>
      <c r="C304" s="121"/>
      <c r="D304" s="116"/>
      <c r="E304" s="116"/>
      <c r="F304" s="117"/>
      <c r="G304" s="120"/>
      <c r="H304" s="120"/>
      <c r="I304" s="120"/>
      <c r="J304" s="120" t="s">
        <v>30</v>
      </c>
      <c r="K304" s="134"/>
      <c r="L304" s="120"/>
      <c r="M304" s="154"/>
      <c r="N304" s="162">
        <v>44166</v>
      </c>
      <c r="O304" s="116"/>
      <c r="P304" s="149" t="s">
        <v>596</v>
      </c>
      <c r="Q304" s="136">
        <v>311</v>
      </c>
      <c r="R304" s="57" t="s">
        <v>30</v>
      </c>
      <c r="S304" s="57" t="s">
        <v>30</v>
      </c>
      <c r="T304" s="57" t="s">
        <v>30</v>
      </c>
      <c r="U304" s="34" t="s">
        <v>30</v>
      </c>
      <c r="V304" s="57" t="s">
        <v>30</v>
      </c>
      <c r="W304" s="57" t="s">
        <v>30</v>
      </c>
      <c r="X304" s="34" t="s">
        <v>30</v>
      </c>
      <c r="Y304" s="137" t="str">
        <f t="shared" si="139"/>
        <v>NC</v>
      </c>
      <c r="Z304" s="57" t="str">
        <f t="shared" si="152"/>
        <v>NC</v>
      </c>
      <c r="AA304" s="57" t="str">
        <f t="shared" si="140"/>
        <v>NC</v>
      </c>
      <c r="AB304" s="57" t="str">
        <f t="shared" si="141"/>
        <v>NC</v>
      </c>
      <c r="AC304" s="57" t="str">
        <f t="shared" si="142"/>
        <v>NC</v>
      </c>
      <c r="AD304" s="57" t="str">
        <f t="shared" si="143"/>
        <v>NC</v>
      </c>
      <c r="AE304" s="57" t="str">
        <f t="shared" si="144"/>
        <v>NC</v>
      </c>
      <c r="AG304" s="123" t="str">
        <f t="shared" si="145"/>
        <v>NC</v>
      </c>
      <c r="AH304" s="123" t="str">
        <f t="shared" si="146"/>
        <v>NC</v>
      </c>
      <c r="AI304" s="123" t="str">
        <f t="shared" si="147"/>
        <v>NC</v>
      </c>
      <c r="AJ304" s="123" t="str">
        <f t="shared" si="148"/>
        <v>NC</v>
      </c>
      <c r="AK304" s="123" t="str">
        <f t="shared" si="149"/>
        <v>NC</v>
      </c>
      <c r="AL304" s="123" t="str">
        <f t="shared" si="150"/>
        <v>NC</v>
      </c>
      <c r="AM304" s="123" t="str">
        <f t="shared" si="151"/>
        <v>NC</v>
      </c>
      <c r="AO304" s="151" t="e">
        <f t="shared" si="138"/>
        <v>#DIV/0!</v>
      </c>
      <c r="AR304" s="141" t="s">
        <v>643</v>
      </c>
      <c r="AS304" s="141" t="s">
        <v>643</v>
      </c>
      <c r="AU304" s="142" t="s">
        <v>1164</v>
      </c>
      <c r="AV304" s="143" t="s">
        <v>398</v>
      </c>
      <c r="AW304" s="143" t="s">
        <v>1369</v>
      </c>
    </row>
    <row r="305" spans="1:49" s="138" customFormat="1" ht="14.4" customHeight="1" x14ac:dyDescent="0.3">
      <c r="A305" s="26"/>
      <c r="B305" s="116"/>
      <c r="C305" s="121"/>
      <c r="D305" s="116"/>
      <c r="E305" s="116"/>
      <c r="F305" s="121"/>
      <c r="G305" s="120"/>
      <c r="H305" s="120"/>
      <c r="I305" s="120"/>
      <c r="J305" s="120" t="s">
        <v>30</v>
      </c>
      <c r="K305" s="134"/>
      <c r="L305" s="131"/>
      <c r="M305" s="154">
        <v>44866</v>
      </c>
      <c r="N305" s="133">
        <v>44166</v>
      </c>
      <c r="O305" s="134"/>
      <c r="P305" s="149" t="s">
        <v>596</v>
      </c>
      <c r="Q305" s="136">
        <v>368</v>
      </c>
      <c r="R305" s="57" t="s">
        <v>30</v>
      </c>
      <c r="S305" s="57" t="s">
        <v>30</v>
      </c>
      <c r="T305" s="116" t="s">
        <v>30</v>
      </c>
      <c r="U305" s="118" t="s">
        <v>30</v>
      </c>
      <c r="V305" s="57" t="s">
        <v>30</v>
      </c>
      <c r="W305" s="57" t="s">
        <v>30</v>
      </c>
      <c r="X305" s="34" t="s">
        <v>30</v>
      </c>
      <c r="Y305" s="137" t="str">
        <f t="shared" si="139"/>
        <v>NC</v>
      </c>
      <c r="Z305" s="57" t="str">
        <f t="shared" si="152"/>
        <v>NC</v>
      </c>
      <c r="AA305" s="57" t="str">
        <f t="shared" si="140"/>
        <v>NC</v>
      </c>
      <c r="AB305" s="57" t="str">
        <f t="shared" si="141"/>
        <v>NC</v>
      </c>
      <c r="AC305" s="57" t="str">
        <f t="shared" si="142"/>
        <v>NC</v>
      </c>
      <c r="AD305" s="57" t="str">
        <f t="shared" si="143"/>
        <v>NC</v>
      </c>
      <c r="AE305" s="57" t="str">
        <f t="shared" si="144"/>
        <v>NC</v>
      </c>
      <c r="AF305" s="124"/>
      <c r="AG305" s="123" t="str">
        <f t="shared" si="145"/>
        <v>NC</v>
      </c>
      <c r="AH305" s="123" t="str">
        <f t="shared" si="146"/>
        <v>NC</v>
      </c>
      <c r="AI305" s="123" t="str">
        <f t="shared" si="147"/>
        <v>NC</v>
      </c>
      <c r="AJ305" s="123" t="str">
        <f t="shared" si="148"/>
        <v>NC</v>
      </c>
      <c r="AK305" s="123" t="str">
        <f t="shared" si="149"/>
        <v>NC</v>
      </c>
      <c r="AL305" s="123" t="str">
        <f t="shared" si="150"/>
        <v>NC</v>
      </c>
      <c r="AM305" s="123" t="str">
        <f t="shared" si="151"/>
        <v>NC</v>
      </c>
      <c r="AO305" s="151" t="e">
        <f t="shared" si="138"/>
        <v>#DIV/0!</v>
      </c>
      <c r="AP305" s="152"/>
      <c r="AQ305" s="124"/>
      <c r="AR305" s="141" t="s">
        <v>643</v>
      </c>
      <c r="AS305" s="141" t="s">
        <v>643</v>
      </c>
      <c r="AT305" s="124"/>
      <c r="AU305" s="143" t="s">
        <v>1164</v>
      </c>
      <c r="AV305" s="143" t="s">
        <v>398</v>
      </c>
      <c r="AW305" s="143" t="s">
        <v>1369</v>
      </c>
    </row>
    <row r="306" spans="1:49" s="138" customFormat="1" ht="14.4" customHeight="1" x14ac:dyDescent="0.3">
      <c r="A306" s="116"/>
      <c r="B306" s="116"/>
      <c r="C306" s="117"/>
      <c r="D306" s="116"/>
      <c r="E306" s="116"/>
      <c r="F306" s="117"/>
      <c r="G306" s="120"/>
      <c r="H306" s="120"/>
      <c r="I306" s="120"/>
      <c r="J306" s="120" t="s">
        <v>30</v>
      </c>
      <c r="K306" s="134"/>
      <c r="L306" s="120"/>
      <c r="M306" s="154"/>
      <c r="N306" s="162">
        <v>43831</v>
      </c>
      <c r="O306" s="116"/>
      <c r="P306" s="149" t="s">
        <v>596</v>
      </c>
      <c r="Q306" s="136"/>
      <c r="R306" s="57" t="s">
        <v>30</v>
      </c>
      <c r="S306" s="57" t="s">
        <v>30</v>
      </c>
      <c r="T306" s="57" t="s">
        <v>30</v>
      </c>
      <c r="U306" s="34" t="s">
        <v>30</v>
      </c>
      <c r="V306" s="57" t="s">
        <v>30</v>
      </c>
      <c r="W306" s="57" t="s">
        <v>30</v>
      </c>
      <c r="X306" s="34" t="s">
        <v>30</v>
      </c>
      <c r="Y306" s="137" t="str">
        <f t="shared" si="139"/>
        <v>NC</v>
      </c>
      <c r="Z306" s="57" t="str">
        <f t="shared" si="152"/>
        <v>NC</v>
      </c>
      <c r="AA306" s="57" t="str">
        <f t="shared" si="140"/>
        <v>NC</v>
      </c>
      <c r="AB306" s="57" t="str">
        <f t="shared" si="141"/>
        <v>NC</v>
      </c>
      <c r="AC306" s="57" t="str">
        <f t="shared" si="142"/>
        <v>NC</v>
      </c>
      <c r="AD306" s="57" t="str">
        <f t="shared" si="143"/>
        <v>NC</v>
      </c>
      <c r="AE306" s="57" t="str">
        <f t="shared" si="144"/>
        <v>NC</v>
      </c>
      <c r="AG306" s="123" t="str">
        <f t="shared" si="145"/>
        <v>NC</v>
      </c>
      <c r="AH306" s="123" t="str">
        <f t="shared" si="146"/>
        <v>NC</v>
      </c>
      <c r="AI306" s="123" t="str">
        <f t="shared" si="147"/>
        <v>NC</v>
      </c>
      <c r="AJ306" s="123" t="str">
        <f t="shared" si="148"/>
        <v>NC</v>
      </c>
      <c r="AK306" s="123" t="str">
        <f t="shared" si="149"/>
        <v>NC</v>
      </c>
      <c r="AL306" s="123" t="str">
        <f t="shared" si="150"/>
        <v>NC</v>
      </c>
      <c r="AM306" s="123" t="str">
        <f t="shared" si="151"/>
        <v>NC</v>
      </c>
      <c r="AO306" s="151" t="e">
        <f t="shared" si="138"/>
        <v>#DIV/0!</v>
      </c>
      <c r="AR306" s="141" t="s">
        <v>643</v>
      </c>
      <c r="AS306" s="141" t="s">
        <v>643</v>
      </c>
      <c r="AU306" s="142" t="s">
        <v>1164</v>
      </c>
      <c r="AV306" s="143" t="s">
        <v>398</v>
      </c>
      <c r="AW306" s="143" t="s">
        <v>1369</v>
      </c>
    </row>
    <row r="307" spans="1:49" s="124" customFormat="1" ht="14.4" customHeight="1" x14ac:dyDescent="0.3">
      <c r="A307" s="121"/>
      <c r="B307" s="117"/>
      <c r="C307" s="121"/>
      <c r="D307" s="123"/>
      <c r="E307" s="123"/>
      <c r="F307" s="121"/>
      <c r="G307" s="120"/>
      <c r="H307" s="120"/>
      <c r="I307" s="120"/>
      <c r="J307" s="120" t="s">
        <v>30</v>
      </c>
      <c r="K307" s="145"/>
      <c r="L307" s="146"/>
      <c r="M307" s="154">
        <v>43952</v>
      </c>
      <c r="N307" s="133">
        <v>43952</v>
      </c>
      <c r="O307" s="148"/>
      <c r="P307" s="149" t="s">
        <v>596</v>
      </c>
      <c r="Q307" s="150">
        <v>1259</v>
      </c>
      <c r="R307" s="57" t="s">
        <v>30</v>
      </c>
      <c r="S307" s="57" t="s">
        <v>30</v>
      </c>
      <c r="T307" s="116" t="s">
        <v>30</v>
      </c>
      <c r="U307" s="118" t="s">
        <v>30</v>
      </c>
      <c r="V307" s="57" t="s">
        <v>30</v>
      </c>
      <c r="W307" s="57" t="s">
        <v>30</v>
      </c>
      <c r="X307" s="34" t="s">
        <v>30</v>
      </c>
      <c r="Y307" s="137" t="str">
        <f t="shared" si="139"/>
        <v>NC</v>
      </c>
      <c r="Z307" s="57" t="str">
        <f t="shared" si="152"/>
        <v>NC</v>
      </c>
      <c r="AA307" s="57" t="str">
        <f t="shared" si="140"/>
        <v>NC</v>
      </c>
      <c r="AB307" s="57" t="str">
        <f t="shared" si="141"/>
        <v>NC</v>
      </c>
      <c r="AC307" s="57" t="str">
        <f t="shared" si="142"/>
        <v>NC</v>
      </c>
      <c r="AD307" s="57" t="str">
        <f t="shared" si="143"/>
        <v>NC</v>
      </c>
      <c r="AE307" s="57" t="str">
        <f t="shared" si="144"/>
        <v>NC</v>
      </c>
      <c r="AG307" s="123" t="str">
        <f t="shared" si="145"/>
        <v>NC</v>
      </c>
      <c r="AH307" s="123" t="str">
        <f t="shared" si="146"/>
        <v>NC</v>
      </c>
      <c r="AI307" s="123" t="str">
        <f t="shared" si="147"/>
        <v>NC</v>
      </c>
      <c r="AJ307" s="123" t="str">
        <f t="shared" si="148"/>
        <v>NC</v>
      </c>
      <c r="AK307" s="123" t="str">
        <f t="shared" si="149"/>
        <v>NC</v>
      </c>
      <c r="AL307" s="123" t="str">
        <f t="shared" si="150"/>
        <v>NC</v>
      </c>
      <c r="AM307" s="123" t="str">
        <f t="shared" si="151"/>
        <v>NC</v>
      </c>
      <c r="AN307" s="138"/>
      <c r="AO307" s="151" t="e">
        <f t="shared" si="138"/>
        <v>#DIV/0!</v>
      </c>
      <c r="AP307" s="152"/>
      <c r="AR307" s="141" t="s">
        <v>643</v>
      </c>
      <c r="AS307" s="141" t="s">
        <v>643</v>
      </c>
      <c r="AU307" s="143" t="s">
        <v>1370</v>
      </c>
      <c r="AV307" s="143" t="s">
        <v>961</v>
      </c>
      <c r="AW307" s="143" t="s">
        <v>1371</v>
      </c>
    </row>
    <row r="308" spans="1:49" s="124" customFormat="1" ht="14.4" customHeight="1" x14ac:dyDescent="0.3">
      <c r="A308" s="121"/>
      <c r="B308" s="117"/>
      <c r="C308" s="121"/>
      <c r="D308" s="123"/>
      <c r="E308" s="123"/>
      <c r="F308" s="121"/>
      <c r="G308" s="120"/>
      <c r="H308" s="120"/>
      <c r="I308" s="120"/>
      <c r="J308" s="120" t="s">
        <v>30</v>
      </c>
      <c r="K308" s="145"/>
      <c r="L308" s="146"/>
      <c r="M308" s="154">
        <v>44774</v>
      </c>
      <c r="N308" s="133">
        <v>43983</v>
      </c>
      <c r="O308" s="148"/>
      <c r="P308" s="149" t="s">
        <v>596</v>
      </c>
      <c r="Q308" s="150">
        <v>56</v>
      </c>
      <c r="R308" s="242" t="s">
        <v>30</v>
      </c>
      <c r="S308" s="242" t="s">
        <v>30</v>
      </c>
      <c r="T308" s="123" t="s">
        <v>30</v>
      </c>
      <c r="U308" s="252" t="s">
        <v>30</v>
      </c>
      <c r="V308" s="57" t="s">
        <v>30</v>
      </c>
      <c r="W308" s="57" t="s">
        <v>30</v>
      </c>
      <c r="X308" s="243" t="s">
        <v>30</v>
      </c>
      <c r="Y308" s="137" t="str">
        <f t="shared" si="139"/>
        <v>NC</v>
      </c>
      <c r="Z308" s="57" t="str">
        <f t="shared" si="152"/>
        <v>NC</v>
      </c>
      <c r="AA308" s="57" t="str">
        <f t="shared" si="140"/>
        <v>NC</v>
      </c>
      <c r="AB308" s="57" t="str">
        <f t="shared" si="141"/>
        <v>NC</v>
      </c>
      <c r="AC308" s="57" t="str">
        <f t="shared" si="142"/>
        <v>NC</v>
      </c>
      <c r="AD308" s="57" t="str">
        <f t="shared" si="143"/>
        <v>NC</v>
      </c>
      <c r="AE308" s="57" t="str">
        <f t="shared" si="144"/>
        <v>NC</v>
      </c>
      <c r="AG308" s="123" t="str">
        <f t="shared" si="145"/>
        <v>NC</v>
      </c>
      <c r="AH308" s="123" t="str">
        <f t="shared" si="146"/>
        <v>NC</v>
      </c>
      <c r="AI308" s="123" t="str">
        <f t="shared" si="147"/>
        <v>NC</v>
      </c>
      <c r="AJ308" s="123" t="str">
        <f t="shared" si="148"/>
        <v>NC</v>
      </c>
      <c r="AK308" s="123" t="str">
        <f t="shared" si="149"/>
        <v>NC</v>
      </c>
      <c r="AL308" s="123" t="str">
        <f t="shared" si="150"/>
        <v>NC</v>
      </c>
      <c r="AM308" s="123" t="str">
        <f t="shared" si="151"/>
        <v>NC</v>
      </c>
      <c r="AO308" s="151" t="e">
        <f t="shared" si="138"/>
        <v>#DIV/0!</v>
      </c>
      <c r="AP308" s="152"/>
      <c r="AR308" s="141" t="s">
        <v>643</v>
      </c>
      <c r="AS308" s="141" t="s">
        <v>643</v>
      </c>
      <c r="AU308" s="143" t="s">
        <v>1370</v>
      </c>
      <c r="AV308" s="143" t="s">
        <v>961</v>
      </c>
      <c r="AW308" s="143" t="s">
        <v>1371</v>
      </c>
    </row>
    <row r="309" spans="1:49" s="124" customFormat="1" ht="14.4" customHeight="1" x14ac:dyDescent="0.3">
      <c r="A309" s="121"/>
      <c r="B309" s="117"/>
      <c r="C309" s="121"/>
      <c r="D309" s="123"/>
      <c r="E309" s="123"/>
      <c r="F309" s="121"/>
      <c r="G309" s="120"/>
      <c r="H309" s="120"/>
      <c r="I309" s="120"/>
      <c r="J309" s="120" t="s">
        <v>30</v>
      </c>
      <c r="K309" s="145"/>
      <c r="L309" s="146"/>
      <c r="M309" s="154">
        <v>44774</v>
      </c>
      <c r="N309" s="133">
        <v>43983</v>
      </c>
      <c r="O309" s="148"/>
      <c r="P309" s="149" t="s">
        <v>596</v>
      </c>
      <c r="Q309" s="150"/>
      <c r="R309" s="242" t="s">
        <v>30</v>
      </c>
      <c r="S309" s="242" t="s">
        <v>30</v>
      </c>
      <c r="T309" s="123" t="s">
        <v>30</v>
      </c>
      <c r="U309" s="252" t="s">
        <v>30</v>
      </c>
      <c r="V309" s="57" t="s">
        <v>30</v>
      </c>
      <c r="W309" s="57" t="s">
        <v>30</v>
      </c>
      <c r="X309" s="243" t="s">
        <v>30</v>
      </c>
      <c r="Y309" s="137" t="str">
        <f t="shared" si="139"/>
        <v>NC</v>
      </c>
      <c r="Z309" s="57" t="str">
        <f t="shared" si="152"/>
        <v>NC</v>
      </c>
      <c r="AA309" s="57" t="str">
        <f t="shared" si="140"/>
        <v>NC</v>
      </c>
      <c r="AB309" s="57" t="str">
        <f t="shared" si="141"/>
        <v>NC</v>
      </c>
      <c r="AC309" s="57" t="str">
        <f t="shared" si="142"/>
        <v>NC</v>
      </c>
      <c r="AD309" s="57" t="str">
        <f t="shared" si="143"/>
        <v>NC</v>
      </c>
      <c r="AE309" s="57" t="str">
        <f t="shared" si="144"/>
        <v>NC</v>
      </c>
      <c r="AG309" s="123" t="str">
        <f t="shared" si="145"/>
        <v>NC</v>
      </c>
      <c r="AH309" s="123" t="str">
        <f t="shared" si="146"/>
        <v>NC</v>
      </c>
      <c r="AI309" s="123" t="str">
        <f t="shared" si="147"/>
        <v>NC</v>
      </c>
      <c r="AJ309" s="123" t="str">
        <f t="shared" si="148"/>
        <v>NC</v>
      </c>
      <c r="AK309" s="123" t="str">
        <f t="shared" si="149"/>
        <v>NC</v>
      </c>
      <c r="AL309" s="123" t="str">
        <f t="shared" si="150"/>
        <v>NC</v>
      </c>
      <c r="AM309" s="123" t="str">
        <f t="shared" si="151"/>
        <v>NC</v>
      </c>
      <c r="AO309" s="151" t="e">
        <f t="shared" si="138"/>
        <v>#DIV/0!</v>
      </c>
      <c r="AP309" s="152"/>
      <c r="AR309" s="141" t="s">
        <v>643</v>
      </c>
      <c r="AS309" s="141" t="s">
        <v>643</v>
      </c>
      <c r="AU309" s="143" t="s">
        <v>1370</v>
      </c>
      <c r="AV309" s="143" t="s">
        <v>961</v>
      </c>
      <c r="AW309" s="143" t="s">
        <v>1372</v>
      </c>
    </row>
    <row r="310" spans="1:49" s="124" customFormat="1" ht="14.4" customHeight="1" x14ac:dyDescent="0.3">
      <c r="A310" s="121"/>
      <c r="B310" s="117"/>
      <c r="C310" s="121"/>
      <c r="D310" s="123"/>
      <c r="E310" s="123"/>
      <c r="F310" s="121"/>
      <c r="G310" s="120"/>
      <c r="H310" s="120"/>
      <c r="I310" s="120"/>
      <c r="J310" s="120" t="s">
        <v>30</v>
      </c>
      <c r="K310" s="145"/>
      <c r="L310" s="146"/>
      <c r="M310" s="154"/>
      <c r="N310" s="133"/>
      <c r="O310" s="148"/>
      <c r="P310" s="149" t="s">
        <v>596</v>
      </c>
      <c r="Q310" s="150"/>
      <c r="R310" s="57" t="s">
        <v>30</v>
      </c>
      <c r="S310" s="57" t="s">
        <v>30</v>
      </c>
      <c r="T310" s="116" t="s">
        <v>30</v>
      </c>
      <c r="U310" s="118" t="s">
        <v>30</v>
      </c>
      <c r="V310" s="57" t="s">
        <v>30</v>
      </c>
      <c r="W310" s="57" t="s">
        <v>30</v>
      </c>
      <c r="X310" s="34" t="s">
        <v>30</v>
      </c>
      <c r="Y310" s="137" t="str">
        <f t="shared" si="139"/>
        <v>NC</v>
      </c>
      <c r="Z310" s="57" t="str">
        <f t="shared" si="152"/>
        <v>NC</v>
      </c>
      <c r="AA310" s="57" t="str">
        <f t="shared" si="140"/>
        <v>NC</v>
      </c>
      <c r="AB310" s="57" t="str">
        <f t="shared" si="141"/>
        <v>NC</v>
      </c>
      <c r="AC310" s="57" t="str">
        <f t="shared" si="142"/>
        <v>NC</v>
      </c>
      <c r="AD310" s="57" t="str">
        <f t="shared" si="143"/>
        <v>NC</v>
      </c>
      <c r="AE310" s="57" t="str">
        <f t="shared" si="144"/>
        <v>NC</v>
      </c>
      <c r="AG310" s="123" t="str">
        <f t="shared" si="145"/>
        <v>NC</v>
      </c>
      <c r="AH310" s="123" t="str">
        <f t="shared" si="146"/>
        <v>NC</v>
      </c>
      <c r="AI310" s="123" t="str">
        <f t="shared" si="147"/>
        <v>NC</v>
      </c>
      <c r="AJ310" s="123" t="str">
        <f t="shared" si="148"/>
        <v>NC</v>
      </c>
      <c r="AK310" s="123" t="str">
        <f t="shared" si="149"/>
        <v>NC</v>
      </c>
      <c r="AL310" s="123" t="str">
        <f t="shared" si="150"/>
        <v>NC</v>
      </c>
      <c r="AM310" s="123" t="str">
        <f t="shared" si="151"/>
        <v>NC</v>
      </c>
      <c r="AN310" s="138"/>
      <c r="AO310" s="151" t="e">
        <f t="shared" ref="AO310:AO328" si="153">K310*($AO$3-L310)/$K$4</f>
        <v>#DIV/0!</v>
      </c>
      <c r="AP310" s="152"/>
      <c r="AR310" s="141" t="s">
        <v>643</v>
      </c>
      <c r="AS310" s="141" t="s">
        <v>643</v>
      </c>
      <c r="AU310" s="143" t="s">
        <v>1356</v>
      </c>
      <c r="AV310" s="143" t="s">
        <v>961</v>
      </c>
      <c r="AW310" s="143" t="s">
        <v>962</v>
      </c>
    </row>
    <row r="311" spans="1:49" s="124" customFormat="1" ht="14.4" customHeight="1" x14ac:dyDescent="0.3">
      <c r="A311" s="121"/>
      <c r="B311" s="117"/>
      <c r="C311" s="121"/>
      <c r="D311" s="123"/>
      <c r="E311" s="123"/>
      <c r="F311" s="121"/>
      <c r="G311" s="120"/>
      <c r="H311" s="120"/>
      <c r="I311" s="120"/>
      <c r="J311" s="120" t="s">
        <v>30</v>
      </c>
      <c r="K311" s="145"/>
      <c r="L311" s="146"/>
      <c r="M311" s="154"/>
      <c r="N311" s="133"/>
      <c r="O311" s="148"/>
      <c r="P311" s="149" t="s">
        <v>596</v>
      </c>
      <c r="Q311" s="150"/>
      <c r="R311" s="57" t="s">
        <v>30</v>
      </c>
      <c r="S311" s="57" t="s">
        <v>30</v>
      </c>
      <c r="T311" s="116" t="s">
        <v>30</v>
      </c>
      <c r="U311" s="118" t="s">
        <v>30</v>
      </c>
      <c r="V311" s="57" t="s">
        <v>30</v>
      </c>
      <c r="W311" s="57" t="s">
        <v>30</v>
      </c>
      <c r="X311" s="34" t="s">
        <v>30</v>
      </c>
      <c r="Y311" s="137" t="str">
        <f t="shared" si="139"/>
        <v>NC</v>
      </c>
      <c r="Z311" s="57" t="str">
        <f t="shared" si="152"/>
        <v>NC</v>
      </c>
      <c r="AA311" s="57" t="str">
        <f t="shared" si="140"/>
        <v>NC</v>
      </c>
      <c r="AB311" s="57" t="str">
        <f t="shared" si="141"/>
        <v>NC</v>
      </c>
      <c r="AC311" s="57" t="str">
        <f t="shared" si="142"/>
        <v>NC</v>
      </c>
      <c r="AD311" s="57" t="str">
        <f t="shared" si="143"/>
        <v>NC</v>
      </c>
      <c r="AE311" s="57" t="str">
        <f t="shared" si="144"/>
        <v>NC</v>
      </c>
      <c r="AG311" s="123" t="str">
        <f t="shared" si="145"/>
        <v>NC</v>
      </c>
      <c r="AH311" s="123" t="str">
        <f t="shared" si="146"/>
        <v>NC</v>
      </c>
      <c r="AI311" s="123" t="str">
        <f t="shared" si="147"/>
        <v>NC</v>
      </c>
      <c r="AJ311" s="123" t="str">
        <f t="shared" si="148"/>
        <v>NC</v>
      </c>
      <c r="AK311" s="123" t="str">
        <f t="shared" si="149"/>
        <v>NC</v>
      </c>
      <c r="AL311" s="123" t="str">
        <f t="shared" si="150"/>
        <v>NC</v>
      </c>
      <c r="AM311" s="123" t="str">
        <f t="shared" si="151"/>
        <v>NC</v>
      </c>
      <c r="AN311" s="138"/>
      <c r="AO311" s="151" t="e">
        <f t="shared" si="153"/>
        <v>#DIV/0!</v>
      </c>
      <c r="AP311" s="152"/>
      <c r="AR311" s="141" t="s">
        <v>643</v>
      </c>
      <c r="AS311" s="141" t="s">
        <v>643</v>
      </c>
      <c r="AU311" s="143" t="s">
        <v>1356</v>
      </c>
      <c r="AV311" s="143" t="s">
        <v>961</v>
      </c>
      <c r="AW311" s="143" t="s">
        <v>963</v>
      </c>
    </row>
    <row r="312" spans="1:49" s="124" customFormat="1" ht="14.4" customHeight="1" x14ac:dyDescent="0.3">
      <c r="A312" s="121"/>
      <c r="B312" s="117"/>
      <c r="C312" s="121"/>
      <c r="D312" s="123"/>
      <c r="E312" s="123"/>
      <c r="F312" s="121"/>
      <c r="G312" s="120"/>
      <c r="H312" s="120"/>
      <c r="I312" s="120"/>
      <c r="J312" s="120" t="s">
        <v>30</v>
      </c>
      <c r="K312" s="145"/>
      <c r="L312" s="146"/>
      <c r="M312" s="154"/>
      <c r="N312" s="133"/>
      <c r="O312" s="148"/>
      <c r="P312" s="149" t="s">
        <v>596</v>
      </c>
      <c r="Q312" s="150"/>
      <c r="R312" s="57" t="s">
        <v>30</v>
      </c>
      <c r="S312" s="57" t="s">
        <v>30</v>
      </c>
      <c r="T312" s="116" t="s">
        <v>30</v>
      </c>
      <c r="U312" s="118" t="s">
        <v>30</v>
      </c>
      <c r="V312" s="57" t="s">
        <v>30</v>
      </c>
      <c r="W312" s="57" t="s">
        <v>30</v>
      </c>
      <c r="X312" s="34" t="s">
        <v>30</v>
      </c>
      <c r="Y312" s="137" t="str">
        <f t="shared" si="139"/>
        <v>NC</v>
      </c>
      <c r="Z312" s="57" t="str">
        <f t="shared" si="152"/>
        <v>NC</v>
      </c>
      <c r="AA312" s="57" t="str">
        <f t="shared" si="140"/>
        <v>NC</v>
      </c>
      <c r="AB312" s="57" t="str">
        <f t="shared" si="141"/>
        <v>NC</v>
      </c>
      <c r="AC312" s="57" t="str">
        <f t="shared" si="142"/>
        <v>NC</v>
      </c>
      <c r="AD312" s="57" t="str">
        <f t="shared" si="143"/>
        <v>NC</v>
      </c>
      <c r="AE312" s="57" t="str">
        <f t="shared" si="144"/>
        <v>NC</v>
      </c>
      <c r="AG312" s="123" t="str">
        <f t="shared" si="145"/>
        <v>NC</v>
      </c>
      <c r="AH312" s="123" t="str">
        <f t="shared" si="146"/>
        <v>NC</v>
      </c>
      <c r="AI312" s="123" t="str">
        <f t="shared" si="147"/>
        <v>NC</v>
      </c>
      <c r="AJ312" s="123" t="str">
        <f t="shared" si="148"/>
        <v>NC</v>
      </c>
      <c r="AK312" s="123" t="str">
        <f t="shared" si="149"/>
        <v>NC</v>
      </c>
      <c r="AL312" s="123" t="str">
        <f t="shared" si="150"/>
        <v>NC</v>
      </c>
      <c r="AM312" s="123" t="str">
        <f t="shared" si="151"/>
        <v>NC</v>
      </c>
      <c r="AN312" s="138"/>
      <c r="AO312" s="151" t="e">
        <f t="shared" si="153"/>
        <v>#DIV/0!</v>
      </c>
      <c r="AP312" s="152"/>
      <c r="AR312" s="141" t="s">
        <v>643</v>
      </c>
      <c r="AS312" s="141" t="s">
        <v>643</v>
      </c>
      <c r="AU312" s="143" t="s">
        <v>1356</v>
      </c>
      <c r="AV312" s="143" t="s">
        <v>961</v>
      </c>
      <c r="AW312" s="143" t="s">
        <v>964</v>
      </c>
    </row>
    <row r="313" spans="1:49" s="124" customFormat="1" ht="14.4" customHeight="1" x14ac:dyDescent="0.3">
      <c r="A313" s="116"/>
      <c r="B313" s="116"/>
      <c r="C313" s="121"/>
      <c r="D313" s="116"/>
      <c r="E313" s="116"/>
      <c r="F313" s="239"/>
      <c r="G313" s="120"/>
      <c r="H313" s="120"/>
      <c r="I313" s="120"/>
      <c r="J313" s="120" t="s">
        <v>30</v>
      </c>
      <c r="K313" s="134"/>
      <c r="L313" s="120"/>
      <c r="M313" s="154"/>
      <c r="N313" s="162">
        <v>44013</v>
      </c>
      <c r="O313" s="116"/>
      <c r="P313" s="149" t="s">
        <v>596</v>
      </c>
      <c r="Q313" s="136"/>
      <c r="R313" s="57" t="s">
        <v>30</v>
      </c>
      <c r="S313" s="57" t="s">
        <v>30</v>
      </c>
      <c r="T313" s="57" t="s">
        <v>30</v>
      </c>
      <c r="U313" s="34" t="s">
        <v>30</v>
      </c>
      <c r="V313" s="57" t="s">
        <v>30</v>
      </c>
      <c r="W313" s="57" t="s">
        <v>30</v>
      </c>
      <c r="X313" s="34" t="s">
        <v>30</v>
      </c>
      <c r="Y313" s="137" t="str">
        <f t="shared" si="139"/>
        <v>NC</v>
      </c>
      <c r="Z313" s="57" t="str">
        <f t="shared" si="152"/>
        <v>NC</v>
      </c>
      <c r="AA313" s="57" t="str">
        <f t="shared" si="140"/>
        <v>NC</v>
      </c>
      <c r="AB313" s="57" t="str">
        <f t="shared" si="141"/>
        <v>NC</v>
      </c>
      <c r="AC313" s="57" t="str">
        <f t="shared" si="142"/>
        <v>NC</v>
      </c>
      <c r="AD313" s="57" t="str">
        <f t="shared" si="143"/>
        <v>NC</v>
      </c>
      <c r="AE313" s="57" t="str">
        <f t="shared" si="144"/>
        <v>NC</v>
      </c>
      <c r="AF313" s="138"/>
      <c r="AG313" s="123" t="str">
        <f t="shared" si="145"/>
        <v>NC</v>
      </c>
      <c r="AH313" s="123" t="str">
        <f t="shared" si="146"/>
        <v>NC</v>
      </c>
      <c r="AI313" s="123" t="str">
        <f t="shared" si="147"/>
        <v>NC</v>
      </c>
      <c r="AJ313" s="123" t="str">
        <f t="shared" si="148"/>
        <v>NC</v>
      </c>
      <c r="AK313" s="123" t="str">
        <f t="shared" si="149"/>
        <v>NC</v>
      </c>
      <c r="AL313" s="123" t="str">
        <f t="shared" si="150"/>
        <v>NC</v>
      </c>
      <c r="AM313" s="123" t="str">
        <f t="shared" si="151"/>
        <v>NC</v>
      </c>
      <c r="AN313" s="138"/>
      <c r="AO313" s="151" t="e">
        <f t="shared" si="153"/>
        <v>#DIV/0!</v>
      </c>
      <c r="AP313" s="138"/>
      <c r="AQ313" s="138"/>
      <c r="AR313" s="141" t="s">
        <v>643</v>
      </c>
      <c r="AS313" s="141" t="s">
        <v>643</v>
      </c>
      <c r="AT313" s="138"/>
      <c r="AU313" s="142" t="s">
        <v>1373</v>
      </c>
      <c r="AV313" s="143" t="s">
        <v>1349</v>
      </c>
      <c r="AW313" s="143" t="s">
        <v>1374</v>
      </c>
    </row>
    <row r="314" spans="1:49" s="124" customFormat="1" ht="14.4" customHeight="1" x14ac:dyDescent="0.3">
      <c r="A314" s="116"/>
      <c r="B314" s="116"/>
      <c r="C314" s="121"/>
      <c r="D314" s="116"/>
      <c r="E314" s="116"/>
      <c r="F314" s="239"/>
      <c r="G314" s="120"/>
      <c r="H314" s="120"/>
      <c r="I314" s="120"/>
      <c r="J314" s="120" t="s">
        <v>30</v>
      </c>
      <c r="K314" s="134"/>
      <c r="L314" s="120"/>
      <c r="M314" s="154"/>
      <c r="N314" s="162">
        <v>44013</v>
      </c>
      <c r="O314" s="116"/>
      <c r="P314" s="149" t="s">
        <v>596</v>
      </c>
      <c r="Q314" s="136"/>
      <c r="R314" s="57" t="s">
        <v>30</v>
      </c>
      <c r="S314" s="57" t="s">
        <v>30</v>
      </c>
      <c r="T314" s="57" t="s">
        <v>30</v>
      </c>
      <c r="U314" s="34" t="s">
        <v>30</v>
      </c>
      <c r="V314" s="57" t="s">
        <v>30</v>
      </c>
      <c r="W314" s="57" t="s">
        <v>30</v>
      </c>
      <c r="X314" s="34" t="s">
        <v>30</v>
      </c>
      <c r="Y314" s="137" t="str">
        <f t="shared" si="139"/>
        <v>NC</v>
      </c>
      <c r="Z314" s="57" t="str">
        <f t="shared" si="152"/>
        <v>NC</v>
      </c>
      <c r="AA314" s="57" t="str">
        <f t="shared" si="140"/>
        <v>NC</v>
      </c>
      <c r="AB314" s="57" t="str">
        <f t="shared" si="141"/>
        <v>NC</v>
      </c>
      <c r="AC314" s="57" t="str">
        <f t="shared" si="142"/>
        <v>NC</v>
      </c>
      <c r="AD314" s="57" t="str">
        <f t="shared" si="143"/>
        <v>NC</v>
      </c>
      <c r="AE314" s="57" t="str">
        <f t="shared" si="144"/>
        <v>NC</v>
      </c>
      <c r="AF314" s="138"/>
      <c r="AG314" s="123" t="str">
        <f t="shared" si="145"/>
        <v>NC</v>
      </c>
      <c r="AH314" s="123" t="str">
        <f t="shared" si="146"/>
        <v>NC</v>
      </c>
      <c r="AI314" s="123" t="str">
        <f t="shared" si="147"/>
        <v>NC</v>
      </c>
      <c r="AJ314" s="123" t="str">
        <f t="shared" si="148"/>
        <v>NC</v>
      </c>
      <c r="AK314" s="123" t="str">
        <f t="shared" si="149"/>
        <v>NC</v>
      </c>
      <c r="AL314" s="123" t="str">
        <f t="shared" si="150"/>
        <v>NC</v>
      </c>
      <c r="AM314" s="123" t="str">
        <f t="shared" si="151"/>
        <v>NC</v>
      </c>
      <c r="AN314" s="138"/>
      <c r="AO314" s="151" t="e">
        <f t="shared" si="153"/>
        <v>#DIV/0!</v>
      </c>
      <c r="AP314" s="138"/>
      <c r="AQ314" s="138"/>
      <c r="AR314" s="141" t="s">
        <v>643</v>
      </c>
      <c r="AS314" s="141" t="s">
        <v>643</v>
      </c>
      <c r="AT314" s="138"/>
      <c r="AU314" s="142" t="s">
        <v>1373</v>
      </c>
      <c r="AV314" s="143" t="s">
        <v>958</v>
      </c>
      <c r="AW314" s="143" t="s">
        <v>965</v>
      </c>
    </row>
    <row r="315" spans="1:49" s="138" customFormat="1" ht="14.4" customHeight="1" x14ac:dyDescent="0.3">
      <c r="A315" s="116"/>
      <c r="B315" s="116"/>
      <c r="C315" s="201"/>
      <c r="D315" s="127"/>
      <c r="E315" s="127"/>
      <c r="F315" s="253"/>
      <c r="G315" s="129"/>
      <c r="H315" s="129"/>
      <c r="I315" s="129"/>
      <c r="J315" s="129" t="s">
        <v>30</v>
      </c>
      <c r="K315" s="254"/>
      <c r="L315" s="129"/>
      <c r="M315" s="255"/>
      <c r="N315" s="256">
        <v>43983</v>
      </c>
      <c r="O315" s="127"/>
      <c r="P315" s="257" t="s">
        <v>596</v>
      </c>
      <c r="Q315" s="258"/>
      <c r="R315" s="208" t="s">
        <v>30</v>
      </c>
      <c r="S315" s="208" t="s">
        <v>30</v>
      </c>
      <c r="T315" s="208" t="s">
        <v>30</v>
      </c>
      <c r="U315" s="209" t="s">
        <v>30</v>
      </c>
      <c r="V315" s="208" t="s">
        <v>30</v>
      </c>
      <c r="W315" s="208" t="s">
        <v>30</v>
      </c>
      <c r="X315" s="34" t="s">
        <v>30</v>
      </c>
      <c r="Y315" s="137" t="str">
        <f t="shared" si="139"/>
        <v>NC</v>
      </c>
      <c r="Z315" s="57" t="str">
        <f t="shared" si="152"/>
        <v>NC</v>
      </c>
      <c r="AA315" s="57" t="str">
        <f t="shared" si="140"/>
        <v>NC</v>
      </c>
      <c r="AB315" s="57" t="str">
        <f t="shared" si="141"/>
        <v>NC</v>
      </c>
      <c r="AC315" s="57" t="str">
        <f t="shared" si="142"/>
        <v>NC</v>
      </c>
      <c r="AD315" s="57" t="str">
        <f t="shared" si="143"/>
        <v>NC</v>
      </c>
      <c r="AE315" s="57" t="str">
        <f t="shared" si="144"/>
        <v>NC</v>
      </c>
      <c r="AG315" s="123" t="str">
        <f t="shared" si="145"/>
        <v>NC</v>
      </c>
      <c r="AH315" s="123" t="str">
        <f t="shared" si="146"/>
        <v>NC</v>
      </c>
      <c r="AI315" s="123" t="str">
        <f t="shared" si="147"/>
        <v>NC</v>
      </c>
      <c r="AJ315" s="123" t="str">
        <f t="shared" si="148"/>
        <v>NC</v>
      </c>
      <c r="AK315" s="123" t="str">
        <f t="shared" si="149"/>
        <v>NC</v>
      </c>
      <c r="AL315" s="123" t="str">
        <f t="shared" si="150"/>
        <v>NC</v>
      </c>
      <c r="AM315" s="123" t="str">
        <f t="shared" si="151"/>
        <v>NC</v>
      </c>
      <c r="AO315" s="151" t="e">
        <f t="shared" si="153"/>
        <v>#DIV/0!</v>
      </c>
      <c r="AR315" s="141" t="s">
        <v>643</v>
      </c>
      <c r="AS315" s="141" t="s">
        <v>643</v>
      </c>
      <c r="AU315" s="142" t="s">
        <v>1390</v>
      </c>
      <c r="AV315" s="143" t="s">
        <v>720</v>
      </c>
      <c r="AW315" s="143" t="s">
        <v>1391</v>
      </c>
    </row>
    <row r="316" spans="1:49" s="138" customFormat="1" ht="14.4" customHeight="1" x14ac:dyDescent="0.3">
      <c r="A316" s="116"/>
      <c r="B316" s="118"/>
      <c r="C316" s="121"/>
      <c r="D316" s="116"/>
      <c r="E316" s="116"/>
      <c r="F316" s="239"/>
      <c r="G316" s="120"/>
      <c r="H316" s="120"/>
      <c r="I316" s="120"/>
      <c r="J316" s="120" t="s">
        <v>30</v>
      </c>
      <c r="K316" s="134"/>
      <c r="L316" s="120"/>
      <c r="M316" s="154"/>
      <c r="N316" s="162">
        <v>43983</v>
      </c>
      <c r="O316" s="116"/>
      <c r="P316" s="149" t="s">
        <v>596</v>
      </c>
      <c r="Q316" s="136"/>
      <c r="R316" s="57" t="s">
        <v>30</v>
      </c>
      <c r="S316" s="57" t="s">
        <v>30</v>
      </c>
      <c r="T316" s="57" t="s">
        <v>30</v>
      </c>
      <c r="U316" s="57" t="s">
        <v>30</v>
      </c>
      <c r="V316" s="57" t="s">
        <v>30</v>
      </c>
      <c r="W316" s="57" t="s">
        <v>30</v>
      </c>
      <c r="X316" s="259" t="s">
        <v>30</v>
      </c>
      <c r="Y316" s="137" t="str">
        <f t="shared" si="139"/>
        <v>NC</v>
      </c>
      <c r="Z316" s="57" t="str">
        <f t="shared" si="152"/>
        <v>NC</v>
      </c>
      <c r="AA316" s="57" t="str">
        <f t="shared" si="140"/>
        <v>NC</v>
      </c>
      <c r="AB316" s="57" t="str">
        <f t="shared" si="141"/>
        <v>NC</v>
      </c>
      <c r="AC316" s="57" t="str">
        <f t="shared" si="142"/>
        <v>NC</v>
      </c>
      <c r="AD316" s="57" t="str">
        <f t="shared" si="143"/>
        <v>NC</v>
      </c>
      <c r="AE316" s="57" t="str">
        <f t="shared" si="144"/>
        <v>NC</v>
      </c>
      <c r="AG316" s="123" t="str">
        <f t="shared" si="145"/>
        <v>NC</v>
      </c>
      <c r="AH316" s="123" t="str">
        <f t="shared" si="146"/>
        <v>NC</v>
      </c>
      <c r="AI316" s="123" t="str">
        <f t="shared" si="147"/>
        <v>NC</v>
      </c>
      <c r="AJ316" s="123" t="str">
        <f t="shared" si="148"/>
        <v>NC</v>
      </c>
      <c r="AK316" s="123" t="str">
        <f t="shared" si="149"/>
        <v>NC</v>
      </c>
      <c r="AL316" s="123" t="str">
        <f t="shared" si="150"/>
        <v>NC</v>
      </c>
      <c r="AM316" s="123" t="str">
        <f t="shared" si="151"/>
        <v>NC</v>
      </c>
      <c r="AO316" s="151" t="e">
        <f t="shared" si="153"/>
        <v>#DIV/0!</v>
      </c>
      <c r="AR316" s="141" t="s">
        <v>643</v>
      </c>
      <c r="AS316" s="141" t="s">
        <v>643</v>
      </c>
      <c r="AU316" s="142" t="s">
        <v>1395</v>
      </c>
      <c r="AV316" s="143" t="s">
        <v>1392</v>
      </c>
      <c r="AW316" s="143" t="s">
        <v>1393</v>
      </c>
    </row>
    <row r="317" spans="1:49" s="124" customFormat="1" ht="14.4" customHeight="1" x14ac:dyDescent="0.3">
      <c r="A317" s="260"/>
      <c r="B317" s="117"/>
      <c r="C317" s="121"/>
      <c r="D317" s="123"/>
      <c r="E317" s="123"/>
      <c r="F317" s="121"/>
      <c r="G317" s="120"/>
      <c r="H317" s="120"/>
      <c r="I317" s="120"/>
      <c r="J317" s="120" t="s">
        <v>30</v>
      </c>
      <c r="K317" s="145"/>
      <c r="L317" s="146"/>
      <c r="M317" s="154"/>
      <c r="N317" s="133">
        <v>43983</v>
      </c>
      <c r="O317" s="148"/>
      <c r="P317" s="149" t="s">
        <v>596</v>
      </c>
      <c r="Q317" s="150"/>
      <c r="R317" s="57" t="s">
        <v>30</v>
      </c>
      <c r="S317" s="57" t="s">
        <v>30</v>
      </c>
      <c r="T317" s="116" t="s">
        <v>30</v>
      </c>
      <c r="U317" s="116" t="s">
        <v>30</v>
      </c>
      <c r="V317" s="57" t="s">
        <v>30</v>
      </c>
      <c r="W317" s="57" t="s">
        <v>30</v>
      </c>
      <c r="X317" s="261" t="s">
        <v>30</v>
      </c>
      <c r="Y317" s="137" t="str">
        <f t="shared" si="139"/>
        <v>NC</v>
      </c>
      <c r="Z317" s="57" t="str">
        <f t="shared" si="152"/>
        <v>NC</v>
      </c>
      <c r="AA317" s="57" t="str">
        <f t="shared" si="140"/>
        <v>NC</v>
      </c>
      <c r="AB317" s="57" t="str">
        <f t="shared" si="141"/>
        <v>NC</v>
      </c>
      <c r="AC317" s="57" t="str">
        <f t="shared" si="142"/>
        <v>NC</v>
      </c>
      <c r="AD317" s="57" t="str">
        <f t="shared" si="143"/>
        <v>NC</v>
      </c>
      <c r="AE317" s="57" t="str">
        <f t="shared" si="144"/>
        <v>NC</v>
      </c>
      <c r="AG317" s="123" t="str">
        <f t="shared" si="145"/>
        <v>NC</v>
      </c>
      <c r="AH317" s="123" t="str">
        <f t="shared" si="146"/>
        <v>NC</v>
      </c>
      <c r="AI317" s="123" t="str">
        <f t="shared" si="147"/>
        <v>NC</v>
      </c>
      <c r="AJ317" s="123" t="str">
        <f t="shared" si="148"/>
        <v>NC</v>
      </c>
      <c r="AK317" s="123" t="str">
        <f t="shared" si="149"/>
        <v>NC</v>
      </c>
      <c r="AL317" s="123" t="str">
        <f t="shared" si="150"/>
        <v>NC</v>
      </c>
      <c r="AM317" s="123" t="str">
        <f t="shared" si="151"/>
        <v>NC</v>
      </c>
      <c r="AN317" s="138"/>
      <c r="AO317" s="151" t="e">
        <f t="shared" si="153"/>
        <v>#DIV/0!</v>
      </c>
      <c r="AP317" s="152"/>
      <c r="AR317" s="141" t="s">
        <v>643</v>
      </c>
      <c r="AS317" s="141" t="s">
        <v>643</v>
      </c>
      <c r="AU317" s="143" t="s">
        <v>1378</v>
      </c>
      <c r="AV317" s="143" t="s">
        <v>1376</v>
      </c>
      <c r="AW317" s="143" t="s">
        <v>1379</v>
      </c>
    </row>
    <row r="318" spans="1:49" s="124" customFormat="1" ht="14.4" customHeight="1" x14ac:dyDescent="0.3">
      <c r="A318" s="121"/>
      <c r="B318" s="117"/>
      <c r="C318" s="121"/>
      <c r="D318" s="123"/>
      <c r="E318" s="123"/>
      <c r="F318" s="121"/>
      <c r="G318" s="120"/>
      <c r="H318" s="120"/>
      <c r="I318" s="120"/>
      <c r="J318" s="120" t="s">
        <v>30</v>
      </c>
      <c r="K318" s="145"/>
      <c r="L318" s="146"/>
      <c r="M318" s="147" t="s">
        <v>609</v>
      </c>
      <c r="N318" s="133">
        <v>44166</v>
      </c>
      <c r="O318" s="148"/>
      <c r="P318" s="149" t="s">
        <v>596</v>
      </c>
      <c r="Q318" s="150"/>
      <c r="R318" s="57" t="s">
        <v>30</v>
      </c>
      <c r="S318" s="57" t="s">
        <v>30</v>
      </c>
      <c r="T318" s="116" t="s">
        <v>30</v>
      </c>
      <c r="U318" s="116" t="s">
        <v>30</v>
      </c>
      <c r="V318" s="57" t="s">
        <v>30</v>
      </c>
      <c r="W318" s="57" t="s">
        <v>30</v>
      </c>
      <c r="X318" s="262" t="s">
        <v>30</v>
      </c>
      <c r="Y318" s="137" t="str">
        <f t="shared" ref="Y318:Y328" si="154">IF(R318="NC","NC",IF(R318="","erreur",R318+365))</f>
        <v>NC</v>
      </c>
      <c r="Z318" s="57" t="str">
        <f t="shared" si="152"/>
        <v>NC</v>
      </c>
      <c r="AA318" s="57" t="str">
        <f t="shared" ref="AA318:AA328" si="155">IF(T318="NC","NC",IF(T318="","erreur",T318+365))</f>
        <v>NC</v>
      </c>
      <c r="AB318" s="57" t="str">
        <f t="shared" ref="AB318:AB328" si="156">IF(U318="NC","NC",IF(U318="","erreur",U318+3650))</f>
        <v>NC</v>
      </c>
      <c r="AC318" s="57" t="str">
        <f t="shared" ref="AC318:AC328" si="157">IF(V318="NC","NC",IF(V318="","erreur",V318+365))</f>
        <v>NC</v>
      </c>
      <c r="AD318" s="57" t="str">
        <f t="shared" ref="AD318:AD328" si="158">IF(W318="NC","NC",IF(W318="","erreur",W318+365))</f>
        <v>NC</v>
      </c>
      <c r="AE318" s="57" t="str">
        <f t="shared" ref="AE318:AE328" si="159">IF(X318="NC","NC",IF(X318="","erreur",X318+730))</f>
        <v>NC</v>
      </c>
      <c r="AG318" s="123" t="str">
        <f t="shared" ref="AG318:AG328" si="160">IF(Y318="NC","NC",IF(Y318="erreur","erreur",Y318-$F$3))</f>
        <v>NC</v>
      </c>
      <c r="AH318" s="123" t="str">
        <f t="shared" ref="AH318:AH328" si="161">IF(Z318="NC","NC",IF(Z318="erreur","erreur",Z318-$F$3))</f>
        <v>NC</v>
      </c>
      <c r="AI318" s="123" t="str">
        <f t="shared" ref="AI318:AI328" si="162">IF(AA318="NC","NC",IF(AA318="erreur","erreur",AA318-$F$3))</f>
        <v>NC</v>
      </c>
      <c r="AJ318" s="123" t="str">
        <f t="shared" ref="AJ318:AJ328" si="163">IF(AB318="NC","NC",IF(AB318="erreur","erreur",AB318-$F$3))</f>
        <v>NC</v>
      </c>
      <c r="AK318" s="123" t="str">
        <f t="shared" ref="AK318:AK328" si="164">IF(AC318="NC","NC",IF(AC318="erreur","erreur",AC318-$F$3))</f>
        <v>NC</v>
      </c>
      <c r="AL318" s="123" t="str">
        <f t="shared" ref="AL318:AL328" si="165">IF(AD318="NC","NC",IF(AD318="erreur","erreur",AD318-$F$3))</f>
        <v>NC</v>
      </c>
      <c r="AM318" s="123" t="str">
        <f t="shared" ref="AM318:AM328" si="166">IF(AE318="NC","NC",IF(AE318="erreur","erreur",AE318-$F$3))</f>
        <v>NC</v>
      </c>
      <c r="AN318" s="138"/>
      <c r="AO318" s="151" t="e">
        <f t="shared" si="153"/>
        <v>#DIV/0!</v>
      </c>
      <c r="AP318" s="152"/>
      <c r="AR318" s="141" t="s">
        <v>643</v>
      </c>
      <c r="AS318" s="141" t="s">
        <v>643</v>
      </c>
      <c r="AU318" s="143" t="s">
        <v>1380</v>
      </c>
      <c r="AV318" s="143" t="s">
        <v>1376</v>
      </c>
      <c r="AW318" s="143" t="s">
        <v>1379</v>
      </c>
    </row>
    <row r="319" spans="1:49" s="124" customFormat="1" ht="14.4" customHeight="1" x14ac:dyDescent="0.3">
      <c r="A319" s="116"/>
      <c r="B319" s="118"/>
      <c r="C319" s="117"/>
      <c r="D319" s="116"/>
      <c r="E319" s="116"/>
      <c r="F319" s="239"/>
      <c r="G319" s="120"/>
      <c r="H319" s="120"/>
      <c r="I319" s="120"/>
      <c r="J319" s="120" t="s">
        <v>30</v>
      </c>
      <c r="K319" s="134"/>
      <c r="L319" s="120"/>
      <c r="M319" s="132"/>
      <c r="N319" s="162">
        <v>43952</v>
      </c>
      <c r="O319" s="116"/>
      <c r="P319" s="135" t="s">
        <v>596</v>
      </c>
      <c r="Q319" s="136"/>
      <c r="R319" s="57" t="s">
        <v>30</v>
      </c>
      <c r="S319" s="57" t="s">
        <v>30</v>
      </c>
      <c r="T319" s="57" t="s">
        <v>30</v>
      </c>
      <c r="U319" s="57" t="s">
        <v>30</v>
      </c>
      <c r="V319" s="57" t="s">
        <v>30</v>
      </c>
      <c r="W319" s="57" t="s">
        <v>30</v>
      </c>
      <c r="X319" s="262" t="s">
        <v>30</v>
      </c>
      <c r="Y319" s="137" t="str">
        <f t="shared" si="154"/>
        <v>NC</v>
      </c>
      <c r="Z319" s="57" t="str">
        <f t="shared" si="152"/>
        <v>NC</v>
      </c>
      <c r="AA319" s="57" t="str">
        <f t="shared" si="155"/>
        <v>NC</v>
      </c>
      <c r="AB319" s="57" t="str">
        <f t="shared" si="156"/>
        <v>NC</v>
      </c>
      <c r="AC319" s="57" t="str">
        <f t="shared" si="157"/>
        <v>NC</v>
      </c>
      <c r="AD319" s="57" t="str">
        <f t="shared" si="158"/>
        <v>NC</v>
      </c>
      <c r="AE319" s="57" t="str">
        <f t="shared" si="159"/>
        <v>NC</v>
      </c>
      <c r="AF319" s="138"/>
      <c r="AG319" s="123" t="str">
        <f t="shared" si="160"/>
        <v>NC</v>
      </c>
      <c r="AH319" s="123" t="str">
        <f t="shared" si="161"/>
        <v>NC</v>
      </c>
      <c r="AI319" s="123" t="str">
        <f t="shared" si="162"/>
        <v>NC</v>
      </c>
      <c r="AJ319" s="123" t="str">
        <f t="shared" si="163"/>
        <v>NC</v>
      </c>
      <c r="AK319" s="123" t="str">
        <f t="shared" si="164"/>
        <v>NC</v>
      </c>
      <c r="AL319" s="123" t="str">
        <f t="shared" si="165"/>
        <v>NC</v>
      </c>
      <c r="AM319" s="123" t="str">
        <f t="shared" si="166"/>
        <v>NC</v>
      </c>
      <c r="AN319" s="138"/>
      <c r="AO319" s="151" t="e">
        <f t="shared" si="153"/>
        <v>#DIV/0!</v>
      </c>
      <c r="AP319" s="138"/>
      <c r="AQ319" s="138"/>
      <c r="AR319" s="138"/>
      <c r="AS319" s="138"/>
      <c r="AT319" s="138"/>
      <c r="AU319" s="142" t="s">
        <v>1375</v>
      </c>
      <c r="AV319" s="143" t="s">
        <v>1376</v>
      </c>
      <c r="AW319" s="143" t="s">
        <v>1377</v>
      </c>
    </row>
    <row r="320" spans="1:49" s="124" customFormat="1" ht="14.4" customHeight="1" x14ac:dyDescent="0.3">
      <c r="A320" s="121"/>
      <c r="B320" s="263"/>
      <c r="C320" s="121"/>
      <c r="D320" s="123"/>
      <c r="E320" s="123"/>
      <c r="F320" s="121"/>
      <c r="G320" s="120"/>
      <c r="H320" s="120"/>
      <c r="I320" s="120"/>
      <c r="J320" s="120" t="s">
        <v>30</v>
      </c>
      <c r="K320" s="145"/>
      <c r="L320" s="146"/>
      <c r="M320" s="154"/>
      <c r="N320" s="133"/>
      <c r="O320" s="148"/>
      <c r="P320" s="149" t="s">
        <v>596</v>
      </c>
      <c r="Q320" s="150"/>
      <c r="R320" s="57" t="s">
        <v>30</v>
      </c>
      <c r="S320" s="57" t="s">
        <v>30</v>
      </c>
      <c r="T320" s="116" t="s">
        <v>30</v>
      </c>
      <c r="U320" s="116" t="s">
        <v>30</v>
      </c>
      <c r="V320" s="57" t="s">
        <v>30</v>
      </c>
      <c r="W320" s="57" t="s">
        <v>30</v>
      </c>
      <c r="X320" s="262" t="s">
        <v>30</v>
      </c>
      <c r="Y320" s="137" t="str">
        <f t="shared" si="154"/>
        <v>NC</v>
      </c>
      <c r="Z320" s="57" t="str">
        <f t="shared" si="152"/>
        <v>NC</v>
      </c>
      <c r="AA320" s="57" t="str">
        <f t="shared" si="155"/>
        <v>NC</v>
      </c>
      <c r="AB320" s="57" t="str">
        <f t="shared" si="156"/>
        <v>NC</v>
      </c>
      <c r="AC320" s="57" t="str">
        <f t="shared" si="157"/>
        <v>NC</v>
      </c>
      <c r="AD320" s="57" t="str">
        <f t="shared" si="158"/>
        <v>NC</v>
      </c>
      <c r="AE320" s="57" t="str">
        <f t="shared" si="159"/>
        <v>NC</v>
      </c>
      <c r="AG320" s="123" t="str">
        <f t="shared" si="160"/>
        <v>NC</v>
      </c>
      <c r="AH320" s="123" t="str">
        <f t="shared" si="161"/>
        <v>NC</v>
      </c>
      <c r="AI320" s="123" t="str">
        <f t="shared" si="162"/>
        <v>NC</v>
      </c>
      <c r="AJ320" s="123" t="str">
        <f t="shared" si="163"/>
        <v>NC</v>
      </c>
      <c r="AK320" s="123" t="str">
        <f t="shared" si="164"/>
        <v>NC</v>
      </c>
      <c r="AL320" s="123" t="str">
        <f t="shared" si="165"/>
        <v>NC</v>
      </c>
      <c r="AM320" s="123" t="str">
        <f t="shared" si="166"/>
        <v>NC</v>
      </c>
      <c r="AN320" s="138"/>
      <c r="AO320" s="151" t="e">
        <f t="shared" si="153"/>
        <v>#DIV/0!</v>
      </c>
      <c r="AP320" s="152"/>
      <c r="AR320" s="141" t="s">
        <v>643</v>
      </c>
      <c r="AS320" s="141" t="s">
        <v>643</v>
      </c>
      <c r="AU320" s="143"/>
      <c r="AV320" s="143" t="s">
        <v>966</v>
      </c>
      <c r="AW320" s="143" t="s">
        <v>967</v>
      </c>
    </row>
    <row r="321" spans="1:49" s="124" customFormat="1" ht="14.4" customHeight="1" x14ac:dyDescent="0.3">
      <c r="A321" s="121"/>
      <c r="B321" s="263"/>
      <c r="C321" s="121"/>
      <c r="D321" s="123"/>
      <c r="E321" s="123"/>
      <c r="F321" s="121"/>
      <c r="G321" s="120"/>
      <c r="H321" s="120"/>
      <c r="I321" s="120"/>
      <c r="J321" s="120" t="s">
        <v>30</v>
      </c>
      <c r="K321" s="145"/>
      <c r="L321" s="146"/>
      <c r="M321" s="154"/>
      <c r="N321" s="133">
        <v>43983</v>
      </c>
      <c r="O321" s="148"/>
      <c r="P321" s="149" t="s">
        <v>596</v>
      </c>
      <c r="Q321" s="150"/>
      <c r="R321" s="57" t="s">
        <v>30</v>
      </c>
      <c r="S321" s="57" t="s">
        <v>30</v>
      </c>
      <c r="T321" s="116" t="s">
        <v>30</v>
      </c>
      <c r="U321" s="116" t="s">
        <v>30</v>
      </c>
      <c r="V321" s="57" t="s">
        <v>30</v>
      </c>
      <c r="W321" s="57" t="s">
        <v>30</v>
      </c>
      <c r="X321" s="264" t="s">
        <v>30</v>
      </c>
      <c r="Y321" s="137" t="str">
        <f t="shared" si="154"/>
        <v>NC</v>
      </c>
      <c r="Z321" s="57" t="str">
        <f t="shared" si="152"/>
        <v>NC</v>
      </c>
      <c r="AA321" s="57" t="str">
        <f t="shared" si="155"/>
        <v>NC</v>
      </c>
      <c r="AB321" s="57" t="str">
        <f t="shared" si="156"/>
        <v>NC</v>
      </c>
      <c r="AC321" s="57" t="str">
        <f t="shared" si="157"/>
        <v>NC</v>
      </c>
      <c r="AD321" s="57" t="str">
        <f t="shared" si="158"/>
        <v>NC</v>
      </c>
      <c r="AE321" s="57" t="str">
        <f t="shared" si="159"/>
        <v>NC</v>
      </c>
      <c r="AG321" s="123" t="str">
        <f t="shared" si="160"/>
        <v>NC</v>
      </c>
      <c r="AH321" s="123" t="str">
        <f t="shared" si="161"/>
        <v>NC</v>
      </c>
      <c r="AI321" s="123" t="str">
        <f t="shared" si="162"/>
        <v>NC</v>
      </c>
      <c r="AJ321" s="123" t="str">
        <f t="shared" si="163"/>
        <v>NC</v>
      </c>
      <c r="AK321" s="123" t="str">
        <f t="shared" si="164"/>
        <v>NC</v>
      </c>
      <c r="AL321" s="123" t="str">
        <f t="shared" si="165"/>
        <v>NC</v>
      </c>
      <c r="AM321" s="123" t="str">
        <f t="shared" si="166"/>
        <v>NC</v>
      </c>
      <c r="AN321" s="138"/>
      <c r="AO321" s="151" t="e">
        <f t="shared" si="153"/>
        <v>#DIV/0!</v>
      </c>
      <c r="AP321" s="152"/>
      <c r="AR321" s="141" t="s">
        <v>643</v>
      </c>
      <c r="AS321" s="141" t="s">
        <v>643</v>
      </c>
      <c r="AU321" s="143" t="s">
        <v>1482</v>
      </c>
      <c r="AV321" s="143" t="s">
        <v>1483</v>
      </c>
      <c r="AW321" s="143" t="s">
        <v>1484</v>
      </c>
    </row>
    <row r="322" spans="1:49" s="124" customFormat="1" ht="14.4" customHeight="1" x14ac:dyDescent="0.3">
      <c r="A322" s="121"/>
      <c r="B322" s="117"/>
      <c r="C322" s="121"/>
      <c r="D322" s="123"/>
      <c r="E322" s="123"/>
      <c r="F322" s="121"/>
      <c r="G322" s="120"/>
      <c r="H322" s="120"/>
      <c r="I322" s="120"/>
      <c r="J322" s="120" t="s">
        <v>30</v>
      </c>
      <c r="K322" s="145"/>
      <c r="L322" s="146"/>
      <c r="M322" s="154"/>
      <c r="N322" s="133"/>
      <c r="O322" s="148"/>
      <c r="P322" s="149" t="s">
        <v>596</v>
      </c>
      <c r="Q322" s="150"/>
      <c r="R322" s="57" t="s">
        <v>30</v>
      </c>
      <c r="S322" s="57" t="s">
        <v>30</v>
      </c>
      <c r="T322" s="116" t="s">
        <v>30</v>
      </c>
      <c r="U322" s="116" t="s">
        <v>30</v>
      </c>
      <c r="V322" s="57" t="s">
        <v>30</v>
      </c>
      <c r="W322" s="57" t="s">
        <v>30</v>
      </c>
      <c r="X322" s="57" t="s">
        <v>30</v>
      </c>
      <c r="Y322" s="137" t="str">
        <f t="shared" si="154"/>
        <v>NC</v>
      </c>
      <c r="Z322" s="57" t="str">
        <f t="shared" si="152"/>
        <v>NC</v>
      </c>
      <c r="AA322" s="57" t="str">
        <f t="shared" si="155"/>
        <v>NC</v>
      </c>
      <c r="AB322" s="57" t="str">
        <f t="shared" si="156"/>
        <v>NC</v>
      </c>
      <c r="AC322" s="57" t="str">
        <f t="shared" si="157"/>
        <v>NC</v>
      </c>
      <c r="AD322" s="57" t="str">
        <f t="shared" si="158"/>
        <v>NC</v>
      </c>
      <c r="AE322" s="57" t="str">
        <f t="shared" si="159"/>
        <v>NC</v>
      </c>
      <c r="AG322" s="123" t="str">
        <f t="shared" si="160"/>
        <v>NC</v>
      </c>
      <c r="AH322" s="123" t="str">
        <f t="shared" si="161"/>
        <v>NC</v>
      </c>
      <c r="AI322" s="123" t="str">
        <f t="shared" si="162"/>
        <v>NC</v>
      </c>
      <c r="AJ322" s="123" t="str">
        <f t="shared" si="163"/>
        <v>NC</v>
      </c>
      <c r="AK322" s="123" t="str">
        <f t="shared" si="164"/>
        <v>NC</v>
      </c>
      <c r="AL322" s="123" t="str">
        <f t="shared" si="165"/>
        <v>NC</v>
      </c>
      <c r="AM322" s="123" t="str">
        <f t="shared" si="166"/>
        <v>NC</v>
      </c>
      <c r="AN322" s="138"/>
      <c r="AO322" s="151" t="e">
        <f t="shared" si="153"/>
        <v>#DIV/0!</v>
      </c>
      <c r="AP322" s="152"/>
      <c r="AR322" s="141" t="s">
        <v>643</v>
      </c>
      <c r="AS322" s="141" t="s">
        <v>643</v>
      </c>
      <c r="AU322" s="143" t="s">
        <v>1381</v>
      </c>
      <c r="AV322" s="143" t="s">
        <v>968</v>
      </c>
      <c r="AW322" s="143" t="s">
        <v>969</v>
      </c>
    </row>
    <row r="323" spans="1:49" ht="14.4" customHeight="1" x14ac:dyDescent="0.3">
      <c r="A323" s="3"/>
      <c r="B323" s="2"/>
      <c r="C323" s="3"/>
      <c r="D323" s="4"/>
      <c r="E323" s="4"/>
      <c r="F323" s="3"/>
      <c r="G323" s="60"/>
      <c r="H323" s="60"/>
      <c r="I323" s="60"/>
      <c r="J323" s="60" t="s">
        <v>30</v>
      </c>
      <c r="K323" s="12"/>
      <c r="L323" s="61"/>
      <c r="M323" s="78"/>
      <c r="N323" s="87"/>
      <c r="O323" s="47"/>
      <c r="P323" s="56" t="s">
        <v>596</v>
      </c>
      <c r="Q323" s="80"/>
      <c r="R323" s="18" t="s">
        <v>30</v>
      </c>
      <c r="S323" s="18" t="s">
        <v>30</v>
      </c>
      <c r="T323" s="16" t="s">
        <v>30</v>
      </c>
      <c r="U323" s="16" t="s">
        <v>30</v>
      </c>
      <c r="V323" s="18" t="s">
        <v>30</v>
      </c>
      <c r="W323" s="18" t="s">
        <v>30</v>
      </c>
      <c r="X323" s="113" t="s">
        <v>30</v>
      </c>
      <c r="Y323" s="52" t="str">
        <f t="shared" si="154"/>
        <v>NC</v>
      </c>
      <c r="Z323" s="18" t="str">
        <f t="shared" si="152"/>
        <v>NC</v>
      </c>
      <c r="AA323" s="18" t="str">
        <f t="shared" si="155"/>
        <v>NC</v>
      </c>
      <c r="AB323" s="18" t="str">
        <f t="shared" si="156"/>
        <v>NC</v>
      </c>
      <c r="AC323" s="18" t="str">
        <f t="shared" si="157"/>
        <v>NC</v>
      </c>
      <c r="AD323" s="18" t="str">
        <f t="shared" si="158"/>
        <v>NC</v>
      </c>
      <c r="AE323" s="18" t="str">
        <f t="shared" si="159"/>
        <v>NC</v>
      </c>
      <c r="AG323" s="107" t="str">
        <f t="shared" si="160"/>
        <v>NC</v>
      </c>
      <c r="AH323" s="107" t="str">
        <f t="shared" si="161"/>
        <v>NC</v>
      </c>
      <c r="AI323" s="107" t="str">
        <f t="shared" si="162"/>
        <v>NC</v>
      </c>
      <c r="AJ323" s="107" t="str">
        <f t="shared" si="163"/>
        <v>NC</v>
      </c>
      <c r="AK323" s="107" t="str">
        <f t="shared" si="164"/>
        <v>NC</v>
      </c>
      <c r="AL323" s="107" t="str">
        <f t="shared" si="165"/>
        <v>NC</v>
      </c>
      <c r="AM323" s="107" t="str">
        <f t="shared" si="166"/>
        <v>NC</v>
      </c>
      <c r="AN323" s="24"/>
      <c r="AO323" s="46" t="e">
        <f t="shared" si="153"/>
        <v>#DIV/0!</v>
      </c>
      <c r="AP323" s="15"/>
      <c r="AR323" s="69" t="s">
        <v>643</v>
      </c>
      <c r="AS323" s="69" t="s">
        <v>643</v>
      </c>
      <c r="AU323" s="114" t="s">
        <v>1382</v>
      </c>
      <c r="AV323" s="114" t="s">
        <v>970</v>
      </c>
      <c r="AW323" s="114" t="s">
        <v>971</v>
      </c>
    </row>
    <row r="324" spans="1:49" s="24" customFormat="1" ht="14.4" customHeight="1" x14ac:dyDescent="0.3">
      <c r="A324" s="3"/>
      <c r="B324" s="2"/>
      <c r="C324" s="3"/>
      <c r="D324" s="4"/>
      <c r="E324" s="4"/>
      <c r="F324" s="3"/>
      <c r="G324" s="60"/>
      <c r="H324" s="60"/>
      <c r="I324" s="60"/>
      <c r="J324" s="60" t="s">
        <v>30</v>
      </c>
      <c r="K324" s="106"/>
      <c r="L324" s="62"/>
      <c r="M324" s="78">
        <v>44774</v>
      </c>
      <c r="N324" s="87">
        <v>43862</v>
      </c>
      <c r="O324" s="47"/>
      <c r="P324" s="56" t="s">
        <v>596</v>
      </c>
      <c r="Q324" s="80"/>
      <c r="R324" s="18" t="s">
        <v>30</v>
      </c>
      <c r="S324" s="18" t="s">
        <v>30</v>
      </c>
      <c r="T324" s="16" t="s">
        <v>30</v>
      </c>
      <c r="U324" s="33">
        <v>41640</v>
      </c>
      <c r="V324" s="18" t="s">
        <v>30</v>
      </c>
      <c r="W324" s="18" t="s">
        <v>30</v>
      </c>
      <c r="X324" s="22" t="s">
        <v>30</v>
      </c>
      <c r="Y324" s="52" t="str">
        <f t="shared" si="154"/>
        <v>NC</v>
      </c>
      <c r="Z324" s="18" t="str">
        <f t="shared" si="152"/>
        <v>NC</v>
      </c>
      <c r="AA324" s="18" t="str">
        <f t="shared" si="155"/>
        <v>NC</v>
      </c>
      <c r="AB324" s="18">
        <f t="shared" si="156"/>
        <v>45290</v>
      </c>
      <c r="AC324" s="18" t="str">
        <f t="shared" si="157"/>
        <v>NC</v>
      </c>
      <c r="AD324" s="18" t="str">
        <f t="shared" si="158"/>
        <v>NC</v>
      </c>
      <c r="AE324" s="18" t="str">
        <f t="shared" si="159"/>
        <v>NC</v>
      </c>
      <c r="AF324"/>
      <c r="AG324" s="4" t="str">
        <f t="shared" si="160"/>
        <v>NC</v>
      </c>
      <c r="AH324" s="4" t="str">
        <f t="shared" si="161"/>
        <v>NC</v>
      </c>
      <c r="AI324" s="4" t="str">
        <f t="shared" si="162"/>
        <v>NC</v>
      </c>
      <c r="AJ324" s="4">
        <f t="shared" ca="1" si="163"/>
        <v>-297</v>
      </c>
      <c r="AK324" s="4" t="str">
        <f t="shared" si="164"/>
        <v>NC</v>
      </c>
      <c r="AL324" s="4" t="str">
        <f t="shared" si="165"/>
        <v>NC</v>
      </c>
      <c r="AM324" s="4" t="str">
        <f t="shared" si="166"/>
        <v>NC</v>
      </c>
      <c r="AO324" s="46" t="e">
        <f t="shared" si="153"/>
        <v>#DIV/0!</v>
      </c>
      <c r="AP324" s="15"/>
      <c r="AQ324"/>
      <c r="AR324" s="69" t="s">
        <v>643</v>
      </c>
      <c r="AS324" s="69" t="s">
        <v>643</v>
      </c>
      <c r="AT324"/>
      <c r="AU324" s="114" t="s">
        <v>1383</v>
      </c>
      <c r="AV324" s="114" t="s">
        <v>1384</v>
      </c>
      <c r="AW324" s="114" t="s">
        <v>1385</v>
      </c>
    </row>
    <row r="325" spans="1:49" ht="14.4" customHeight="1" x14ac:dyDescent="0.3">
      <c r="A325" s="3"/>
      <c r="B325" s="3"/>
      <c r="C325" s="3"/>
      <c r="D325" s="4"/>
      <c r="E325" s="4"/>
      <c r="F325" s="3"/>
      <c r="G325" s="60"/>
      <c r="H325" s="60"/>
      <c r="I325" s="60"/>
      <c r="J325" s="60" t="s">
        <v>30</v>
      </c>
      <c r="K325" s="106"/>
      <c r="L325" s="62"/>
      <c r="M325" s="78"/>
      <c r="N325" s="87" t="s">
        <v>751</v>
      </c>
      <c r="O325" s="47"/>
      <c r="P325" s="56" t="s">
        <v>596</v>
      </c>
      <c r="Q325" s="80"/>
      <c r="R325" s="18" t="s">
        <v>30</v>
      </c>
      <c r="S325" s="18" t="s">
        <v>30</v>
      </c>
      <c r="T325" s="16" t="s">
        <v>30</v>
      </c>
      <c r="U325" s="22" t="s">
        <v>30</v>
      </c>
      <c r="V325" s="18" t="s">
        <v>30</v>
      </c>
      <c r="W325" s="18" t="s">
        <v>30</v>
      </c>
      <c r="X325" s="22" t="s">
        <v>30</v>
      </c>
      <c r="Y325" s="52" t="str">
        <f t="shared" si="154"/>
        <v>NC</v>
      </c>
      <c r="Z325" s="18" t="str">
        <f t="shared" si="152"/>
        <v>NC</v>
      </c>
      <c r="AA325" s="18" t="str">
        <f t="shared" si="155"/>
        <v>NC</v>
      </c>
      <c r="AB325" s="18" t="str">
        <f t="shared" si="156"/>
        <v>NC</v>
      </c>
      <c r="AC325" s="18" t="str">
        <f t="shared" si="157"/>
        <v>NC</v>
      </c>
      <c r="AD325" s="18" t="str">
        <f t="shared" si="158"/>
        <v>NC</v>
      </c>
      <c r="AE325" s="18" t="str">
        <f t="shared" si="159"/>
        <v>NC</v>
      </c>
      <c r="AG325" s="4" t="str">
        <f t="shared" si="160"/>
        <v>NC</v>
      </c>
      <c r="AH325" s="4" t="str">
        <f t="shared" si="161"/>
        <v>NC</v>
      </c>
      <c r="AI325" s="4" t="str">
        <f t="shared" si="162"/>
        <v>NC</v>
      </c>
      <c r="AJ325" s="4" t="str">
        <f t="shared" si="163"/>
        <v>NC</v>
      </c>
      <c r="AK325" s="4" t="str">
        <f t="shared" si="164"/>
        <v>NC</v>
      </c>
      <c r="AL325" s="4" t="str">
        <f t="shared" si="165"/>
        <v>NC</v>
      </c>
      <c r="AM325" s="4" t="str">
        <f t="shared" si="166"/>
        <v>NC</v>
      </c>
      <c r="AN325" s="24"/>
      <c r="AO325" s="46" t="e">
        <f t="shared" si="153"/>
        <v>#DIV/0!</v>
      </c>
      <c r="AP325" s="15"/>
      <c r="AR325" s="69"/>
      <c r="AS325" s="69"/>
      <c r="AU325" s="114"/>
      <c r="AV325" s="114"/>
      <c r="AW325" s="114"/>
    </row>
    <row r="326" spans="1:49" s="24" customFormat="1" ht="14.4" customHeight="1" x14ac:dyDescent="0.3">
      <c r="A326" s="16"/>
      <c r="B326" s="16"/>
      <c r="C326" s="3"/>
      <c r="D326" s="16"/>
      <c r="E326" s="16"/>
      <c r="F326" s="2"/>
      <c r="G326" s="60"/>
      <c r="H326" s="60"/>
      <c r="I326" s="60"/>
      <c r="J326" s="60" t="s">
        <v>30</v>
      </c>
      <c r="K326" s="109"/>
      <c r="L326" s="111"/>
      <c r="M326" s="91"/>
      <c r="N326" s="112">
        <v>43952</v>
      </c>
      <c r="O326" s="94"/>
      <c r="P326" s="96" t="s">
        <v>596</v>
      </c>
      <c r="Q326" s="108"/>
      <c r="R326" s="49" t="s">
        <v>30</v>
      </c>
      <c r="S326" s="85">
        <v>43549</v>
      </c>
      <c r="T326" s="49" t="s">
        <v>30</v>
      </c>
      <c r="U326" s="49" t="s">
        <v>30</v>
      </c>
      <c r="V326" s="49" t="s">
        <v>30</v>
      </c>
      <c r="W326" s="49" t="s">
        <v>30</v>
      </c>
      <c r="X326" s="49" t="s">
        <v>30</v>
      </c>
      <c r="Y326" s="50" t="str">
        <f t="shared" si="154"/>
        <v>NC</v>
      </c>
      <c r="Z326" s="18">
        <f>IF(S326="NC","NC",IF(S326="","erreur",S326+365))</f>
        <v>43914</v>
      </c>
      <c r="AA326" s="49" t="str">
        <f t="shared" si="155"/>
        <v>NC</v>
      </c>
      <c r="AB326" s="49" t="str">
        <f t="shared" si="156"/>
        <v>NC</v>
      </c>
      <c r="AC326" s="49" t="str">
        <f t="shared" si="157"/>
        <v>NC</v>
      </c>
      <c r="AD326" s="49" t="str">
        <f t="shared" si="158"/>
        <v>NC</v>
      </c>
      <c r="AE326" s="49" t="str">
        <f t="shared" si="159"/>
        <v>NC</v>
      </c>
      <c r="AG326" s="86" t="str">
        <f t="shared" si="160"/>
        <v>NC</v>
      </c>
      <c r="AH326" s="86">
        <f t="shared" ca="1" si="161"/>
        <v>-1673</v>
      </c>
      <c r="AI326" s="86" t="str">
        <f t="shared" si="162"/>
        <v>NC</v>
      </c>
      <c r="AJ326" s="86" t="str">
        <f t="shared" si="163"/>
        <v>NC</v>
      </c>
      <c r="AK326" s="86" t="str">
        <f t="shared" si="164"/>
        <v>NC</v>
      </c>
      <c r="AL326" s="86" t="str">
        <f t="shared" si="165"/>
        <v>NC</v>
      </c>
      <c r="AM326" s="86" t="str">
        <f t="shared" si="166"/>
        <v>NC</v>
      </c>
      <c r="AO326" s="46" t="e">
        <f t="shared" si="153"/>
        <v>#DIV/0!</v>
      </c>
      <c r="AR326" s="69" t="s">
        <v>643</v>
      </c>
      <c r="AS326" s="69" t="s">
        <v>643</v>
      </c>
      <c r="AU326" s="115" t="s">
        <v>1386</v>
      </c>
      <c r="AV326" s="114" t="s">
        <v>394</v>
      </c>
      <c r="AW326" s="114" t="s">
        <v>1387</v>
      </c>
    </row>
    <row r="327" spans="1:49" ht="14.4" customHeight="1" x14ac:dyDescent="0.3">
      <c r="A327" s="16"/>
      <c r="B327" s="16"/>
      <c r="C327" s="2"/>
      <c r="D327" s="16"/>
      <c r="E327" s="16"/>
      <c r="F327" s="2"/>
      <c r="G327" s="60"/>
      <c r="H327" s="60"/>
      <c r="I327" s="60"/>
      <c r="J327" s="60" t="s">
        <v>30</v>
      </c>
      <c r="K327" s="110"/>
      <c r="L327" s="60"/>
      <c r="M327" s="83"/>
      <c r="N327" s="98">
        <v>43891</v>
      </c>
      <c r="O327" s="16"/>
      <c r="P327" s="84" t="s">
        <v>780</v>
      </c>
      <c r="Q327" s="81"/>
      <c r="R327" s="18" t="s">
        <v>30</v>
      </c>
      <c r="S327" s="18" t="s">
        <v>30</v>
      </c>
      <c r="T327" s="18" t="s">
        <v>30</v>
      </c>
      <c r="U327" s="18" t="s">
        <v>30</v>
      </c>
      <c r="V327" s="18" t="s">
        <v>30</v>
      </c>
      <c r="W327" s="18" t="s">
        <v>30</v>
      </c>
      <c r="X327" s="18" t="s">
        <v>30</v>
      </c>
      <c r="Y327" s="23" t="str">
        <f t="shared" si="154"/>
        <v>NC</v>
      </c>
      <c r="Z327" s="18" t="str">
        <f>IF(S327="NC","NC",IF(S327="","erreur",S327+181))</f>
        <v>NC</v>
      </c>
      <c r="AA327" s="18" t="str">
        <f t="shared" si="155"/>
        <v>NC</v>
      </c>
      <c r="AB327" s="18" t="str">
        <f t="shared" si="156"/>
        <v>NC</v>
      </c>
      <c r="AC327" s="18" t="str">
        <f t="shared" si="157"/>
        <v>NC</v>
      </c>
      <c r="AD327" s="18" t="str">
        <f t="shared" si="158"/>
        <v>NC</v>
      </c>
      <c r="AE327" s="18" t="str">
        <f t="shared" si="159"/>
        <v>NC</v>
      </c>
      <c r="AF327" s="24"/>
      <c r="AG327" s="4" t="str">
        <f t="shared" si="160"/>
        <v>NC</v>
      </c>
      <c r="AH327" s="4" t="str">
        <f t="shared" si="161"/>
        <v>NC</v>
      </c>
      <c r="AI327" s="4" t="str">
        <f t="shared" si="162"/>
        <v>NC</v>
      </c>
      <c r="AJ327" s="4" t="str">
        <f t="shared" si="163"/>
        <v>NC</v>
      </c>
      <c r="AK327" s="4" t="str">
        <f t="shared" si="164"/>
        <v>NC</v>
      </c>
      <c r="AL327" s="4" t="str">
        <f t="shared" si="165"/>
        <v>NC</v>
      </c>
      <c r="AM327" s="4" t="str">
        <f t="shared" si="166"/>
        <v>NC</v>
      </c>
      <c r="AN327" s="24"/>
      <c r="AO327" s="46" t="e">
        <f t="shared" si="153"/>
        <v>#DIV/0!</v>
      </c>
      <c r="AP327" s="24"/>
      <c r="AQ327" s="24"/>
      <c r="AR327" s="69" t="s">
        <v>643</v>
      </c>
      <c r="AS327" s="69" t="s">
        <v>643</v>
      </c>
      <c r="AT327" s="24"/>
      <c r="AU327" s="115"/>
      <c r="AV327" s="114"/>
      <c r="AW327" s="114"/>
    </row>
    <row r="328" spans="1:49" s="24" customFormat="1" ht="14.4" customHeight="1" x14ac:dyDescent="0.3">
      <c r="A328" s="2"/>
      <c r="B328" s="2"/>
      <c r="C328" s="2"/>
      <c r="D328" s="16"/>
      <c r="E328" s="16"/>
      <c r="F328" s="2"/>
      <c r="G328" s="60"/>
      <c r="H328" s="60"/>
      <c r="I328" s="60"/>
      <c r="J328" s="60" t="s">
        <v>30</v>
      </c>
      <c r="K328" s="43"/>
      <c r="L328" s="63"/>
      <c r="M328" s="83"/>
      <c r="N328" s="87">
        <v>43952</v>
      </c>
      <c r="O328" s="38"/>
      <c r="P328" s="84"/>
      <c r="Q328" s="81"/>
      <c r="R328" s="18" t="s">
        <v>30</v>
      </c>
      <c r="S328" s="20"/>
      <c r="T328" s="18" t="s">
        <v>30</v>
      </c>
      <c r="U328" s="21" t="s">
        <v>30</v>
      </c>
      <c r="V328" s="18" t="s">
        <v>30</v>
      </c>
      <c r="W328" s="18" t="s">
        <v>30</v>
      </c>
      <c r="X328" s="22" t="s">
        <v>30</v>
      </c>
      <c r="Y328" s="23" t="str">
        <f t="shared" si="154"/>
        <v>NC</v>
      </c>
      <c r="Z328" s="18" t="str">
        <f>IF(S328="NC","NC",IF(S328="","erreur",S328+181))</f>
        <v>erreur</v>
      </c>
      <c r="AA328" s="18" t="str">
        <f t="shared" si="155"/>
        <v>NC</v>
      </c>
      <c r="AB328" s="18" t="str">
        <f t="shared" si="156"/>
        <v>NC</v>
      </c>
      <c r="AC328" s="18" t="str">
        <f t="shared" si="157"/>
        <v>NC</v>
      </c>
      <c r="AD328" s="18" t="str">
        <f t="shared" si="158"/>
        <v>NC</v>
      </c>
      <c r="AE328" s="18" t="str">
        <f t="shared" si="159"/>
        <v>NC</v>
      </c>
      <c r="AG328" s="16" t="str">
        <f t="shared" si="160"/>
        <v>NC</v>
      </c>
      <c r="AH328" s="16" t="str">
        <f t="shared" si="161"/>
        <v>erreur</v>
      </c>
      <c r="AI328" s="16" t="str">
        <f t="shared" si="162"/>
        <v>NC</v>
      </c>
      <c r="AJ328" s="16" t="str">
        <f t="shared" si="163"/>
        <v>NC</v>
      </c>
      <c r="AK328" s="16" t="str">
        <f t="shared" si="164"/>
        <v>NC</v>
      </c>
      <c r="AL328" s="16" t="str">
        <f t="shared" si="165"/>
        <v>NC</v>
      </c>
      <c r="AM328" s="16" t="str">
        <f t="shared" si="166"/>
        <v>NC</v>
      </c>
      <c r="AO328" s="58" t="e">
        <f t="shared" si="153"/>
        <v>#DIV/0!</v>
      </c>
      <c r="AP328" s="48"/>
      <c r="AR328" s="69" t="s">
        <v>643</v>
      </c>
      <c r="AS328" s="69" t="s">
        <v>643</v>
      </c>
      <c r="AU328" s="115"/>
      <c r="AV328" s="115"/>
      <c r="AW328" s="115"/>
    </row>
    <row r="331" spans="1:49" x14ac:dyDescent="0.3">
      <c r="A331" s="3"/>
      <c r="B331" s="3"/>
      <c r="C331" s="3"/>
      <c r="D331" s="4"/>
      <c r="R331" s="20">
        <v>43735</v>
      </c>
      <c r="S331" s="18" t="s">
        <v>30</v>
      </c>
      <c r="T331" s="18" t="s">
        <v>30</v>
      </c>
      <c r="U331" s="22" t="s">
        <v>30</v>
      </c>
      <c r="V331" s="18" t="s">
        <v>30</v>
      </c>
      <c r="W331" s="18" t="s">
        <v>30</v>
      </c>
      <c r="X331" s="22" t="s">
        <v>30</v>
      </c>
      <c r="Y331" s="52">
        <f t="shared" ref="Y331:Y340" si="167">IF(R331="NC","NC",IF(R331="","erreur",R331+365))</f>
        <v>44100</v>
      </c>
      <c r="Z331" s="18" t="str">
        <f>IF(S331="NC","NC",IF(S331="","erreur",S331+183))</f>
        <v>NC</v>
      </c>
      <c r="AA331" s="18" t="str">
        <f t="shared" ref="AA331:AA340" si="168">IF(T331="NC","NC",IF(T331="","erreur",T331+365))</f>
        <v>NC</v>
      </c>
      <c r="AB331" s="18" t="str">
        <f t="shared" ref="AB331:AB340" si="169">IF(U331="NC","NC",IF(U331="","erreur",U331+3650))</f>
        <v>NC</v>
      </c>
      <c r="AC331" s="18" t="str">
        <f t="shared" ref="AC331:AD340" si="170">IF(V331="NC","NC",IF(V331="","erreur",V331+365))</f>
        <v>NC</v>
      </c>
      <c r="AD331" s="18" t="str">
        <f t="shared" si="170"/>
        <v>NC</v>
      </c>
      <c r="AE331" s="18" t="str">
        <f t="shared" ref="AE331:AE340" si="171">IF(X331="NC","NC",IF(X331="","erreur",X331+730))</f>
        <v>NC</v>
      </c>
      <c r="AG331" s="4">
        <f t="shared" ref="AG331:AM340" ca="1" si="172">IF(Y331="NC","NC",IF(Y331="erreur","erreur",Y331-$F$3))</f>
        <v>-1487</v>
      </c>
      <c r="AH331" s="4" t="str">
        <f t="shared" si="172"/>
        <v>NC</v>
      </c>
      <c r="AI331" s="4" t="str">
        <f t="shared" si="172"/>
        <v>NC</v>
      </c>
      <c r="AJ331" s="4" t="str">
        <f t="shared" si="172"/>
        <v>NC</v>
      </c>
      <c r="AK331" s="4" t="str">
        <f t="shared" si="172"/>
        <v>NC</v>
      </c>
      <c r="AL331" s="4" t="str">
        <f t="shared" si="172"/>
        <v>NC</v>
      </c>
      <c r="AM331" s="4" t="str">
        <f t="shared" si="172"/>
        <v>NC</v>
      </c>
    </row>
    <row r="332" spans="1:49" x14ac:dyDescent="0.3">
      <c r="A332" s="3"/>
      <c r="B332" s="3"/>
      <c r="C332" s="3"/>
      <c r="D332" s="4"/>
      <c r="R332" s="20">
        <v>43672</v>
      </c>
      <c r="S332" s="18" t="s">
        <v>30</v>
      </c>
      <c r="T332" s="18" t="s">
        <v>30</v>
      </c>
      <c r="U332" s="22" t="s">
        <v>30</v>
      </c>
      <c r="V332" s="18" t="s">
        <v>30</v>
      </c>
      <c r="W332" s="18" t="s">
        <v>30</v>
      </c>
      <c r="X332" s="22" t="s">
        <v>30</v>
      </c>
      <c r="Y332" s="52">
        <f t="shared" si="167"/>
        <v>44037</v>
      </c>
      <c r="Z332" s="18" t="str">
        <f>IF(S332="NC","NC",IF(S332="","erreur",S332+183))</f>
        <v>NC</v>
      </c>
      <c r="AA332" s="18" t="str">
        <f t="shared" si="168"/>
        <v>NC</v>
      </c>
      <c r="AB332" s="18" t="str">
        <f t="shared" si="169"/>
        <v>NC</v>
      </c>
      <c r="AC332" s="18" t="str">
        <f t="shared" si="170"/>
        <v>NC</v>
      </c>
      <c r="AD332" s="18" t="str">
        <f t="shared" si="170"/>
        <v>NC</v>
      </c>
      <c r="AE332" s="18" t="str">
        <f t="shared" si="171"/>
        <v>NC</v>
      </c>
      <c r="AG332" s="4">
        <f t="shared" ca="1" si="172"/>
        <v>-1550</v>
      </c>
      <c r="AH332" s="4" t="str">
        <f t="shared" si="172"/>
        <v>NC</v>
      </c>
      <c r="AI332" s="4" t="str">
        <f t="shared" si="172"/>
        <v>NC</v>
      </c>
      <c r="AJ332" s="4" t="str">
        <f t="shared" si="172"/>
        <v>NC</v>
      </c>
      <c r="AK332" s="4" t="str">
        <f t="shared" si="172"/>
        <v>NC</v>
      </c>
      <c r="AL332" s="4" t="str">
        <f t="shared" si="172"/>
        <v>NC</v>
      </c>
      <c r="AM332" s="4" t="str">
        <f t="shared" si="172"/>
        <v>NC</v>
      </c>
    </row>
    <row r="333" spans="1:49" x14ac:dyDescent="0.3">
      <c r="A333" s="3"/>
      <c r="B333" s="3"/>
      <c r="C333" s="3"/>
      <c r="D333" s="4"/>
      <c r="R333" s="20">
        <v>43503</v>
      </c>
      <c r="S333" s="18" t="s">
        <v>30</v>
      </c>
      <c r="T333" s="18" t="s">
        <v>30</v>
      </c>
      <c r="U333" s="22" t="s">
        <v>30</v>
      </c>
      <c r="V333" s="18" t="s">
        <v>30</v>
      </c>
      <c r="W333" s="18" t="s">
        <v>30</v>
      </c>
      <c r="X333" s="22" t="s">
        <v>30</v>
      </c>
      <c r="Y333" s="23">
        <f t="shared" si="167"/>
        <v>43868</v>
      </c>
      <c r="Z333" s="18" t="str">
        <f>IF(S333="NC","NC",IF(S333="","erreur",S333+181))</f>
        <v>NC</v>
      </c>
      <c r="AA333" s="18" t="str">
        <f t="shared" si="168"/>
        <v>NC</v>
      </c>
      <c r="AB333" s="18" t="str">
        <f t="shared" si="169"/>
        <v>NC</v>
      </c>
      <c r="AC333" s="18" t="str">
        <f t="shared" si="170"/>
        <v>NC</v>
      </c>
      <c r="AD333" s="18" t="str">
        <f t="shared" si="170"/>
        <v>NC</v>
      </c>
      <c r="AE333" s="18" t="str">
        <f t="shared" si="171"/>
        <v>NC</v>
      </c>
      <c r="AG333" s="4">
        <f t="shared" ca="1" si="172"/>
        <v>-1719</v>
      </c>
      <c r="AH333" s="4" t="str">
        <f t="shared" si="172"/>
        <v>NC</v>
      </c>
      <c r="AI333" s="4" t="str">
        <f t="shared" si="172"/>
        <v>NC</v>
      </c>
      <c r="AJ333" s="4" t="str">
        <f t="shared" si="172"/>
        <v>NC</v>
      </c>
      <c r="AK333" s="4" t="str">
        <f t="shared" si="172"/>
        <v>NC</v>
      </c>
      <c r="AL333" s="4" t="str">
        <f t="shared" si="172"/>
        <v>NC</v>
      </c>
      <c r="AM333" s="4" t="str">
        <f t="shared" si="172"/>
        <v>NC</v>
      </c>
      <c r="AN333" s="24"/>
      <c r="AO333" s="46"/>
    </row>
    <row r="334" spans="1:49" x14ac:dyDescent="0.3">
      <c r="A334" s="3"/>
      <c r="B334" s="3"/>
      <c r="C334" s="3"/>
      <c r="D334" s="4"/>
      <c r="R334" s="85">
        <v>43707</v>
      </c>
      <c r="S334" s="49" t="s">
        <v>30</v>
      </c>
      <c r="T334" s="49" t="s">
        <v>30</v>
      </c>
      <c r="U334" s="97" t="s">
        <v>30</v>
      </c>
      <c r="V334" s="49" t="s">
        <v>30</v>
      </c>
      <c r="W334" s="49" t="s">
        <v>30</v>
      </c>
      <c r="X334" s="97" t="s">
        <v>30</v>
      </c>
      <c r="Y334" s="50">
        <f t="shared" si="167"/>
        <v>44072</v>
      </c>
      <c r="Z334" s="49" t="str">
        <f>IF(S334="NC","NC",IF(S334="","erreur",S334+183))</f>
        <v>NC</v>
      </c>
      <c r="AA334" s="49" t="str">
        <f t="shared" si="168"/>
        <v>NC</v>
      </c>
      <c r="AB334" s="49" t="str">
        <f t="shared" si="169"/>
        <v>NC</v>
      </c>
      <c r="AC334" s="49" t="str">
        <f t="shared" si="170"/>
        <v>NC</v>
      </c>
      <c r="AD334" s="49" t="str">
        <f t="shared" si="170"/>
        <v>NC</v>
      </c>
      <c r="AE334" s="49" t="str">
        <f t="shared" si="171"/>
        <v>NC</v>
      </c>
      <c r="AG334" s="86">
        <f t="shared" ca="1" si="172"/>
        <v>-1515</v>
      </c>
      <c r="AH334" s="86" t="str">
        <f t="shared" si="172"/>
        <v>NC</v>
      </c>
      <c r="AI334" s="86" t="str">
        <f t="shared" si="172"/>
        <v>NC</v>
      </c>
      <c r="AJ334" s="86" t="str">
        <f t="shared" si="172"/>
        <v>NC</v>
      </c>
      <c r="AK334" s="86" t="str">
        <f t="shared" si="172"/>
        <v>NC</v>
      </c>
      <c r="AL334" s="86" t="str">
        <f t="shared" si="172"/>
        <v>NC</v>
      </c>
      <c r="AM334" s="86" t="str">
        <f t="shared" si="172"/>
        <v>NC</v>
      </c>
      <c r="AV334" s="24"/>
      <c r="AW334" s="24"/>
    </row>
    <row r="335" spans="1:49" s="24" customFormat="1" x14ac:dyDescent="0.3">
      <c r="A335" s="4"/>
      <c r="B335" s="4"/>
      <c r="C335" s="4"/>
      <c r="D335" s="4"/>
      <c r="E335"/>
      <c r="F335" s="5"/>
      <c r="G335" s="90"/>
      <c r="H335" s="90"/>
      <c r="I335" s="90"/>
      <c r="J335" s="64"/>
      <c r="K335" s="82"/>
      <c r="L335" s="64"/>
      <c r="M335"/>
      <c r="N335" s="101"/>
      <c r="O335"/>
      <c r="P335"/>
      <c r="Q335"/>
      <c r="R335" s="40">
        <v>43783</v>
      </c>
      <c r="S335" s="18" t="s">
        <v>30</v>
      </c>
      <c r="T335" s="18" t="s">
        <v>30</v>
      </c>
      <c r="U335" s="22" t="s">
        <v>30</v>
      </c>
      <c r="V335" s="18" t="s">
        <v>30</v>
      </c>
      <c r="W335" s="18" t="s">
        <v>30</v>
      </c>
      <c r="X335" s="22" t="s">
        <v>30</v>
      </c>
      <c r="Y335" s="52">
        <f t="shared" si="167"/>
        <v>44148</v>
      </c>
      <c r="Z335" s="18" t="str">
        <f>IF(S335="NC","NC",IF(S335="","erreur",S335+183))</f>
        <v>NC</v>
      </c>
      <c r="AA335" s="18" t="str">
        <f t="shared" si="168"/>
        <v>NC</v>
      </c>
      <c r="AB335" s="18" t="str">
        <f t="shared" si="169"/>
        <v>NC</v>
      </c>
      <c r="AC335" s="18" t="str">
        <f t="shared" si="170"/>
        <v>NC</v>
      </c>
      <c r="AD335" s="18" t="str">
        <f t="shared" si="170"/>
        <v>NC</v>
      </c>
      <c r="AE335" s="18" t="str">
        <f t="shared" si="171"/>
        <v>NC</v>
      </c>
      <c r="AF335"/>
      <c r="AG335" s="4">
        <f t="shared" ca="1" si="172"/>
        <v>-1439</v>
      </c>
      <c r="AH335" s="4" t="str">
        <f t="shared" si="172"/>
        <v>NC</v>
      </c>
      <c r="AI335" s="4" t="str">
        <f t="shared" si="172"/>
        <v>NC</v>
      </c>
      <c r="AJ335" s="4" t="str">
        <f t="shared" si="172"/>
        <v>NC</v>
      </c>
      <c r="AK335" s="4" t="str">
        <f t="shared" si="172"/>
        <v>NC</v>
      </c>
      <c r="AL335" s="4" t="str">
        <f t="shared" si="172"/>
        <v>NC</v>
      </c>
      <c r="AM335" s="4" t="str">
        <f t="shared" si="172"/>
        <v>NC</v>
      </c>
      <c r="AN335"/>
      <c r="AO335"/>
      <c r="AP335"/>
      <c r="AQ335"/>
      <c r="AR335"/>
      <c r="AS335"/>
      <c r="AT335"/>
      <c r="AU335"/>
      <c r="AV335"/>
      <c r="AW335"/>
    </row>
    <row r="336" spans="1:49" s="24" customFormat="1" x14ac:dyDescent="0.3">
      <c r="A336" s="3"/>
      <c r="B336" s="3"/>
      <c r="C336" s="3"/>
      <c r="D336" s="4"/>
      <c r="E336"/>
      <c r="F336" s="5"/>
      <c r="G336" s="90"/>
      <c r="H336" s="90"/>
      <c r="I336" s="90"/>
      <c r="J336" s="64"/>
      <c r="K336" s="82"/>
      <c r="L336" s="64"/>
      <c r="M336"/>
      <c r="N336" s="101"/>
      <c r="O336"/>
      <c r="P336"/>
      <c r="Q336"/>
      <c r="R336" s="20">
        <v>43805</v>
      </c>
      <c r="S336" s="18" t="s">
        <v>30</v>
      </c>
      <c r="T336" s="18" t="s">
        <v>30</v>
      </c>
      <c r="U336" s="22" t="s">
        <v>30</v>
      </c>
      <c r="V336" s="18" t="s">
        <v>30</v>
      </c>
      <c r="W336" s="18" t="s">
        <v>30</v>
      </c>
      <c r="X336" s="22" t="s">
        <v>30</v>
      </c>
      <c r="Y336" s="52">
        <f t="shared" si="167"/>
        <v>44170</v>
      </c>
      <c r="Z336" s="18" t="str">
        <f>IF(S336="NC","NC",IF(S336="","erreur",S336+183))</f>
        <v>NC</v>
      </c>
      <c r="AA336" s="18" t="str">
        <f t="shared" si="168"/>
        <v>NC</v>
      </c>
      <c r="AB336" s="18" t="str">
        <f t="shared" si="169"/>
        <v>NC</v>
      </c>
      <c r="AC336" s="18" t="str">
        <f t="shared" si="170"/>
        <v>NC</v>
      </c>
      <c r="AD336" s="18" t="str">
        <f t="shared" si="170"/>
        <v>NC</v>
      </c>
      <c r="AE336" s="18" t="str">
        <f t="shared" si="171"/>
        <v>NC</v>
      </c>
      <c r="AF336"/>
      <c r="AG336" s="4">
        <f t="shared" ca="1" si="172"/>
        <v>-1417</v>
      </c>
      <c r="AH336" s="4" t="str">
        <f t="shared" si="172"/>
        <v>NC</v>
      </c>
      <c r="AI336" s="4" t="str">
        <f t="shared" si="172"/>
        <v>NC</v>
      </c>
      <c r="AJ336" s="4" t="str">
        <f t="shared" si="172"/>
        <v>NC</v>
      </c>
      <c r="AK336" s="4" t="str">
        <f t="shared" si="172"/>
        <v>NC</v>
      </c>
      <c r="AL336" s="4" t="str">
        <f t="shared" si="172"/>
        <v>NC</v>
      </c>
      <c r="AM336" s="4" t="str">
        <f t="shared" si="172"/>
        <v>NC</v>
      </c>
      <c r="AO336" s="46"/>
      <c r="AP336"/>
      <c r="AQ336"/>
      <c r="AR336"/>
      <c r="AS336"/>
      <c r="AT336"/>
      <c r="AU336"/>
      <c r="AV336"/>
      <c r="AW336"/>
    </row>
    <row r="337" spans="1:49" s="24" customFormat="1" x14ac:dyDescent="0.3">
      <c r="A337" s="2"/>
      <c r="B337" s="2"/>
      <c r="C337" s="16"/>
      <c r="D337" s="16"/>
      <c r="E337"/>
      <c r="F337" s="5"/>
      <c r="G337" s="90"/>
      <c r="H337" s="90"/>
      <c r="I337" s="90"/>
      <c r="J337" s="64"/>
      <c r="K337" s="82"/>
      <c r="L337" s="64"/>
      <c r="M337"/>
      <c r="N337" s="101"/>
      <c r="O337"/>
      <c r="P337"/>
      <c r="Q337"/>
      <c r="R337" s="16" t="s">
        <v>30</v>
      </c>
      <c r="S337" s="88">
        <v>43705</v>
      </c>
      <c r="T337" s="49" t="s">
        <v>30</v>
      </c>
      <c r="U337" s="49" t="s">
        <v>30</v>
      </c>
      <c r="V337" s="49" t="s">
        <v>30</v>
      </c>
      <c r="W337" s="49" t="s">
        <v>30</v>
      </c>
      <c r="X337" s="49" t="s">
        <v>30</v>
      </c>
      <c r="Y337" s="50" t="str">
        <f t="shared" si="167"/>
        <v>NC</v>
      </c>
      <c r="Z337" s="49">
        <f>IF(S337="NC","NC",IF(S337="","erreur",S337+365))</f>
        <v>44070</v>
      </c>
      <c r="AA337" s="49" t="str">
        <f t="shared" si="168"/>
        <v>NC</v>
      </c>
      <c r="AB337" s="49" t="str">
        <f t="shared" si="169"/>
        <v>NC</v>
      </c>
      <c r="AC337" s="49" t="str">
        <f t="shared" si="170"/>
        <v>NC</v>
      </c>
      <c r="AD337" s="49" t="str">
        <f t="shared" si="170"/>
        <v>NC</v>
      </c>
      <c r="AE337" s="49" t="str">
        <f t="shared" si="171"/>
        <v>NC</v>
      </c>
      <c r="AG337" s="94" t="str">
        <f t="shared" si="172"/>
        <v>NC</v>
      </c>
      <c r="AH337" s="94">
        <f t="shared" ca="1" si="172"/>
        <v>-1517</v>
      </c>
      <c r="AI337" s="94" t="str">
        <f t="shared" si="172"/>
        <v>NC</v>
      </c>
      <c r="AJ337" s="94" t="str">
        <f t="shared" si="172"/>
        <v>NC</v>
      </c>
      <c r="AK337" s="94" t="str">
        <f t="shared" si="172"/>
        <v>NC</v>
      </c>
      <c r="AL337" s="94" t="str">
        <f t="shared" si="172"/>
        <v>NC</v>
      </c>
      <c r="AM337" s="94" t="str">
        <f t="shared" si="172"/>
        <v>NC</v>
      </c>
      <c r="AV337"/>
      <c r="AW337"/>
    </row>
    <row r="338" spans="1:49" x14ac:dyDescent="0.3">
      <c r="A338" s="3"/>
      <c r="B338" s="3"/>
      <c r="C338" s="4"/>
      <c r="D338" s="4"/>
      <c r="R338" s="4" t="s">
        <v>30</v>
      </c>
      <c r="S338" s="92">
        <v>43623</v>
      </c>
      <c r="T338" s="18" t="s">
        <v>30</v>
      </c>
      <c r="U338" s="22" t="s">
        <v>30</v>
      </c>
      <c r="V338" s="18" t="s">
        <v>30</v>
      </c>
      <c r="W338" s="18" t="s">
        <v>30</v>
      </c>
      <c r="X338" s="22" t="s">
        <v>30</v>
      </c>
      <c r="Y338" s="52" t="str">
        <f t="shared" si="167"/>
        <v>NC</v>
      </c>
      <c r="Z338" s="18">
        <f>IF(S338="NC","NC",IF(S338="","erreur",S338+365))</f>
        <v>43988</v>
      </c>
      <c r="AA338" s="18" t="str">
        <f t="shared" si="168"/>
        <v>NC</v>
      </c>
      <c r="AB338" s="18" t="str">
        <f t="shared" si="169"/>
        <v>NC</v>
      </c>
      <c r="AC338" s="18" t="str">
        <f t="shared" si="170"/>
        <v>NC</v>
      </c>
      <c r="AD338" s="18" t="str">
        <f t="shared" si="170"/>
        <v>NC</v>
      </c>
      <c r="AE338" s="18" t="str">
        <f t="shared" si="171"/>
        <v>NC</v>
      </c>
      <c r="AG338" s="4" t="str">
        <f t="shared" si="172"/>
        <v>NC</v>
      </c>
      <c r="AH338" s="4">
        <f t="shared" ca="1" si="172"/>
        <v>-1599</v>
      </c>
      <c r="AI338" s="4" t="str">
        <f t="shared" si="172"/>
        <v>NC</v>
      </c>
      <c r="AJ338" s="4" t="str">
        <f t="shared" si="172"/>
        <v>NC</v>
      </c>
      <c r="AK338" s="4" t="str">
        <f t="shared" si="172"/>
        <v>NC</v>
      </c>
      <c r="AL338" s="4" t="str">
        <f t="shared" si="172"/>
        <v>NC</v>
      </c>
      <c r="AM338" s="4" t="str">
        <f t="shared" si="172"/>
        <v>NC</v>
      </c>
      <c r="AV338" s="24"/>
      <c r="AW338" s="24"/>
    </row>
    <row r="339" spans="1:49" x14ac:dyDescent="0.3">
      <c r="A339" s="3"/>
      <c r="B339" s="3"/>
      <c r="C339" s="4"/>
      <c r="D339" s="4"/>
      <c r="R339" s="4" t="s">
        <v>30</v>
      </c>
      <c r="S339" s="92">
        <v>43656</v>
      </c>
      <c r="T339" s="18" t="s">
        <v>30</v>
      </c>
      <c r="U339" s="22" t="s">
        <v>30</v>
      </c>
      <c r="V339" s="18" t="s">
        <v>30</v>
      </c>
      <c r="W339" s="18" t="s">
        <v>30</v>
      </c>
      <c r="X339" s="22" t="s">
        <v>30</v>
      </c>
      <c r="Y339" s="52" t="str">
        <f t="shared" si="167"/>
        <v>NC</v>
      </c>
      <c r="Z339" s="18">
        <f>IF(S339="NC","NC",IF(S339="","erreur",S339+365))</f>
        <v>44021</v>
      </c>
      <c r="AA339" s="18" t="str">
        <f t="shared" si="168"/>
        <v>NC</v>
      </c>
      <c r="AB339" s="18" t="str">
        <f t="shared" si="169"/>
        <v>NC</v>
      </c>
      <c r="AC339" s="18" t="str">
        <f t="shared" si="170"/>
        <v>NC</v>
      </c>
      <c r="AD339" s="18" t="str">
        <f t="shared" si="170"/>
        <v>NC</v>
      </c>
      <c r="AE339" s="18" t="str">
        <f t="shared" si="171"/>
        <v>NC</v>
      </c>
      <c r="AG339" s="4" t="str">
        <f t="shared" si="172"/>
        <v>NC</v>
      </c>
      <c r="AH339" s="4">
        <f t="shared" ca="1" si="172"/>
        <v>-1566</v>
      </c>
      <c r="AI339" s="4" t="str">
        <f t="shared" si="172"/>
        <v>NC</v>
      </c>
      <c r="AJ339" s="4" t="str">
        <f t="shared" si="172"/>
        <v>NC</v>
      </c>
      <c r="AK339" s="4" t="str">
        <f t="shared" si="172"/>
        <v>NC</v>
      </c>
      <c r="AL339" s="4" t="str">
        <f t="shared" si="172"/>
        <v>NC</v>
      </c>
      <c r="AM339" s="4" t="str">
        <f t="shared" si="172"/>
        <v>NC</v>
      </c>
      <c r="AV339" s="24"/>
      <c r="AW339" s="24"/>
    </row>
    <row r="340" spans="1:49" x14ac:dyDescent="0.3">
      <c r="A340" s="2"/>
      <c r="B340" s="2"/>
      <c r="C340" s="16"/>
      <c r="D340" s="16"/>
      <c r="R340" s="16" t="s">
        <v>30</v>
      </c>
      <c r="S340" s="88">
        <v>43741</v>
      </c>
      <c r="T340" s="18" t="s">
        <v>30</v>
      </c>
      <c r="U340" s="22" t="s">
        <v>30</v>
      </c>
      <c r="V340" s="18" t="s">
        <v>30</v>
      </c>
      <c r="W340" s="18" t="s">
        <v>30</v>
      </c>
      <c r="X340" s="22" t="s">
        <v>30</v>
      </c>
      <c r="Y340" s="52" t="str">
        <f t="shared" si="167"/>
        <v>NC</v>
      </c>
      <c r="Z340" s="18">
        <f>IF(S340="NC","NC",IF(S340="","erreur",S340+365))</f>
        <v>44106</v>
      </c>
      <c r="AA340" s="18" t="str">
        <f t="shared" si="168"/>
        <v>NC</v>
      </c>
      <c r="AB340" s="18" t="str">
        <f t="shared" si="169"/>
        <v>NC</v>
      </c>
      <c r="AC340" s="18" t="str">
        <f t="shared" si="170"/>
        <v>NC</v>
      </c>
      <c r="AD340" s="18" t="str">
        <f t="shared" si="170"/>
        <v>NC</v>
      </c>
      <c r="AE340" s="18" t="str">
        <f t="shared" si="171"/>
        <v>NC</v>
      </c>
      <c r="AF340" s="24"/>
      <c r="AG340" s="16" t="str">
        <f t="shared" si="172"/>
        <v>NC</v>
      </c>
      <c r="AH340" s="16">
        <f t="shared" ca="1" si="172"/>
        <v>-1481</v>
      </c>
      <c r="AI340" s="16" t="str">
        <f t="shared" si="172"/>
        <v>NC</v>
      </c>
      <c r="AJ340" s="16" t="str">
        <f t="shared" si="172"/>
        <v>NC</v>
      </c>
      <c r="AK340" s="16" t="str">
        <f t="shared" si="172"/>
        <v>NC</v>
      </c>
      <c r="AL340" s="16" t="str">
        <f t="shared" si="172"/>
        <v>NC</v>
      </c>
      <c r="AM340" s="16" t="str">
        <f t="shared" si="172"/>
        <v>NC</v>
      </c>
      <c r="AN340" s="24"/>
      <c r="AO340" s="24"/>
      <c r="AP340" s="24"/>
      <c r="AQ340" s="24"/>
      <c r="AR340" s="24"/>
      <c r="AS340" s="24"/>
      <c r="AT340" s="24"/>
      <c r="AU340" s="24"/>
    </row>
  </sheetData>
  <autoFilter ref="A5:AW328" xr:uid="{00000000-0009-0000-0000-000001000000}">
    <sortState xmlns:xlrd2="http://schemas.microsoft.com/office/spreadsheetml/2017/richdata2" ref="A328:AW328">
      <sortCondition ref="A5:A328"/>
    </sortState>
  </autoFilter>
  <conditionalFormatting sqref="B13:B14">
    <cfRule type="expression" dxfId="40" priority="1" stopIfTrue="1">
      <formula>#REF!="A Reformer"</formula>
    </cfRule>
    <cfRule type="expression" dxfId="39" priority="2" stopIfTrue="1">
      <formula>#REF!="En cours"</formula>
    </cfRule>
    <cfRule type="expression" dxfId="38" priority="3" stopIfTrue="1">
      <formula>#REF!="Introuvable"</formula>
    </cfRule>
  </conditionalFormatting>
  <conditionalFormatting sqref="AG6:AM322 AG324:AM328 AG331:AM340">
    <cfRule type="cellIs" dxfId="37" priority="4" operator="equal">
      <formula>"NC"</formula>
    </cfRule>
    <cfRule type="cellIs" dxfId="36" priority="5" operator="equal">
      <formula>"erreur"</formula>
    </cfRule>
    <cfRule type="cellIs" dxfId="35" priority="6" operator="greaterThan">
      <formula>30</formula>
    </cfRule>
    <cfRule type="cellIs" dxfId="34" priority="7" operator="greaterThan">
      <formula>0</formula>
    </cfRule>
    <cfRule type="cellIs" dxfId="33" priority="8" operator="lessThan">
      <formula>0</formula>
    </cfRule>
  </conditionalFormatting>
  <dataValidations count="4">
    <dataValidation allowBlank="1" showInputMessage="1" showErrorMessage="1" prompt="Colonne automatisée. _x000a__x000a_Un drapeau dans cette colonne indique les articles de l'inventaire prêts à être recommandés. Les drapeaux n'apparaissent qu’avec un Oui dans L2 et quand l'élément répond aux critères de réapprovisionnement." sqref="B39" xr:uid="{00000000-0002-0000-0100-000000000000}"/>
    <dataValidation allowBlank="1" showInputMessage="1" showErrorMessage="1" prompt="Entrez une description de l’article dans cette colonne" sqref="D39" xr:uid="{00000000-0002-0000-0100-000001000000}"/>
    <dataValidation allowBlank="1" showInputMessage="1" showErrorMessage="1" prompt="Entrez le prix unitaire de chaque article dans cette colonne" sqref="I39" xr:uid="{00000000-0002-0000-0100-000002000000}"/>
    <dataValidation allowBlank="1" showInputMessage="1" showErrorMessage="1" prompt="Entrez la quantité en stock de chaque article dans cette colonne" sqref="H39" xr:uid="{00000000-0002-0000-0100-000003000000}"/>
  </dataValidations>
  <printOptions horizontalCentered="1" verticalCentered="1"/>
  <pageMargins left="0.23622047244094491" right="0.23622047244094491" top="0.15748031496062992" bottom="0.15748031496062992" header="0.11811023622047245" footer="0.1181102362204724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K11"/>
  <sheetViews>
    <sheetView workbookViewId="0">
      <selection activeCell="A3" sqref="A3:K11"/>
    </sheetView>
  </sheetViews>
  <sheetFormatPr baseColWidth="10" defaultRowHeight="14.4" x14ac:dyDescent="0.3"/>
  <cols>
    <col min="1" max="1" width="22" bestFit="1" customWidth="1"/>
    <col min="3" max="3" width="20.44140625" bestFit="1" customWidth="1"/>
    <col min="4" max="4" width="19.5546875" bestFit="1" customWidth="1"/>
    <col min="5" max="6" width="21.44140625" bestFit="1" customWidth="1"/>
    <col min="7" max="8" width="18.33203125" bestFit="1" customWidth="1"/>
    <col min="11" max="11" width="14.109375" customWidth="1"/>
  </cols>
  <sheetData>
    <row r="3" spans="1:11" x14ac:dyDescent="0.3">
      <c r="A3" s="6" t="s">
        <v>1055</v>
      </c>
      <c r="B3" s="6"/>
      <c r="C3" s="6" t="s">
        <v>0</v>
      </c>
      <c r="D3" s="7" t="s">
        <v>1760</v>
      </c>
      <c r="E3" s="273" t="s">
        <v>1517</v>
      </c>
      <c r="F3" s="294" t="s">
        <v>1518</v>
      </c>
      <c r="G3" s="29" t="s">
        <v>1154</v>
      </c>
      <c r="H3" s="275" t="s">
        <v>27</v>
      </c>
      <c r="I3" s="29" t="s">
        <v>1773</v>
      </c>
      <c r="J3" s="276" t="s">
        <v>27</v>
      </c>
      <c r="K3" s="8" t="s">
        <v>1773</v>
      </c>
    </row>
    <row r="4" spans="1:11" x14ac:dyDescent="0.3">
      <c r="A4" s="123" t="s">
        <v>2063</v>
      </c>
      <c r="B4" s="292" t="s">
        <v>2074</v>
      </c>
      <c r="C4" s="123" t="s">
        <v>1542</v>
      </c>
      <c r="D4" s="123" t="s">
        <v>1578</v>
      </c>
      <c r="E4" s="121" t="s">
        <v>1772</v>
      </c>
      <c r="F4" s="295" t="s">
        <v>1564</v>
      </c>
      <c r="G4" s="123" t="s">
        <v>2059</v>
      </c>
      <c r="H4" s="52">
        <v>44875</v>
      </c>
      <c r="I4" s="22">
        <v>44887</v>
      </c>
      <c r="J4" s="277">
        <v>14</v>
      </c>
      <c r="K4" s="4">
        <v>26</v>
      </c>
    </row>
    <row r="7" spans="1:11" ht="58.5" customHeight="1" x14ac:dyDescent="0.3">
      <c r="A7" s="6" t="s">
        <v>1055</v>
      </c>
      <c r="B7" s="6"/>
      <c r="C7" s="6" t="s">
        <v>0</v>
      </c>
      <c r="D7" s="51" t="s">
        <v>1517</v>
      </c>
      <c r="E7" s="272" t="s">
        <v>1518</v>
      </c>
      <c r="F7" s="275" t="s">
        <v>27</v>
      </c>
      <c r="G7" s="29" t="s">
        <v>1773</v>
      </c>
      <c r="H7" s="31" t="s">
        <v>432</v>
      </c>
      <c r="I7" s="276" t="s">
        <v>27</v>
      </c>
      <c r="J7" s="8" t="s">
        <v>1773</v>
      </c>
      <c r="K7" s="36" t="s">
        <v>180</v>
      </c>
    </row>
    <row r="8" spans="1:11" x14ac:dyDescent="0.3">
      <c r="A8" s="281" t="s">
        <v>2084</v>
      </c>
      <c r="B8" s="266" t="s">
        <v>2090</v>
      </c>
      <c r="C8" s="281" t="s">
        <v>1600</v>
      </c>
      <c r="D8" s="282" t="s">
        <v>1988</v>
      </c>
      <c r="E8" s="289" t="s">
        <v>1616</v>
      </c>
      <c r="F8" s="287">
        <v>44986</v>
      </c>
      <c r="G8" s="286">
        <v>44838</v>
      </c>
      <c r="H8" s="286">
        <v>44588</v>
      </c>
      <c r="I8" s="288">
        <v>125</v>
      </c>
      <c r="J8" s="284">
        <v>-23</v>
      </c>
      <c r="K8" s="284">
        <v>-273</v>
      </c>
    </row>
    <row r="9" spans="1:11" x14ac:dyDescent="0.3">
      <c r="A9" s="123" t="s">
        <v>2085</v>
      </c>
      <c r="B9" s="266" t="s">
        <v>2091</v>
      </c>
      <c r="C9" s="123" t="s">
        <v>1601</v>
      </c>
      <c r="D9" s="117" t="s">
        <v>1985</v>
      </c>
      <c r="E9" s="290" t="s">
        <v>1617</v>
      </c>
      <c r="F9" s="52">
        <v>44838</v>
      </c>
      <c r="G9" s="22">
        <v>44836</v>
      </c>
      <c r="H9" s="22">
        <v>45204</v>
      </c>
      <c r="I9" s="277">
        <v>-23</v>
      </c>
      <c r="J9" s="4">
        <v>-25</v>
      </c>
      <c r="K9" s="4">
        <v>343</v>
      </c>
    </row>
    <row r="10" spans="1:11" x14ac:dyDescent="0.3">
      <c r="A10" s="123" t="s">
        <v>2086</v>
      </c>
      <c r="B10" s="266" t="s">
        <v>2092</v>
      </c>
      <c r="C10" s="123" t="s">
        <v>1602</v>
      </c>
      <c r="D10" s="117" t="s">
        <v>1984</v>
      </c>
      <c r="E10" s="266" t="s">
        <v>1618</v>
      </c>
      <c r="F10" s="52">
        <v>44885</v>
      </c>
      <c r="G10" s="22">
        <v>44887</v>
      </c>
      <c r="H10" s="22">
        <v>44885</v>
      </c>
      <c r="I10" s="277">
        <v>24</v>
      </c>
      <c r="J10" s="4">
        <v>26</v>
      </c>
      <c r="K10" s="4">
        <v>24</v>
      </c>
    </row>
    <row r="11" spans="1:11" x14ac:dyDescent="0.3">
      <c r="A11" s="123" t="s">
        <v>2083</v>
      </c>
      <c r="B11" s="266" t="s">
        <v>2088</v>
      </c>
      <c r="C11" s="123" t="s">
        <v>1598</v>
      </c>
      <c r="D11" s="121" t="s">
        <v>1986</v>
      </c>
      <c r="E11" s="266" t="s">
        <v>1614</v>
      </c>
      <c r="F11" s="18">
        <v>44932</v>
      </c>
      <c r="G11" s="18">
        <v>44978</v>
      </c>
      <c r="H11" s="22" t="s">
        <v>30</v>
      </c>
      <c r="I11" s="277">
        <v>-70</v>
      </c>
      <c r="J11" s="4">
        <v>117</v>
      </c>
      <c r="K11" s="4" t="s">
        <v>30</v>
      </c>
    </row>
  </sheetData>
  <conditionalFormatting sqref="J4:K4 I8:K11">
    <cfRule type="cellIs" dxfId="32" priority="11" operator="equal">
      <formula>"NC"</formula>
    </cfRule>
    <cfRule type="cellIs" dxfId="31" priority="12" operator="equal">
      <formula>"erreur"</formula>
    </cfRule>
    <cfRule type="cellIs" dxfId="30" priority="13" operator="greaterThan">
      <formula>30</formula>
    </cfRule>
    <cfRule type="cellIs" dxfId="29" priority="14" operator="greaterThan">
      <formula>0</formula>
    </cfRule>
    <cfRule type="cellIs" dxfId="28" priority="15" operator="lessThan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M23"/>
  <sheetViews>
    <sheetView topLeftCell="A3" workbookViewId="0">
      <selection activeCell="A3" sqref="A1:XFD1048576"/>
    </sheetView>
  </sheetViews>
  <sheetFormatPr baseColWidth="10" defaultRowHeight="14.4" x14ac:dyDescent="0.3"/>
  <cols>
    <col min="1" max="1" width="23" bestFit="1" customWidth="1"/>
    <col min="3" max="3" width="32.5546875" bestFit="1" customWidth="1"/>
    <col min="4" max="4" width="19.5546875" bestFit="1" customWidth="1"/>
    <col min="5" max="5" width="21.88671875" bestFit="1" customWidth="1"/>
    <col min="7" max="7" width="20.88671875" bestFit="1" customWidth="1"/>
    <col min="9" max="9" width="13.6640625" customWidth="1"/>
  </cols>
  <sheetData>
    <row r="4" spans="1:13" ht="72" x14ac:dyDescent="0.3">
      <c r="A4" s="6" t="s">
        <v>1055</v>
      </c>
      <c r="B4" s="6"/>
      <c r="C4" s="6" t="s">
        <v>0</v>
      </c>
      <c r="D4" s="7" t="s">
        <v>1157</v>
      </c>
      <c r="E4" s="273" t="s">
        <v>1517</v>
      </c>
      <c r="F4" s="294" t="s">
        <v>1518</v>
      </c>
      <c r="G4" s="29" t="s">
        <v>1154</v>
      </c>
      <c r="H4" s="338" t="s">
        <v>174</v>
      </c>
      <c r="I4" s="338" t="s">
        <v>175</v>
      </c>
      <c r="J4" s="31" t="s">
        <v>174</v>
      </c>
      <c r="K4" s="31" t="s">
        <v>175</v>
      </c>
      <c r="L4" s="35" t="s">
        <v>174</v>
      </c>
      <c r="M4" s="36" t="s">
        <v>175</v>
      </c>
    </row>
    <row r="5" spans="1:13" x14ac:dyDescent="0.3">
      <c r="A5" s="281" t="s">
        <v>2216</v>
      </c>
      <c r="B5" s="292" t="s">
        <v>2069</v>
      </c>
      <c r="C5" s="281" t="s">
        <v>1542</v>
      </c>
      <c r="D5" s="281" t="s">
        <v>1551</v>
      </c>
      <c r="E5" s="282" t="s">
        <v>1983</v>
      </c>
      <c r="F5" s="297" t="s">
        <v>1559</v>
      </c>
      <c r="G5" s="281" t="s">
        <v>1583</v>
      </c>
      <c r="H5" s="283">
        <v>44603</v>
      </c>
      <c r="I5" s="283">
        <v>44613</v>
      </c>
      <c r="J5" s="285">
        <v>44968</v>
      </c>
      <c r="K5" s="285">
        <v>44978</v>
      </c>
      <c r="L5" s="284">
        <v>33</v>
      </c>
      <c r="M5" s="284">
        <v>43</v>
      </c>
    </row>
    <row r="6" spans="1:13" x14ac:dyDescent="0.3">
      <c r="A6" s="123" t="s">
        <v>2217</v>
      </c>
      <c r="B6" s="292" t="s">
        <v>2070</v>
      </c>
      <c r="C6" s="123" t="s">
        <v>1542</v>
      </c>
      <c r="D6" s="123" t="s">
        <v>1551</v>
      </c>
      <c r="E6" s="121" t="s">
        <v>2006</v>
      </c>
      <c r="F6" s="295" t="s">
        <v>1560</v>
      </c>
      <c r="G6" s="123" t="s">
        <v>1584</v>
      </c>
      <c r="H6" s="57">
        <v>44631</v>
      </c>
      <c r="I6" s="57" t="s">
        <v>30</v>
      </c>
      <c r="J6" s="18">
        <v>44996</v>
      </c>
      <c r="K6" s="18" t="s">
        <v>30</v>
      </c>
      <c r="L6" s="4">
        <v>61</v>
      </c>
      <c r="M6" s="4" t="s">
        <v>30</v>
      </c>
    </row>
    <row r="7" spans="1:13" x14ac:dyDescent="0.3">
      <c r="A7" s="123" t="s">
        <v>2218</v>
      </c>
      <c r="B7" s="292" t="s">
        <v>2071</v>
      </c>
      <c r="C7" s="123" t="s">
        <v>1542</v>
      </c>
      <c r="D7" s="123" t="s">
        <v>1551</v>
      </c>
      <c r="E7" s="117" t="s">
        <v>1774</v>
      </c>
      <c r="F7" s="295" t="s">
        <v>1561</v>
      </c>
      <c r="G7" s="123" t="s">
        <v>1585</v>
      </c>
      <c r="H7" s="57">
        <v>44670</v>
      </c>
      <c r="I7" s="57">
        <v>44671</v>
      </c>
      <c r="J7" s="18">
        <v>45035</v>
      </c>
      <c r="K7" s="18">
        <v>45036</v>
      </c>
      <c r="L7" s="4">
        <v>100</v>
      </c>
      <c r="M7" s="4">
        <v>101</v>
      </c>
    </row>
    <row r="8" spans="1:13" x14ac:dyDescent="0.3">
      <c r="A8" s="123" t="s">
        <v>2219</v>
      </c>
      <c r="B8" s="292" t="s">
        <v>2072</v>
      </c>
      <c r="C8" s="123" t="s">
        <v>1542</v>
      </c>
      <c r="D8" s="123" t="s">
        <v>1551</v>
      </c>
      <c r="E8" s="121" t="s">
        <v>1846</v>
      </c>
      <c r="F8" s="295" t="s">
        <v>1562</v>
      </c>
      <c r="G8" s="123" t="s">
        <v>1583</v>
      </c>
      <c r="H8" s="57">
        <v>44567</v>
      </c>
      <c r="I8" s="57">
        <v>44613</v>
      </c>
      <c r="J8" s="18">
        <v>44932</v>
      </c>
      <c r="K8" s="18">
        <v>44978</v>
      </c>
      <c r="L8" s="4">
        <v>-3</v>
      </c>
      <c r="M8" s="4">
        <v>43</v>
      </c>
    </row>
    <row r="9" spans="1:13" x14ac:dyDescent="0.3">
      <c r="A9" s="123" t="s">
        <v>2220</v>
      </c>
      <c r="B9" s="292" t="s">
        <v>2073</v>
      </c>
      <c r="C9" s="123" t="s">
        <v>1542</v>
      </c>
      <c r="D9" s="123" t="s">
        <v>1551</v>
      </c>
      <c r="E9" s="121" t="s">
        <v>1847</v>
      </c>
      <c r="F9" s="295" t="s">
        <v>1563</v>
      </c>
      <c r="G9" s="123" t="s">
        <v>1587</v>
      </c>
      <c r="H9" s="57">
        <v>44567</v>
      </c>
      <c r="I9" s="57">
        <v>44613</v>
      </c>
      <c r="J9" s="18">
        <v>44932</v>
      </c>
      <c r="K9" s="18">
        <v>44978</v>
      </c>
      <c r="L9" s="4">
        <v>-3</v>
      </c>
      <c r="M9" s="4">
        <v>43</v>
      </c>
    </row>
    <row r="10" spans="1:13" x14ac:dyDescent="0.3">
      <c r="A10" s="123" t="s">
        <v>2221</v>
      </c>
      <c r="B10" s="292" t="s">
        <v>2074</v>
      </c>
      <c r="C10" s="123" t="s">
        <v>1542</v>
      </c>
      <c r="D10" s="123" t="s">
        <v>1551</v>
      </c>
      <c r="E10" s="121" t="s">
        <v>1772</v>
      </c>
      <c r="F10" s="295" t="s">
        <v>1564</v>
      </c>
      <c r="G10" s="123" t="s">
        <v>2059</v>
      </c>
      <c r="H10" s="57">
        <v>44567</v>
      </c>
      <c r="I10" s="57">
        <v>44613</v>
      </c>
      <c r="J10" s="18">
        <v>44932</v>
      </c>
      <c r="K10" s="18">
        <v>44978</v>
      </c>
      <c r="L10" s="4">
        <v>-3</v>
      </c>
      <c r="M10" s="4">
        <v>43</v>
      </c>
    </row>
    <row r="11" spans="1:13" x14ac:dyDescent="0.3">
      <c r="A11" s="123" t="s">
        <v>2222</v>
      </c>
      <c r="B11" s="292" t="s">
        <v>2075</v>
      </c>
      <c r="C11" s="123" t="s">
        <v>1544</v>
      </c>
      <c r="D11" s="123" t="s">
        <v>1553</v>
      </c>
      <c r="E11" s="117" t="s">
        <v>1848</v>
      </c>
      <c r="F11" s="295" t="s">
        <v>1568</v>
      </c>
      <c r="G11" s="123" t="s">
        <v>1586</v>
      </c>
      <c r="H11" s="57">
        <v>44567</v>
      </c>
      <c r="I11" s="57">
        <v>44613</v>
      </c>
      <c r="J11" s="18">
        <v>44932</v>
      </c>
      <c r="K11" s="18">
        <v>44978</v>
      </c>
      <c r="L11" s="4">
        <v>-3</v>
      </c>
      <c r="M11" s="4">
        <v>43</v>
      </c>
    </row>
    <row r="12" spans="1:13" x14ac:dyDescent="0.3">
      <c r="A12" s="123" t="s">
        <v>2223</v>
      </c>
      <c r="B12" s="292" t="s">
        <v>2076</v>
      </c>
      <c r="C12" s="123" t="s">
        <v>1543</v>
      </c>
      <c r="D12" s="123" t="s">
        <v>1552</v>
      </c>
      <c r="E12" s="117" t="s">
        <v>2007</v>
      </c>
      <c r="F12" s="295" t="s">
        <v>1565</v>
      </c>
      <c r="G12" s="123" t="s">
        <v>1588</v>
      </c>
      <c r="H12" s="57">
        <v>44567</v>
      </c>
      <c r="I12" s="57">
        <v>44613</v>
      </c>
      <c r="J12" s="18">
        <v>44932</v>
      </c>
      <c r="K12" s="18">
        <v>44978</v>
      </c>
      <c r="L12" s="4">
        <v>-3</v>
      </c>
      <c r="M12" s="4">
        <v>43</v>
      </c>
    </row>
    <row r="13" spans="1:13" x14ac:dyDescent="0.3">
      <c r="A13" s="123" t="s">
        <v>2227</v>
      </c>
      <c r="B13" s="292" t="s">
        <v>2080</v>
      </c>
      <c r="C13" s="123" t="s">
        <v>1987</v>
      </c>
      <c r="D13" s="123" t="s">
        <v>1208</v>
      </c>
      <c r="E13" s="117" t="s">
        <v>1849</v>
      </c>
      <c r="F13" s="123" t="s">
        <v>1573</v>
      </c>
      <c r="G13" s="123" t="s">
        <v>1588</v>
      </c>
      <c r="H13" s="57">
        <v>44809</v>
      </c>
      <c r="I13" s="57">
        <v>44812</v>
      </c>
      <c r="J13" s="57">
        <v>45174</v>
      </c>
      <c r="K13" s="57">
        <v>45177</v>
      </c>
      <c r="L13" s="123">
        <v>239</v>
      </c>
      <c r="M13" s="123">
        <v>242</v>
      </c>
    </row>
    <row r="15" spans="1:13" ht="72" x14ac:dyDescent="0.3">
      <c r="A15" s="6" t="s">
        <v>1055</v>
      </c>
      <c r="B15" s="6"/>
      <c r="C15" s="6" t="s">
        <v>0</v>
      </c>
      <c r="D15" s="51" t="s">
        <v>1517</v>
      </c>
      <c r="E15" s="272" t="s">
        <v>1518</v>
      </c>
      <c r="F15" s="31" t="s">
        <v>174</v>
      </c>
      <c r="G15" s="31" t="s">
        <v>175</v>
      </c>
      <c r="H15" s="31" t="s">
        <v>174</v>
      </c>
      <c r="I15" s="31" t="s">
        <v>175</v>
      </c>
      <c r="J15" s="35" t="s">
        <v>174</v>
      </c>
      <c r="K15" s="36" t="s">
        <v>175</v>
      </c>
    </row>
    <row r="16" spans="1:13" x14ac:dyDescent="0.3">
      <c r="A16" s="123" t="s">
        <v>2229</v>
      </c>
      <c r="B16" s="266" t="s">
        <v>2087</v>
      </c>
      <c r="C16" s="123" t="s">
        <v>1598</v>
      </c>
      <c r="D16" s="121" t="s">
        <v>1779</v>
      </c>
      <c r="E16" s="123" t="s">
        <v>1778</v>
      </c>
      <c r="F16" s="291">
        <v>44567</v>
      </c>
      <c r="G16" s="291">
        <v>44613</v>
      </c>
      <c r="H16" s="18">
        <v>44932</v>
      </c>
      <c r="I16" s="18">
        <v>44978</v>
      </c>
      <c r="J16" s="4">
        <v>-3</v>
      </c>
      <c r="K16" s="4">
        <v>43</v>
      </c>
    </row>
    <row r="17" spans="1:11" x14ac:dyDescent="0.3">
      <c r="A17" s="123" t="s">
        <v>2230</v>
      </c>
      <c r="B17" s="266" t="s">
        <v>2088</v>
      </c>
      <c r="C17" s="123" t="s">
        <v>1598</v>
      </c>
      <c r="D17" s="121" t="s">
        <v>1986</v>
      </c>
      <c r="E17" s="123" t="s">
        <v>1614</v>
      </c>
      <c r="F17" s="291">
        <v>44567</v>
      </c>
      <c r="G17" s="291">
        <v>44613</v>
      </c>
      <c r="H17" s="18">
        <v>44932</v>
      </c>
      <c r="I17" s="18">
        <v>44978</v>
      </c>
      <c r="J17" s="4">
        <v>-3</v>
      </c>
      <c r="K17" s="4">
        <v>43</v>
      </c>
    </row>
    <row r="18" spans="1:11" x14ac:dyDescent="0.3">
      <c r="A18" s="123" t="s">
        <v>2233</v>
      </c>
      <c r="B18" s="266" t="s">
        <v>2091</v>
      </c>
      <c r="C18" s="123" t="s">
        <v>1601</v>
      </c>
      <c r="D18" s="117" t="s">
        <v>1985</v>
      </c>
      <c r="E18" s="265" t="s">
        <v>1617</v>
      </c>
      <c r="F18" s="291">
        <v>44567</v>
      </c>
      <c r="G18" s="291">
        <v>44613</v>
      </c>
      <c r="H18" s="18">
        <v>44932</v>
      </c>
      <c r="I18" s="18">
        <v>44978</v>
      </c>
      <c r="J18" s="4">
        <v>-3</v>
      </c>
      <c r="K18" s="4">
        <v>43</v>
      </c>
    </row>
    <row r="19" spans="1:11" x14ac:dyDescent="0.3">
      <c r="A19" s="123" t="s">
        <v>2234</v>
      </c>
      <c r="B19" s="266" t="s">
        <v>2092</v>
      </c>
      <c r="C19" s="123" t="s">
        <v>1602</v>
      </c>
      <c r="D19" s="117" t="s">
        <v>1984</v>
      </c>
      <c r="E19" s="123" t="s">
        <v>1618</v>
      </c>
      <c r="F19" s="291">
        <v>44567</v>
      </c>
      <c r="G19" s="291">
        <v>44613</v>
      </c>
      <c r="H19" s="18">
        <v>44932</v>
      </c>
      <c r="I19" s="18">
        <v>44978</v>
      </c>
      <c r="J19" s="4">
        <v>-3</v>
      </c>
      <c r="K19" s="4">
        <v>43</v>
      </c>
    </row>
    <row r="20" spans="1:11" x14ac:dyDescent="0.3">
      <c r="A20" s="123" t="s">
        <v>2235</v>
      </c>
      <c r="B20" s="266" t="s">
        <v>2093</v>
      </c>
      <c r="C20" s="123" t="s">
        <v>1603</v>
      </c>
      <c r="D20" s="117" t="s">
        <v>1852</v>
      </c>
      <c r="E20" s="123" t="s">
        <v>1619</v>
      </c>
      <c r="F20" s="291">
        <v>44566</v>
      </c>
      <c r="G20" s="291">
        <v>44613</v>
      </c>
      <c r="H20" s="57">
        <v>44931</v>
      </c>
      <c r="I20" s="57">
        <v>44978</v>
      </c>
      <c r="J20" s="116">
        <v>-4</v>
      </c>
      <c r="K20" s="116">
        <v>43</v>
      </c>
    </row>
    <row r="21" spans="1:11" x14ac:dyDescent="0.3">
      <c r="A21" s="123" t="s">
        <v>2236</v>
      </c>
      <c r="B21" s="266" t="s">
        <v>2094</v>
      </c>
      <c r="C21" s="123" t="s">
        <v>1604</v>
      </c>
      <c r="D21" s="117" t="s">
        <v>1989</v>
      </c>
      <c r="E21" s="123" t="s">
        <v>2004</v>
      </c>
      <c r="F21" s="57">
        <v>44567</v>
      </c>
      <c r="G21" s="57" t="s">
        <v>30</v>
      </c>
      <c r="H21" s="57">
        <v>44932</v>
      </c>
      <c r="I21" s="57" t="s">
        <v>30</v>
      </c>
      <c r="J21" s="123">
        <v>-3</v>
      </c>
      <c r="K21" s="123" t="s">
        <v>30</v>
      </c>
    </row>
    <row r="22" spans="1:11" x14ac:dyDescent="0.3">
      <c r="A22" s="123" t="s">
        <v>2237</v>
      </c>
      <c r="B22" s="266" t="s">
        <v>2095</v>
      </c>
      <c r="C22" s="123" t="s">
        <v>1605</v>
      </c>
      <c r="D22" s="117">
        <v>61275</v>
      </c>
      <c r="E22" s="123" t="s">
        <v>1621</v>
      </c>
      <c r="F22" s="291">
        <v>44567</v>
      </c>
      <c r="G22" s="291">
        <v>44613</v>
      </c>
      <c r="H22" s="18">
        <v>44932</v>
      </c>
      <c r="I22" s="18">
        <v>44978</v>
      </c>
      <c r="J22" s="4">
        <v>-3</v>
      </c>
      <c r="K22" s="4">
        <v>43</v>
      </c>
    </row>
    <row r="23" spans="1:11" x14ac:dyDescent="0.3">
      <c r="A23" s="123" t="s">
        <v>2238</v>
      </c>
      <c r="B23" s="266" t="s">
        <v>2096</v>
      </c>
      <c r="C23" s="123" t="s">
        <v>1606</v>
      </c>
      <c r="D23" s="117" t="s">
        <v>1844</v>
      </c>
      <c r="E23" s="123" t="s">
        <v>1622</v>
      </c>
      <c r="F23" s="291">
        <v>44567</v>
      </c>
      <c r="G23" s="291">
        <v>44613</v>
      </c>
      <c r="H23" s="18">
        <v>44932</v>
      </c>
      <c r="I23" s="18">
        <v>44978</v>
      </c>
      <c r="J23" s="4">
        <v>-3</v>
      </c>
      <c r="K23" s="4">
        <v>43</v>
      </c>
    </row>
  </sheetData>
  <conditionalFormatting sqref="C22:C23">
    <cfRule type="expression" dxfId="27" priority="1" stopIfTrue="1">
      <formula>#REF!="A Reformer"</formula>
    </cfRule>
    <cfRule type="expression" dxfId="26" priority="2" stopIfTrue="1">
      <formula>#REF!="En cours"</formula>
    </cfRule>
    <cfRule type="expression" dxfId="25" priority="3" stopIfTrue="1">
      <formula>#REF!="Introuvable"</formula>
    </cfRule>
  </conditionalFormatting>
  <conditionalFormatting sqref="L5:M13 J16:K23">
    <cfRule type="cellIs" dxfId="24" priority="9" operator="equal">
      <formula>"NC"</formula>
    </cfRule>
    <cfRule type="cellIs" dxfId="23" priority="10" operator="equal">
      <formula>"erreur"</formula>
    </cfRule>
    <cfRule type="cellIs" dxfId="22" priority="11" operator="greaterThan">
      <formula>30</formula>
    </cfRule>
    <cfRule type="cellIs" dxfId="21" priority="12" operator="greaterThan">
      <formula>0</formula>
    </cfRule>
    <cfRule type="cellIs" dxfId="20" priority="13" operator="lessThan">
      <formula>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1F03C-B054-4304-B699-C14161CBF956}">
  <sheetPr>
    <tabColor rgb="FFFF0000"/>
  </sheetPr>
  <dimension ref="A1:AJ1092"/>
  <sheetViews>
    <sheetView tabSelected="1" zoomScale="90" zoomScaleNormal="90" workbookViewId="0">
      <pane xSplit="3" ySplit="7" topLeftCell="D65" activePane="bottomRight" state="frozen"/>
      <selection pane="topRight" activeCell="D1" sqref="D1"/>
      <selection pane="bottomLeft" activeCell="A8" sqref="A8"/>
      <selection pane="bottomRight" activeCell="C8" sqref="C8:C80"/>
    </sheetView>
  </sheetViews>
  <sheetFormatPr baseColWidth="10" defaultRowHeight="14.4" x14ac:dyDescent="0.3"/>
  <cols>
    <col min="1" max="1" width="6.44140625" customWidth="1"/>
    <col min="2" max="2" width="13.21875" customWidth="1"/>
    <col min="3" max="3" width="56.33203125" customWidth="1"/>
    <col min="4" max="4" width="31.44140625" customWidth="1"/>
    <col min="5" max="5" width="16.77734375" customWidth="1"/>
    <col min="7" max="9" width="24.109375" customWidth="1"/>
    <col min="10" max="10" width="25" customWidth="1"/>
    <col min="12" max="12" width="14.33203125" customWidth="1"/>
  </cols>
  <sheetData>
    <row r="1" spans="1:36" ht="14.4" customHeight="1" x14ac:dyDescent="0.3">
      <c r="A1" s="405"/>
      <c r="B1" s="403"/>
      <c r="C1" s="442" t="s">
        <v>2853</v>
      </c>
      <c r="D1" s="442"/>
      <c r="E1" s="442"/>
      <c r="F1" s="442"/>
      <c r="G1" s="442"/>
      <c r="H1" s="442"/>
      <c r="I1" s="442"/>
      <c r="J1" s="442"/>
      <c r="K1" s="442"/>
      <c r="L1" s="442"/>
      <c r="M1" s="409"/>
      <c r="N1" s="409"/>
      <c r="O1" s="409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</row>
    <row r="2" spans="1:36" ht="14.4" customHeight="1" x14ac:dyDescent="0.3">
      <c r="A2" s="405"/>
      <c r="B2" s="403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09"/>
      <c r="N2" s="409"/>
      <c r="O2" s="409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</row>
    <row r="3" spans="1:36" x14ac:dyDescent="0.3">
      <c r="A3" s="405"/>
      <c r="B3" s="403"/>
      <c r="C3" s="406"/>
      <c r="D3" s="406"/>
      <c r="E3" s="406"/>
      <c r="F3" s="406"/>
      <c r="G3" s="408"/>
      <c r="H3" s="407"/>
      <c r="I3" s="407"/>
      <c r="J3" s="403"/>
      <c r="K3" s="403"/>
      <c r="L3" s="403"/>
      <c r="M3" s="409"/>
      <c r="N3" s="409"/>
      <c r="O3" s="409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</row>
    <row r="4" spans="1:36" ht="15.6" x14ac:dyDescent="0.3">
      <c r="A4" s="405"/>
      <c r="B4" s="403"/>
      <c r="C4" s="443" t="s">
        <v>2854</v>
      </c>
      <c r="D4" s="444"/>
      <c r="E4" s="444"/>
      <c r="F4" s="444"/>
      <c r="G4" s="444"/>
      <c r="H4" s="444"/>
      <c r="I4" s="444"/>
      <c r="J4" s="444"/>
      <c r="K4" s="444"/>
      <c r="L4" s="444"/>
      <c r="M4" s="409"/>
      <c r="N4" s="409"/>
      <c r="O4" s="409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</row>
    <row r="5" spans="1:36" x14ac:dyDescent="0.3">
      <c r="A5" s="384"/>
      <c r="B5" s="399"/>
      <c r="C5" s="387" t="s">
        <v>2847</v>
      </c>
      <c r="D5" s="387"/>
      <c r="E5" s="387"/>
      <c r="F5" s="387"/>
      <c r="G5" s="388"/>
      <c r="H5" s="388"/>
      <c r="I5" s="388"/>
      <c r="J5" s="400"/>
      <c r="K5" s="389">
        <f ca="1">TODAY()</f>
        <v>45587</v>
      </c>
      <c r="L5" s="386"/>
      <c r="M5" s="386"/>
      <c r="N5" s="390"/>
      <c r="O5" s="391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</row>
    <row r="6" spans="1:36" x14ac:dyDescent="0.3">
      <c r="A6" s="384"/>
      <c r="B6" s="404" t="s">
        <v>2846</v>
      </c>
      <c r="C6" s="401">
        <f>SUBTOTAL(3,C8:C79)</f>
        <v>72</v>
      </c>
      <c r="D6" s="392">
        <v>6951</v>
      </c>
      <c r="E6" s="402">
        <f>SUBTOTAL(9,E8:E79)</f>
        <v>71</v>
      </c>
      <c r="F6" s="410">
        <f>7778-6951</f>
        <v>827</v>
      </c>
      <c r="G6" s="388">
        <f>SUM(E8:E79)</f>
        <v>71</v>
      </c>
      <c r="H6" s="388"/>
      <c r="I6" s="388"/>
      <c r="J6" s="400">
        <f>+G6-D6</f>
        <v>-6880</v>
      </c>
      <c r="K6" s="385"/>
      <c r="L6" s="386"/>
      <c r="M6" s="386"/>
      <c r="N6" s="393"/>
      <c r="O6" s="391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</row>
    <row r="7" spans="1:36" ht="41.4" x14ac:dyDescent="0.3">
      <c r="A7" s="403"/>
      <c r="B7" s="433" t="s">
        <v>2766</v>
      </c>
      <c r="C7" s="434" t="s">
        <v>0</v>
      </c>
      <c r="D7" s="435" t="s">
        <v>1157</v>
      </c>
      <c r="E7" s="435" t="s">
        <v>2014</v>
      </c>
      <c r="F7" s="435" t="s">
        <v>1842</v>
      </c>
      <c r="G7" s="435" t="s">
        <v>2794</v>
      </c>
      <c r="H7" s="435" t="s">
        <v>2872</v>
      </c>
      <c r="I7" s="435" t="s">
        <v>2768</v>
      </c>
      <c r="J7" s="435" t="s">
        <v>1522</v>
      </c>
      <c r="K7" s="436" t="s">
        <v>2762</v>
      </c>
      <c r="L7" s="437" t="s">
        <v>1597</v>
      </c>
      <c r="M7" s="437" t="s">
        <v>2795</v>
      </c>
      <c r="N7" s="438" t="s">
        <v>1521</v>
      </c>
      <c r="O7" s="439" t="s">
        <v>592</v>
      </c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</row>
    <row r="8" spans="1:36" x14ac:dyDescent="0.3">
      <c r="A8" s="394">
        <v>3</v>
      </c>
      <c r="B8" s="395" t="s">
        <v>2809</v>
      </c>
      <c r="C8" s="411" t="s">
        <v>2763</v>
      </c>
      <c r="D8" s="412"/>
      <c r="E8" s="412">
        <v>1</v>
      </c>
      <c r="F8" s="412" t="s">
        <v>2813</v>
      </c>
      <c r="G8" s="412" t="s">
        <v>1577</v>
      </c>
      <c r="H8" s="412"/>
      <c r="I8" s="412"/>
      <c r="J8" s="413" t="s">
        <v>1725</v>
      </c>
      <c r="K8" s="414"/>
      <c r="L8" s="428"/>
      <c r="M8" s="428"/>
      <c r="N8" s="415"/>
      <c r="O8" s="412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</row>
    <row r="9" spans="1:36" x14ac:dyDescent="0.3">
      <c r="A9" s="394">
        <v>4</v>
      </c>
      <c r="B9" s="395" t="s">
        <v>2833</v>
      </c>
      <c r="C9" s="411" t="s">
        <v>2763</v>
      </c>
      <c r="D9" s="412"/>
      <c r="E9" s="412">
        <v>1</v>
      </c>
      <c r="F9" s="412" t="s">
        <v>2813</v>
      </c>
      <c r="G9" s="412" t="s">
        <v>1577</v>
      </c>
      <c r="H9" s="412"/>
      <c r="I9" s="412"/>
      <c r="J9" s="413" t="s">
        <v>1725</v>
      </c>
      <c r="K9" s="414"/>
      <c r="L9" s="428"/>
      <c r="M9" s="428"/>
      <c r="N9" s="415"/>
      <c r="O9" s="412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</row>
    <row r="10" spans="1:36" x14ac:dyDescent="0.3">
      <c r="A10" s="394">
        <v>5</v>
      </c>
      <c r="B10" s="395" t="s">
        <v>2834</v>
      </c>
      <c r="C10" s="411" t="s">
        <v>2763</v>
      </c>
      <c r="D10" s="412"/>
      <c r="E10" s="412">
        <v>1</v>
      </c>
      <c r="F10" s="412" t="s">
        <v>2812</v>
      </c>
      <c r="G10" s="412" t="s">
        <v>2767</v>
      </c>
      <c r="H10" s="412"/>
      <c r="I10" s="412"/>
      <c r="J10" s="413" t="s">
        <v>1725</v>
      </c>
      <c r="K10" s="414"/>
      <c r="L10" s="413"/>
      <c r="M10" s="413"/>
      <c r="N10" s="415"/>
      <c r="O10" s="412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</row>
    <row r="11" spans="1:36" x14ac:dyDescent="0.3">
      <c r="A11" s="394">
        <v>12</v>
      </c>
      <c r="B11" s="395" t="s">
        <v>2778</v>
      </c>
      <c r="C11" s="411" t="s">
        <v>2799</v>
      </c>
      <c r="D11" s="412"/>
      <c r="E11" s="412">
        <v>1</v>
      </c>
      <c r="F11" s="412" t="s">
        <v>2813</v>
      </c>
      <c r="G11" s="412" t="s">
        <v>1577</v>
      </c>
      <c r="H11" s="412"/>
      <c r="I11" s="412" t="s">
        <v>2862</v>
      </c>
      <c r="J11" s="416" t="s">
        <v>1725</v>
      </c>
      <c r="K11" s="414"/>
      <c r="L11" s="411"/>
      <c r="M11" s="411" t="s">
        <v>2822</v>
      </c>
      <c r="N11" s="421"/>
      <c r="O11" s="412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</row>
    <row r="12" spans="1:36" x14ac:dyDescent="0.3">
      <c r="A12" s="394">
        <v>14</v>
      </c>
      <c r="B12" s="395" t="s">
        <v>2779</v>
      </c>
      <c r="C12" s="411" t="s">
        <v>2823</v>
      </c>
      <c r="D12" s="412"/>
      <c r="E12" s="412">
        <v>1</v>
      </c>
      <c r="F12" s="412" t="s">
        <v>2813</v>
      </c>
      <c r="G12" s="412" t="s">
        <v>1577</v>
      </c>
      <c r="H12" s="412"/>
      <c r="I12" s="412" t="s">
        <v>2862</v>
      </c>
      <c r="J12" s="416" t="s">
        <v>1725</v>
      </c>
      <c r="K12" s="417"/>
      <c r="L12" s="411"/>
      <c r="M12" s="411"/>
      <c r="N12" s="429"/>
      <c r="O12" s="427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</row>
    <row r="13" spans="1:36" x14ac:dyDescent="0.3">
      <c r="A13" s="394">
        <v>14</v>
      </c>
      <c r="B13" s="395" t="s">
        <v>2780</v>
      </c>
      <c r="C13" s="411" t="s">
        <v>2824</v>
      </c>
      <c r="D13" s="412"/>
      <c r="E13" s="412">
        <v>1</v>
      </c>
      <c r="F13" s="412" t="s">
        <v>2813</v>
      </c>
      <c r="G13" s="412" t="s">
        <v>2881</v>
      </c>
      <c r="H13" s="412"/>
      <c r="I13" s="412" t="s">
        <v>2797</v>
      </c>
      <c r="J13" s="416" t="s">
        <v>1725</v>
      </c>
      <c r="K13" s="417"/>
      <c r="L13" s="418" t="s">
        <v>1595</v>
      </c>
      <c r="M13" s="418"/>
      <c r="N13" s="415"/>
      <c r="O13" s="412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</row>
    <row r="14" spans="1:36" x14ac:dyDescent="0.3">
      <c r="A14" s="394">
        <v>82</v>
      </c>
      <c r="B14" s="395" t="s">
        <v>2784</v>
      </c>
      <c r="C14" s="411" t="s">
        <v>2861</v>
      </c>
      <c r="D14" s="412"/>
      <c r="E14" s="412">
        <v>1</v>
      </c>
      <c r="F14" s="412" t="s">
        <v>2812</v>
      </c>
      <c r="G14" s="412" t="s">
        <v>2905</v>
      </c>
      <c r="H14" s="412"/>
      <c r="I14" s="412" t="s">
        <v>2797</v>
      </c>
      <c r="J14" s="413" t="s">
        <v>1725</v>
      </c>
      <c r="K14" s="414"/>
      <c r="L14" s="411"/>
      <c r="M14" s="411"/>
      <c r="N14" s="421"/>
      <c r="O14" s="412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</row>
    <row r="15" spans="1:36" x14ac:dyDescent="0.3">
      <c r="A15" s="394">
        <v>92</v>
      </c>
      <c r="B15" s="395" t="s">
        <v>2786</v>
      </c>
      <c r="C15" s="411" t="s">
        <v>2810</v>
      </c>
      <c r="D15" s="412" t="s">
        <v>2811</v>
      </c>
      <c r="E15" s="412">
        <v>1</v>
      </c>
      <c r="F15" s="412" t="s">
        <v>1577</v>
      </c>
      <c r="G15" s="412" t="s">
        <v>1577</v>
      </c>
      <c r="H15" s="412"/>
      <c r="I15" s="412"/>
      <c r="J15" s="413" t="s">
        <v>1725</v>
      </c>
      <c r="K15" s="414"/>
      <c r="L15" s="413"/>
      <c r="M15" s="413"/>
      <c r="N15" s="421"/>
      <c r="O15" s="412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</row>
    <row r="16" spans="1:36" x14ac:dyDescent="0.3">
      <c r="A16" s="394">
        <v>93</v>
      </c>
      <c r="B16" s="395" t="s">
        <v>2787</v>
      </c>
      <c r="C16" s="411" t="s">
        <v>2815</v>
      </c>
      <c r="D16" s="412"/>
      <c r="E16" s="412">
        <v>1</v>
      </c>
      <c r="F16" s="412" t="s">
        <v>1577</v>
      </c>
      <c r="G16" s="412" t="s">
        <v>1577</v>
      </c>
      <c r="H16" s="412"/>
      <c r="I16" s="412"/>
      <c r="J16" s="413" t="s">
        <v>1725</v>
      </c>
      <c r="K16" s="414"/>
      <c r="L16" s="413"/>
      <c r="M16" s="413"/>
      <c r="N16" s="421"/>
      <c r="O16" s="412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</row>
    <row r="17" spans="1:36" x14ac:dyDescent="0.3">
      <c r="A17" s="394">
        <v>98</v>
      </c>
      <c r="B17" s="395" t="s">
        <v>2801</v>
      </c>
      <c r="C17" s="411" t="s">
        <v>2802</v>
      </c>
      <c r="D17" s="412"/>
      <c r="E17" s="412">
        <v>1</v>
      </c>
      <c r="F17" s="412" t="s">
        <v>2813</v>
      </c>
      <c r="G17" s="412" t="s">
        <v>1577</v>
      </c>
      <c r="H17" s="412"/>
      <c r="I17" s="412"/>
      <c r="J17" s="413" t="s">
        <v>1725</v>
      </c>
      <c r="K17" s="414"/>
      <c r="L17" s="418"/>
      <c r="M17" s="418" t="s">
        <v>2797</v>
      </c>
      <c r="N17" s="429"/>
      <c r="O17" s="427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</row>
    <row r="18" spans="1:36" x14ac:dyDescent="0.3">
      <c r="A18" s="394">
        <v>99</v>
      </c>
      <c r="B18" s="395" t="s">
        <v>2803</v>
      </c>
      <c r="C18" s="411" t="s">
        <v>2764</v>
      </c>
      <c r="D18" s="412"/>
      <c r="E18" s="412">
        <v>1</v>
      </c>
      <c r="F18" s="412" t="s">
        <v>2813</v>
      </c>
      <c r="G18" s="412" t="s">
        <v>1577</v>
      </c>
      <c r="H18" s="412"/>
      <c r="I18" s="412"/>
      <c r="J18" s="413" t="s">
        <v>1725</v>
      </c>
      <c r="K18" s="414"/>
      <c r="L18" s="413"/>
      <c r="M18" s="413" t="s">
        <v>2808</v>
      </c>
      <c r="N18" s="415"/>
      <c r="O18" s="412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</row>
    <row r="19" spans="1:36" x14ac:dyDescent="0.3">
      <c r="A19" s="394">
        <v>114</v>
      </c>
      <c r="B19" s="395" t="s">
        <v>2842</v>
      </c>
      <c r="C19" s="411" t="s">
        <v>2009</v>
      </c>
      <c r="D19" s="412"/>
      <c r="E19" s="412">
        <v>1</v>
      </c>
      <c r="F19" s="412" t="s">
        <v>1577</v>
      </c>
      <c r="G19" s="412" t="s">
        <v>1577</v>
      </c>
      <c r="H19" s="412"/>
      <c r="I19" s="412"/>
      <c r="J19" s="416" t="s">
        <v>1725</v>
      </c>
      <c r="K19" s="414"/>
      <c r="L19" s="411"/>
      <c r="M19" s="411"/>
      <c r="N19" s="415"/>
      <c r="O19" s="412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</row>
    <row r="20" spans="1:36" ht="15" thickBot="1" x14ac:dyDescent="0.35">
      <c r="A20" s="394"/>
      <c r="B20" s="395" t="s">
        <v>2831</v>
      </c>
      <c r="C20" s="411" t="s">
        <v>2832</v>
      </c>
      <c r="D20" s="412"/>
      <c r="E20" s="412">
        <v>1</v>
      </c>
      <c r="F20" s="412" t="s">
        <v>2812</v>
      </c>
      <c r="G20" s="412" t="s">
        <v>2864</v>
      </c>
      <c r="H20" s="432">
        <v>45505</v>
      </c>
      <c r="I20" s="412"/>
      <c r="J20" s="413" t="s">
        <v>1725</v>
      </c>
      <c r="K20" s="414"/>
      <c r="L20" s="413"/>
      <c r="M20" s="413"/>
      <c r="N20" s="421"/>
      <c r="O20" s="412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</row>
    <row r="21" spans="1:36" x14ac:dyDescent="0.3">
      <c r="A21" s="394">
        <v>15</v>
      </c>
      <c r="B21" s="396" t="s">
        <v>2781</v>
      </c>
      <c r="C21" s="411" t="s">
        <v>2825</v>
      </c>
      <c r="D21" s="412"/>
      <c r="E21" s="412">
        <v>1</v>
      </c>
      <c r="F21" s="412" t="s">
        <v>2813</v>
      </c>
      <c r="G21" s="412" t="s">
        <v>2905</v>
      </c>
      <c r="H21" s="412"/>
      <c r="I21" s="412" t="s">
        <v>751</v>
      </c>
      <c r="J21" s="416" t="s">
        <v>1725</v>
      </c>
      <c r="K21" s="417"/>
      <c r="L21" s="418"/>
      <c r="M21" s="418"/>
      <c r="N21" s="415"/>
      <c r="O21" s="412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</row>
    <row r="22" spans="1:36" x14ac:dyDescent="0.3">
      <c r="A22" s="394">
        <v>16</v>
      </c>
      <c r="B22" s="395" t="s">
        <v>2782</v>
      </c>
      <c r="C22" s="411" t="s">
        <v>2826</v>
      </c>
      <c r="D22" s="412"/>
      <c r="E22" s="412">
        <v>1</v>
      </c>
      <c r="F22" s="412" t="s">
        <v>2813</v>
      </c>
      <c r="G22" s="412" t="s">
        <v>2841</v>
      </c>
      <c r="H22" s="412"/>
      <c r="I22" s="412" t="s">
        <v>2797</v>
      </c>
      <c r="J22" s="416" t="s">
        <v>1725</v>
      </c>
      <c r="K22" s="417"/>
      <c r="L22" s="418"/>
      <c r="M22" s="418"/>
      <c r="N22" s="415"/>
      <c r="O22" s="412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</row>
    <row r="23" spans="1:36" x14ac:dyDescent="0.3">
      <c r="A23" s="394">
        <v>83</v>
      </c>
      <c r="B23" s="395" t="s">
        <v>2785</v>
      </c>
      <c r="C23" s="411" t="s">
        <v>2816</v>
      </c>
      <c r="D23" s="412"/>
      <c r="E23" s="412">
        <v>1</v>
      </c>
      <c r="F23" s="412" t="s">
        <v>2812</v>
      </c>
      <c r="G23" s="412" t="s">
        <v>2904</v>
      </c>
      <c r="H23" s="412"/>
      <c r="I23" s="412" t="s">
        <v>2808</v>
      </c>
      <c r="J23" s="413" t="s">
        <v>1725</v>
      </c>
      <c r="K23" s="414"/>
      <c r="L23" s="411"/>
      <c r="M23" s="411"/>
      <c r="N23" s="421"/>
      <c r="O23" s="412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</row>
    <row r="24" spans="1:36" x14ac:dyDescent="0.3">
      <c r="A24" s="394">
        <v>5</v>
      </c>
      <c r="B24" s="395" t="s">
        <v>2835</v>
      </c>
      <c r="C24" s="411" t="s">
        <v>2763</v>
      </c>
      <c r="D24" s="412"/>
      <c r="E24" s="412">
        <v>1</v>
      </c>
      <c r="F24" s="412" t="s">
        <v>2812</v>
      </c>
      <c r="G24" s="412" t="s">
        <v>2814</v>
      </c>
      <c r="H24" s="412"/>
      <c r="I24" s="412"/>
      <c r="J24" s="413" t="s">
        <v>1725</v>
      </c>
      <c r="K24" s="414"/>
      <c r="L24" s="413"/>
      <c r="M24" s="413"/>
      <c r="N24" s="415"/>
      <c r="O24" s="412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</row>
    <row r="25" spans="1:36" x14ac:dyDescent="0.3">
      <c r="A25" s="394">
        <v>6</v>
      </c>
      <c r="B25" s="395" t="s">
        <v>2836</v>
      </c>
      <c r="C25" s="411" t="s">
        <v>2763</v>
      </c>
      <c r="D25" s="412"/>
      <c r="E25" s="412">
        <v>1</v>
      </c>
      <c r="F25" s="412" t="s">
        <v>2812</v>
      </c>
      <c r="G25" s="412" t="s">
        <v>2819</v>
      </c>
      <c r="H25" s="412"/>
      <c r="I25" s="412"/>
      <c r="J25" s="413" t="s">
        <v>1725</v>
      </c>
      <c r="K25" s="414"/>
      <c r="L25" s="413"/>
      <c r="M25" s="413"/>
      <c r="N25" s="415"/>
      <c r="O25" s="412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</row>
    <row r="26" spans="1:36" ht="15" thickBot="1" x14ac:dyDescent="0.35">
      <c r="A26" s="394">
        <v>19</v>
      </c>
      <c r="B26" s="395" t="s">
        <v>2783</v>
      </c>
      <c r="C26" s="411" t="s">
        <v>2826</v>
      </c>
      <c r="D26" s="412"/>
      <c r="E26" s="412">
        <v>1</v>
      </c>
      <c r="F26" s="412" t="s">
        <v>2813</v>
      </c>
      <c r="G26" s="412" t="s">
        <v>2840</v>
      </c>
      <c r="H26" s="412"/>
      <c r="I26" s="412" t="s">
        <v>2797</v>
      </c>
      <c r="J26" s="413" t="s">
        <v>1725</v>
      </c>
      <c r="K26" s="414"/>
      <c r="L26" s="419"/>
      <c r="M26" s="419"/>
      <c r="N26" s="420"/>
      <c r="O26" s="412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</row>
    <row r="27" spans="1:36" ht="15" thickBot="1" x14ac:dyDescent="0.35">
      <c r="A27" s="394">
        <v>62</v>
      </c>
      <c r="B27" s="396" t="s">
        <v>2772</v>
      </c>
      <c r="C27" s="411" t="s">
        <v>2760</v>
      </c>
      <c r="D27" s="412" t="s">
        <v>1718</v>
      </c>
      <c r="E27" s="412">
        <v>1</v>
      </c>
      <c r="F27" s="412"/>
      <c r="G27" s="412" t="s">
        <v>1577</v>
      </c>
      <c r="H27" s="412"/>
      <c r="I27" s="412"/>
      <c r="J27" s="416" t="s">
        <v>1725</v>
      </c>
      <c r="K27" s="414"/>
      <c r="L27" s="418"/>
      <c r="M27" s="418"/>
      <c r="N27" s="415"/>
      <c r="O27" s="412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</row>
    <row r="28" spans="1:36" ht="15" thickBot="1" x14ac:dyDescent="0.35">
      <c r="A28" s="394"/>
      <c r="B28" s="396" t="s">
        <v>2792</v>
      </c>
      <c r="C28" s="411" t="s">
        <v>2761</v>
      </c>
      <c r="D28" s="412"/>
      <c r="E28" s="412">
        <v>1</v>
      </c>
      <c r="F28" s="412" t="s">
        <v>1577</v>
      </c>
      <c r="G28" s="412" t="s">
        <v>1577</v>
      </c>
      <c r="H28" s="412"/>
      <c r="I28" s="412"/>
      <c r="J28" s="413" t="s">
        <v>1725</v>
      </c>
      <c r="K28" s="414"/>
      <c r="L28" s="413"/>
      <c r="M28" s="413"/>
      <c r="N28" s="415"/>
      <c r="O28" s="412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</row>
    <row r="29" spans="1:36" ht="15" thickBot="1" x14ac:dyDescent="0.35">
      <c r="A29" s="394"/>
      <c r="B29" s="396" t="s">
        <v>2793</v>
      </c>
      <c r="C29" s="411" t="s">
        <v>2906</v>
      </c>
      <c r="D29" s="412"/>
      <c r="E29" s="412">
        <v>1</v>
      </c>
      <c r="F29" s="412" t="s">
        <v>2812</v>
      </c>
      <c r="G29" s="412" t="s">
        <v>2905</v>
      </c>
      <c r="H29" s="412"/>
      <c r="I29" s="412" t="s">
        <v>2797</v>
      </c>
      <c r="J29" s="413" t="s">
        <v>1725</v>
      </c>
      <c r="K29" s="414"/>
      <c r="L29" s="413"/>
      <c r="M29" s="413"/>
      <c r="N29" s="415"/>
      <c r="O29" s="412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</row>
    <row r="30" spans="1:36" ht="15" thickBot="1" x14ac:dyDescent="0.35">
      <c r="A30" s="394">
        <v>81</v>
      </c>
      <c r="B30" s="396" t="s">
        <v>2798</v>
      </c>
      <c r="C30" s="411" t="s">
        <v>2800</v>
      </c>
      <c r="D30" s="411" t="s">
        <v>1715</v>
      </c>
      <c r="E30" s="411">
        <v>1</v>
      </c>
      <c r="F30" s="411" t="s">
        <v>2813</v>
      </c>
      <c r="G30" s="411" t="s">
        <v>1577</v>
      </c>
      <c r="H30" s="411"/>
      <c r="I30" s="411"/>
      <c r="J30" s="416" t="s">
        <v>1725</v>
      </c>
      <c r="K30" s="414"/>
      <c r="L30" s="430"/>
      <c r="M30" s="430"/>
      <c r="N30" s="429"/>
      <c r="O30" s="431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</row>
    <row r="31" spans="1:36" ht="15" thickBot="1" x14ac:dyDescent="0.35">
      <c r="A31" s="394">
        <v>81</v>
      </c>
      <c r="B31" s="396" t="s">
        <v>2871</v>
      </c>
      <c r="C31" s="411" t="s">
        <v>2800</v>
      </c>
      <c r="D31" s="411" t="s">
        <v>1715</v>
      </c>
      <c r="E31" s="411">
        <v>1</v>
      </c>
      <c r="F31" s="411" t="s">
        <v>2813</v>
      </c>
      <c r="G31" s="411" t="s">
        <v>2767</v>
      </c>
      <c r="H31" s="411"/>
      <c r="I31" s="411"/>
      <c r="J31" s="416" t="s">
        <v>1725</v>
      </c>
      <c r="K31" s="414"/>
      <c r="L31" s="430"/>
      <c r="M31" s="430"/>
      <c r="N31" s="429"/>
      <c r="O31" s="431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</row>
    <row r="32" spans="1:36" ht="15" thickBot="1" x14ac:dyDescent="0.35">
      <c r="A32" s="394">
        <v>94</v>
      </c>
      <c r="B32" s="396" t="s">
        <v>2788</v>
      </c>
      <c r="C32" s="411" t="s">
        <v>2765</v>
      </c>
      <c r="D32" s="412"/>
      <c r="E32" s="412">
        <v>1</v>
      </c>
      <c r="F32" s="412" t="s">
        <v>1577</v>
      </c>
      <c r="G32" s="412" t="s">
        <v>1577</v>
      </c>
      <c r="H32" s="412"/>
      <c r="I32" s="412"/>
      <c r="J32" s="413" t="s">
        <v>1725</v>
      </c>
      <c r="K32" s="414"/>
      <c r="L32" s="413"/>
      <c r="M32" s="413"/>
      <c r="N32" s="421"/>
      <c r="O32" s="412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</row>
    <row r="33" spans="1:36" ht="15" thickBot="1" x14ac:dyDescent="0.35">
      <c r="A33" s="394">
        <v>95</v>
      </c>
      <c r="B33" s="396" t="s">
        <v>2789</v>
      </c>
      <c r="C33" s="411" t="s">
        <v>2051</v>
      </c>
      <c r="D33" s="412"/>
      <c r="E33" s="412">
        <v>1</v>
      </c>
      <c r="F33" s="412" t="s">
        <v>1577</v>
      </c>
      <c r="G33" s="412" t="s">
        <v>1577</v>
      </c>
      <c r="H33" s="412"/>
      <c r="I33" s="412"/>
      <c r="J33" s="413" t="s">
        <v>1725</v>
      </c>
      <c r="K33" s="414"/>
      <c r="L33" s="413"/>
      <c r="M33" s="413"/>
      <c r="N33" s="421"/>
      <c r="O33" s="412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</row>
    <row r="34" spans="1:36" ht="15" thickBot="1" x14ac:dyDescent="0.35">
      <c r="A34" s="394">
        <v>96</v>
      </c>
      <c r="B34" s="396" t="s">
        <v>2790</v>
      </c>
      <c r="C34" s="411" t="s">
        <v>2810</v>
      </c>
      <c r="D34" s="412"/>
      <c r="E34" s="412">
        <v>1</v>
      </c>
      <c r="F34" s="412" t="s">
        <v>2812</v>
      </c>
      <c r="G34" s="412" t="s">
        <v>2814</v>
      </c>
      <c r="H34" s="412"/>
      <c r="I34" s="412"/>
      <c r="J34" s="413" t="s">
        <v>1725</v>
      </c>
      <c r="K34" s="414"/>
      <c r="L34" s="413"/>
      <c r="M34" s="413"/>
      <c r="N34" s="421"/>
      <c r="O34" s="412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</row>
    <row r="35" spans="1:36" ht="15" thickBot="1" x14ac:dyDescent="0.35">
      <c r="A35" s="394">
        <v>97</v>
      </c>
      <c r="B35" s="396" t="s">
        <v>2791</v>
      </c>
      <c r="C35" s="411" t="s">
        <v>2828</v>
      </c>
      <c r="D35" s="412"/>
      <c r="E35" s="412">
        <v>1</v>
      </c>
      <c r="F35" s="412" t="s">
        <v>2812</v>
      </c>
      <c r="G35" s="412" t="s">
        <v>2905</v>
      </c>
      <c r="H35" s="412"/>
      <c r="I35" s="412"/>
      <c r="J35" s="413" t="s">
        <v>1725</v>
      </c>
      <c r="K35" s="414"/>
      <c r="L35" s="413"/>
      <c r="M35" s="413"/>
      <c r="N35" s="421"/>
      <c r="O35" s="412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</row>
    <row r="36" spans="1:36" ht="15" thickBot="1" x14ac:dyDescent="0.35">
      <c r="A36" s="394">
        <v>100</v>
      </c>
      <c r="B36" s="396" t="s">
        <v>2804</v>
      </c>
      <c r="C36" s="411" t="s">
        <v>2820</v>
      </c>
      <c r="D36" s="412"/>
      <c r="E36" s="412">
        <v>1</v>
      </c>
      <c r="F36" s="412" t="s">
        <v>2812</v>
      </c>
      <c r="G36" s="412" t="s">
        <v>2819</v>
      </c>
      <c r="H36" s="412"/>
      <c r="I36" s="412"/>
      <c r="J36" s="413" t="s">
        <v>1725</v>
      </c>
      <c r="K36" s="414"/>
      <c r="L36" s="428"/>
      <c r="M36" s="428"/>
      <c r="N36" s="415"/>
      <c r="O36" s="412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</row>
    <row r="37" spans="1:36" ht="15" thickBot="1" x14ac:dyDescent="0.35">
      <c r="A37" s="394">
        <v>101</v>
      </c>
      <c r="B37" s="396" t="s">
        <v>2805</v>
      </c>
      <c r="C37" s="411" t="s">
        <v>2802</v>
      </c>
      <c r="D37" s="412"/>
      <c r="E37" s="412">
        <v>1</v>
      </c>
      <c r="F37" s="412" t="s">
        <v>2812</v>
      </c>
      <c r="G37" s="412" t="s">
        <v>1577</v>
      </c>
      <c r="H37" s="412"/>
      <c r="I37" s="412"/>
      <c r="J37" s="413" t="s">
        <v>1725</v>
      </c>
      <c r="K37" s="414"/>
      <c r="L37" s="428"/>
      <c r="M37" s="428" t="s">
        <v>2797</v>
      </c>
      <c r="N37" s="415"/>
      <c r="O37" s="412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</row>
    <row r="38" spans="1:36" ht="15" thickBot="1" x14ac:dyDescent="0.35">
      <c r="A38" s="394">
        <v>115</v>
      </c>
      <c r="B38" s="396" t="s">
        <v>2843</v>
      </c>
      <c r="C38" s="411" t="s">
        <v>2057</v>
      </c>
      <c r="D38" s="412"/>
      <c r="E38" s="412">
        <v>1</v>
      </c>
      <c r="F38" s="412" t="s">
        <v>1577</v>
      </c>
      <c r="G38" s="412" t="s">
        <v>1577</v>
      </c>
      <c r="H38" s="412"/>
      <c r="I38" s="412"/>
      <c r="J38" s="416" t="s">
        <v>1725</v>
      </c>
      <c r="K38" s="414"/>
      <c r="L38" s="411"/>
      <c r="M38" s="411"/>
      <c r="N38" s="415"/>
      <c r="O38" s="412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</row>
    <row r="39" spans="1:36" ht="15" thickBot="1" x14ac:dyDescent="0.35">
      <c r="A39" s="394">
        <v>115</v>
      </c>
      <c r="B39" s="396" t="s">
        <v>2844</v>
      </c>
      <c r="C39" s="411" t="s">
        <v>2056</v>
      </c>
      <c r="D39" s="412"/>
      <c r="E39" s="412">
        <v>1</v>
      </c>
      <c r="F39" s="412" t="s">
        <v>1577</v>
      </c>
      <c r="G39" s="412" t="s">
        <v>1577</v>
      </c>
      <c r="H39" s="412"/>
      <c r="I39" s="412"/>
      <c r="J39" s="416" t="s">
        <v>1725</v>
      </c>
      <c r="K39" s="414"/>
      <c r="L39" s="411"/>
      <c r="M39" s="411"/>
      <c r="N39" s="415"/>
      <c r="O39" s="412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</row>
    <row r="40" spans="1:36" ht="15" thickBot="1" x14ac:dyDescent="0.35">
      <c r="A40" s="394">
        <v>117</v>
      </c>
      <c r="B40" s="396" t="s">
        <v>2845</v>
      </c>
      <c r="C40" s="411" t="s">
        <v>1529</v>
      </c>
      <c r="D40" s="412"/>
      <c r="E40" s="412">
        <v>1</v>
      </c>
      <c r="F40" s="412" t="s">
        <v>1577</v>
      </c>
      <c r="G40" s="412" t="s">
        <v>1577</v>
      </c>
      <c r="H40" s="412"/>
      <c r="I40" s="412"/>
      <c r="J40" s="416" t="s">
        <v>1725</v>
      </c>
      <c r="K40" s="414"/>
      <c r="L40" s="411"/>
      <c r="M40" s="411"/>
      <c r="N40" s="415"/>
      <c r="O40" s="412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</row>
    <row r="41" spans="1:36" ht="15" thickBot="1" x14ac:dyDescent="0.35">
      <c r="A41" s="394">
        <v>117</v>
      </c>
      <c r="B41" s="396" t="s">
        <v>2775</v>
      </c>
      <c r="C41" s="411" t="s">
        <v>1531</v>
      </c>
      <c r="D41" s="412"/>
      <c r="E41" s="412">
        <v>1</v>
      </c>
      <c r="F41" s="412" t="s">
        <v>2812</v>
      </c>
      <c r="G41" s="412" t="s">
        <v>2819</v>
      </c>
      <c r="H41" s="412"/>
      <c r="I41" s="412"/>
      <c r="J41" s="416" t="s">
        <v>1725</v>
      </c>
      <c r="K41" s="414"/>
      <c r="L41" s="411"/>
      <c r="M41" s="411"/>
      <c r="N41" s="421"/>
      <c r="O41" s="412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</row>
    <row r="42" spans="1:36" ht="15" thickBot="1" x14ac:dyDescent="0.35">
      <c r="A42" s="394">
        <v>117</v>
      </c>
      <c r="B42" s="396" t="s">
        <v>2776</v>
      </c>
      <c r="C42" s="411" t="s">
        <v>1531</v>
      </c>
      <c r="D42" s="412"/>
      <c r="E42" s="412">
        <v>1</v>
      </c>
      <c r="F42" s="412" t="s">
        <v>2812</v>
      </c>
      <c r="G42" s="412" t="s">
        <v>2767</v>
      </c>
      <c r="H42" s="412"/>
      <c r="I42" s="412"/>
      <c r="J42" s="416" t="s">
        <v>1725</v>
      </c>
      <c r="K42" s="414"/>
      <c r="L42" s="411"/>
      <c r="M42" s="411"/>
      <c r="N42" s="429"/>
      <c r="O42" s="427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</row>
    <row r="43" spans="1:36" x14ac:dyDescent="0.3">
      <c r="A43" s="394"/>
      <c r="B43" s="396" t="s">
        <v>2769</v>
      </c>
      <c r="C43" s="411" t="s">
        <v>2909</v>
      </c>
      <c r="D43" s="411" t="s">
        <v>1715</v>
      </c>
      <c r="E43" s="411">
        <v>1</v>
      </c>
      <c r="F43" s="412" t="s">
        <v>2812</v>
      </c>
      <c r="G43" s="412" t="s">
        <v>2905</v>
      </c>
      <c r="H43" s="411"/>
      <c r="I43" s="411" t="s">
        <v>2797</v>
      </c>
      <c r="J43" s="416" t="s">
        <v>1725</v>
      </c>
      <c r="K43" s="414"/>
      <c r="L43" s="411"/>
      <c r="M43" s="411"/>
      <c r="N43" s="421"/>
      <c r="O43" s="412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</row>
    <row r="44" spans="1:36" ht="15" thickBot="1" x14ac:dyDescent="0.35">
      <c r="A44" s="394"/>
      <c r="B44" s="397" t="s">
        <v>2773</v>
      </c>
      <c r="C44" s="411" t="s">
        <v>2817</v>
      </c>
      <c r="D44" s="412" t="s">
        <v>2818</v>
      </c>
      <c r="E44" s="412">
        <v>1</v>
      </c>
      <c r="F44" s="412" t="s">
        <v>2812</v>
      </c>
      <c r="G44" s="412" t="s">
        <v>2881</v>
      </c>
      <c r="H44" s="412"/>
      <c r="I44" s="412"/>
      <c r="J44" s="416" t="s">
        <v>1725</v>
      </c>
      <c r="K44" s="414"/>
      <c r="L44" s="418"/>
      <c r="M44" s="418"/>
      <c r="N44" s="415"/>
      <c r="O44" s="412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</row>
    <row r="45" spans="1:36" x14ac:dyDescent="0.3">
      <c r="A45" s="394">
        <v>7</v>
      </c>
      <c r="B45" s="398" t="s">
        <v>2837</v>
      </c>
      <c r="C45" s="411" t="s">
        <v>2763</v>
      </c>
      <c r="D45" s="412"/>
      <c r="E45" s="412">
        <v>1</v>
      </c>
      <c r="F45" s="412" t="s">
        <v>2812</v>
      </c>
      <c r="G45" s="412" t="s">
        <v>2905</v>
      </c>
      <c r="H45" s="412" t="s">
        <v>2808</v>
      </c>
      <c r="I45" s="412"/>
      <c r="J45" s="413" t="s">
        <v>1725</v>
      </c>
      <c r="K45" s="414"/>
      <c r="L45" s="413"/>
      <c r="M45" s="413"/>
      <c r="N45" s="415"/>
      <c r="O45" s="412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</row>
    <row r="46" spans="1:36" x14ac:dyDescent="0.3">
      <c r="A46" s="394">
        <v>102</v>
      </c>
      <c r="B46" s="395" t="s">
        <v>2806</v>
      </c>
      <c r="C46" s="411" t="s">
        <v>2907</v>
      </c>
      <c r="D46" s="412"/>
      <c r="E46" s="412">
        <v>1</v>
      </c>
      <c r="F46" s="412" t="s">
        <v>2812</v>
      </c>
      <c r="G46" s="412" t="s">
        <v>2905</v>
      </c>
      <c r="H46" s="412"/>
      <c r="I46" s="412" t="s">
        <v>2808</v>
      </c>
      <c r="J46" s="413" t="s">
        <v>1725</v>
      </c>
      <c r="K46" s="414"/>
      <c r="L46" s="428"/>
      <c r="M46" s="428"/>
      <c r="N46" s="415"/>
      <c r="O46" s="412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</row>
    <row r="47" spans="1:36" x14ac:dyDescent="0.3">
      <c r="A47" s="394"/>
      <c r="B47" s="395" t="s">
        <v>2830</v>
      </c>
      <c r="C47" s="411" t="s">
        <v>1531</v>
      </c>
      <c r="D47" s="412"/>
      <c r="E47" s="412">
        <v>1</v>
      </c>
      <c r="F47" s="412" t="s">
        <v>2812</v>
      </c>
      <c r="G47" s="412" t="s">
        <v>2905</v>
      </c>
      <c r="H47" s="412"/>
      <c r="I47" s="412"/>
      <c r="J47" s="413"/>
      <c r="K47" s="414"/>
      <c r="L47" s="413"/>
      <c r="M47" s="413"/>
      <c r="N47" s="415"/>
      <c r="O47" s="412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</row>
    <row r="48" spans="1:36" x14ac:dyDescent="0.3">
      <c r="A48" s="394">
        <v>117</v>
      </c>
      <c r="B48" s="395" t="s">
        <v>2860</v>
      </c>
      <c r="C48" s="411" t="s">
        <v>1531</v>
      </c>
      <c r="D48" s="412"/>
      <c r="E48" s="412">
        <v>1</v>
      </c>
      <c r="F48" s="412" t="s">
        <v>2812</v>
      </c>
      <c r="G48" s="412" t="s">
        <v>2855</v>
      </c>
      <c r="H48" s="412"/>
      <c r="I48" s="412"/>
      <c r="J48" s="413" t="s">
        <v>1725</v>
      </c>
      <c r="K48" s="414"/>
      <c r="L48" s="412"/>
      <c r="M48" s="412"/>
      <c r="N48" s="426"/>
      <c r="O48" s="427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</row>
    <row r="49" spans="1:36" x14ac:dyDescent="0.3">
      <c r="A49" s="394"/>
      <c r="B49" s="395" t="s">
        <v>2915</v>
      </c>
      <c r="C49" s="411" t="s">
        <v>2916</v>
      </c>
      <c r="D49" s="412"/>
      <c r="E49" s="412">
        <v>1</v>
      </c>
      <c r="F49" s="412" t="s">
        <v>2812</v>
      </c>
      <c r="G49" s="412" t="s">
        <v>2864</v>
      </c>
      <c r="H49" s="441">
        <v>45568</v>
      </c>
      <c r="I49" s="412"/>
      <c r="J49" s="413" t="s">
        <v>1725</v>
      </c>
      <c r="K49" s="414"/>
      <c r="L49" s="413"/>
      <c r="M49" s="413"/>
      <c r="N49" s="415"/>
      <c r="O49" s="412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</row>
    <row r="50" spans="1:36" x14ac:dyDescent="0.3">
      <c r="A50" s="394">
        <v>8</v>
      </c>
      <c r="B50" s="395" t="s">
        <v>2838</v>
      </c>
      <c r="C50" s="411" t="s">
        <v>2763</v>
      </c>
      <c r="D50" s="412"/>
      <c r="E50" s="412">
        <v>1</v>
      </c>
      <c r="F50" s="412" t="s">
        <v>2812</v>
      </c>
      <c r="G50" s="412" t="s">
        <v>2905</v>
      </c>
      <c r="H50" s="412" t="s">
        <v>2808</v>
      </c>
      <c r="I50" s="412"/>
      <c r="J50" s="413" t="s">
        <v>1725</v>
      </c>
      <c r="K50" s="414"/>
      <c r="L50" s="413"/>
      <c r="M50" s="413"/>
      <c r="N50" s="415"/>
      <c r="O50" s="412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</row>
    <row r="51" spans="1:36" x14ac:dyDescent="0.3">
      <c r="A51" s="394">
        <v>103</v>
      </c>
      <c r="B51" s="395" t="s">
        <v>2807</v>
      </c>
      <c r="C51" s="411" t="s">
        <v>2908</v>
      </c>
      <c r="D51" s="412"/>
      <c r="E51" s="412">
        <v>1</v>
      </c>
      <c r="F51" s="412" t="s">
        <v>2812</v>
      </c>
      <c r="G51" s="412" t="s">
        <v>2905</v>
      </c>
      <c r="H51" s="412"/>
      <c r="I51" s="412" t="s">
        <v>2797</v>
      </c>
      <c r="J51" s="413" t="s">
        <v>1725</v>
      </c>
      <c r="K51" s="414"/>
      <c r="L51" s="428"/>
      <c r="M51" s="428"/>
      <c r="N51" s="415"/>
      <c r="O51" s="412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</row>
    <row r="52" spans="1:36" x14ac:dyDescent="0.3">
      <c r="A52" s="394">
        <v>103</v>
      </c>
      <c r="B52" s="395" t="s">
        <v>2873</v>
      </c>
      <c r="C52" s="411" t="s">
        <v>2878</v>
      </c>
      <c r="D52" s="412" t="s">
        <v>1160</v>
      </c>
      <c r="E52" s="412">
        <v>1</v>
      </c>
      <c r="F52" s="412" t="s">
        <v>2812</v>
      </c>
      <c r="G52" s="412" t="s">
        <v>2864</v>
      </c>
      <c r="H52" s="441">
        <v>45503</v>
      </c>
      <c r="I52" s="412" t="s">
        <v>2874</v>
      </c>
      <c r="J52" s="413" t="s">
        <v>1725</v>
      </c>
      <c r="K52" s="414"/>
      <c r="L52" s="428"/>
      <c r="M52" s="428"/>
      <c r="N52" s="415"/>
      <c r="O52" s="412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</row>
    <row r="53" spans="1:36" x14ac:dyDescent="0.3">
      <c r="A53" s="394">
        <v>103</v>
      </c>
      <c r="B53" s="395" t="s">
        <v>2888</v>
      </c>
      <c r="C53" s="411" t="s">
        <v>2889</v>
      </c>
      <c r="D53" s="412" t="s">
        <v>1723</v>
      </c>
      <c r="E53" s="412">
        <v>1</v>
      </c>
      <c r="F53" s="412" t="s">
        <v>2812</v>
      </c>
      <c r="G53" s="412" t="s">
        <v>2864</v>
      </c>
      <c r="H53" s="441">
        <v>45503</v>
      </c>
      <c r="I53" s="412" t="s">
        <v>2874</v>
      </c>
      <c r="J53" s="413" t="s">
        <v>1725</v>
      </c>
      <c r="K53" s="414"/>
      <c r="L53" s="428"/>
      <c r="M53" s="428"/>
      <c r="N53" s="415"/>
      <c r="O53" s="412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</row>
    <row r="54" spans="1:36" x14ac:dyDescent="0.3">
      <c r="A54" s="394">
        <v>103</v>
      </c>
      <c r="B54" s="395" t="s">
        <v>2896</v>
      </c>
      <c r="C54" s="411" t="s">
        <v>2802</v>
      </c>
      <c r="D54" s="412" t="s">
        <v>1723</v>
      </c>
      <c r="E54" s="412">
        <v>1</v>
      </c>
      <c r="F54" s="412" t="s">
        <v>2812</v>
      </c>
      <c r="G54" s="412" t="s">
        <v>2884</v>
      </c>
      <c r="H54" s="441"/>
      <c r="I54" s="412"/>
      <c r="J54" s="413" t="s">
        <v>1725</v>
      </c>
      <c r="K54" s="414"/>
      <c r="L54" s="428"/>
      <c r="M54" s="428"/>
      <c r="N54" s="415"/>
      <c r="O54" s="412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</row>
    <row r="55" spans="1:36" x14ac:dyDescent="0.3">
      <c r="A55" s="394">
        <v>103</v>
      </c>
      <c r="B55" s="395" t="s">
        <v>2897</v>
      </c>
      <c r="C55" s="411" t="s">
        <v>2802</v>
      </c>
      <c r="D55" s="412" t="s">
        <v>1723</v>
      </c>
      <c r="E55" s="412">
        <v>1</v>
      </c>
      <c r="F55" s="412" t="s">
        <v>2812</v>
      </c>
      <c r="G55" s="412" t="s">
        <v>2884</v>
      </c>
      <c r="H55" s="441"/>
      <c r="I55" s="412" t="s">
        <v>2862</v>
      </c>
      <c r="J55" s="413" t="s">
        <v>1725</v>
      </c>
      <c r="K55" s="414"/>
      <c r="L55" s="428"/>
      <c r="M55" s="428"/>
      <c r="N55" s="415"/>
      <c r="O55" s="412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</row>
    <row r="56" spans="1:36" x14ac:dyDescent="0.3">
      <c r="A56" s="394">
        <v>103</v>
      </c>
      <c r="B56" s="395" t="s">
        <v>2910</v>
      </c>
      <c r="C56" s="411" t="s">
        <v>2829</v>
      </c>
      <c r="D56" s="412" t="s">
        <v>1723</v>
      </c>
      <c r="E56" s="412">
        <v>1</v>
      </c>
      <c r="F56" s="412" t="s">
        <v>2812</v>
      </c>
      <c r="G56" s="412" t="s">
        <v>2905</v>
      </c>
      <c r="H56" s="412"/>
      <c r="I56" s="412" t="s">
        <v>2808</v>
      </c>
      <c r="J56" s="413" t="s">
        <v>1725</v>
      </c>
      <c r="K56" s="414"/>
      <c r="L56" s="428"/>
      <c r="M56" s="428"/>
      <c r="N56" s="415"/>
      <c r="O56" s="412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</row>
    <row r="57" spans="1:36" x14ac:dyDescent="0.3">
      <c r="A57" s="394"/>
      <c r="B57" s="395" t="s">
        <v>2867</v>
      </c>
      <c r="C57" s="411" t="s">
        <v>2868</v>
      </c>
      <c r="D57" s="412"/>
      <c r="E57" s="412">
        <v>1</v>
      </c>
      <c r="F57" s="412" t="s">
        <v>2812</v>
      </c>
      <c r="G57" s="412" t="s">
        <v>2884</v>
      </c>
      <c r="H57" s="412"/>
      <c r="I57" s="412" t="s">
        <v>2797</v>
      </c>
      <c r="J57" s="413" t="s">
        <v>1725</v>
      </c>
      <c r="K57" s="414"/>
      <c r="L57" s="413"/>
      <c r="M57" s="413"/>
      <c r="N57" s="415"/>
      <c r="O57" s="412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</row>
    <row r="58" spans="1:36" x14ac:dyDescent="0.3">
      <c r="A58" s="394"/>
      <c r="B58" s="395" t="s">
        <v>2879</v>
      </c>
      <c r="C58" s="411" t="s">
        <v>2880</v>
      </c>
      <c r="D58" s="412"/>
      <c r="E58" s="412">
        <v>1</v>
      </c>
      <c r="F58" s="412" t="s">
        <v>2812</v>
      </c>
      <c r="G58" s="412" t="s">
        <v>2884</v>
      </c>
      <c r="H58" s="419">
        <v>45505</v>
      </c>
      <c r="I58" s="412" t="s">
        <v>2797</v>
      </c>
      <c r="J58" s="413" t="s">
        <v>1725</v>
      </c>
      <c r="K58" s="414"/>
      <c r="L58" s="413"/>
      <c r="M58" s="413"/>
      <c r="N58" s="415"/>
      <c r="O58" s="412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</row>
    <row r="59" spans="1:36" x14ac:dyDescent="0.3">
      <c r="A59" s="394"/>
      <c r="B59" s="395" t="s">
        <v>2882</v>
      </c>
      <c r="C59" s="411" t="s">
        <v>2883</v>
      </c>
      <c r="D59" s="412"/>
      <c r="E59" s="412">
        <v>1</v>
      </c>
      <c r="F59" s="412" t="s">
        <v>2812</v>
      </c>
      <c r="G59" s="412" t="s">
        <v>2767</v>
      </c>
      <c r="H59" s="412"/>
      <c r="I59" s="412"/>
      <c r="J59" s="413" t="s">
        <v>1725</v>
      </c>
      <c r="K59" s="414"/>
      <c r="L59" s="418"/>
      <c r="M59" s="418"/>
      <c r="N59" s="421"/>
      <c r="O59" s="412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</row>
    <row r="60" spans="1:36" x14ac:dyDescent="0.3">
      <c r="A60" s="394"/>
      <c r="B60" s="395" t="s">
        <v>2890</v>
      </c>
      <c r="C60" s="411" t="s">
        <v>2903</v>
      </c>
      <c r="D60" s="412"/>
      <c r="E60" s="412">
        <v>1</v>
      </c>
      <c r="F60" s="412"/>
      <c r="G60" s="412" t="s">
        <v>2902</v>
      </c>
      <c r="H60" s="412"/>
      <c r="I60" s="412"/>
      <c r="J60" s="413"/>
      <c r="K60" s="414"/>
      <c r="L60" s="418"/>
      <c r="M60" s="418"/>
      <c r="N60" s="421"/>
      <c r="O60" s="412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spans="1:36" ht="28.2" x14ac:dyDescent="0.3">
      <c r="A61" s="394"/>
      <c r="B61" s="395" t="s">
        <v>2901</v>
      </c>
      <c r="C61" s="440" t="s">
        <v>2891</v>
      </c>
      <c r="D61" s="412"/>
      <c r="E61" s="412">
        <v>1</v>
      </c>
      <c r="F61" s="412" t="s">
        <v>2812</v>
      </c>
      <c r="G61" s="412" t="s">
        <v>2864</v>
      </c>
      <c r="H61" s="412"/>
      <c r="I61" s="412" t="s">
        <v>2797</v>
      </c>
      <c r="J61" s="413" t="s">
        <v>1725</v>
      </c>
      <c r="K61" s="414"/>
      <c r="L61" s="418"/>
      <c r="M61" s="418"/>
      <c r="N61" s="421"/>
      <c r="O61" s="412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</row>
    <row r="62" spans="1:36" x14ac:dyDescent="0.3">
      <c r="A62" s="394"/>
      <c r="B62" s="395" t="s">
        <v>2770</v>
      </c>
      <c r="C62" s="411" t="s">
        <v>1762</v>
      </c>
      <c r="D62" s="412" t="s">
        <v>1715</v>
      </c>
      <c r="E62" s="412">
        <v>1</v>
      </c>
      <c r="F62" s="412" t="s">
        <v>2812</v>
      </c>
      <c r="G62" s="412" t="s">
        <v>1577</v>
      </c>
      <c r="H62" s="412"/>
      <c r="I62" s="412" t="s">
        <v>2895</v>
      </c>
      <c r="J62" s="413" t="s">
        <v>1725</v>
      </c>
      <c r="K62" s="414"/>
      <c r="L62" s="419"/>
      <c r="M62" s="419"/>
      <c r="N62" s="426"/>
      <c r="O62" s="427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4"/>
      <c r="AG62" s="124"/>
      <c r="AH62" s="124"/>
      <c r="AI62" s="124"/>
      <c r="AJ62" s="124"/>
    </row>
    <row r="63" spans="1:36" x14ac:dyDescent="0.3">
      <c r="A63" s="394">
        <v>9</v>
      </c>
      <c r="B63" s="395" t="s">
        <v>2839</v>
      </c>
      <c r="C63" s="411" t="s">
        <v>2763</v>
      </c>
      <c r="D63" s="412"/>
      <c r="E63" s="412">
        <v>1</v>
      </c>
      <c r="F63" s="412" t="s">
        <v>2812</v>
      </c>
      <c r="G63" s="412" t="s">
        <v>2905</v>
      </c>
      <c r="H63" s="412" t="s">
        <v>2808</v>
      </c>
      <c r="I63" s="412"/>
      <c r="J63" s="413" t="s">
        <v>1725</v>
      </c>
      <c r="K63" s="414"/>
      <c r="L63" s="413"/>
      <c r="M63" s="413"/>
      <c r="N63" s="415"/>
      <c r="O63" s="412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</row>
    <row r="64" spans="1:36" x14ac:dyDescent="0.3">
      <c r="A64" s="394">
        <v>5</v>
      </c>
      <c r="B64" s="395" t="s">
        <v>2885</v>
      </c>
      <c r="C64" s="411" t="s">
        <v>2875</v>
      </c>
      <c r="D64" s="412" t="s">
        <v>2876</v>
      </c>
      <c r="E64" s="412">
        <v>1</v>
      </c>
      <c r="F64" s="412" t="s">
        <v>2812</v>
      </c>
      <c r="G64" s="412" t="s">
        <v>2864</v>
      </c>
      <c r="H64" s="441">
        <v>45503</v>
      </c>
      <c r="I64" s="412" t="s">
        <v>2877</v>
      </c>
      <c r="J64" s="413" t="s">
        <v>1725</v>
      </c>
      <c r="K64" s="414"/>
      <c r="L64" s="413"/>
      <c r="M64" s="413"/>
      <c r="N64" s="415"/>
      <c r="O64" s="412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</row>
    <row r="65" spans="1:36" x14ac:dyDescent="0.3">
      <c r="A65" s="394">
        <v>5</v>
      </c>
      <c r="B65" s="395" t="s">
        <v>2886</v>
      </c>
      <c r="C65" s="411" t="s">
        <v>2887</v>
      </c>
      <c r="D65" s="412" t="s">
        <v>1723</v>
      </c>
      <c r="E65" s="412">
        <v>1</v>
      </c>
      <c r="F65" s="412" t="s">
        <v>2812</v>
      </c>
      <c r="G65" s="412" t="s">
        <v>2864</v>
      </c>
      <c r="H65" s="441">
        <v>45503</v>
      </c>
      <c r="I65" s="412" t="s">
        <v>2877</v>
      </c>
      <c r="J65" s="413" t="s">
        <v>1725</v>
      </c>
      <c r="K65" s="414"/>
      <c r="L65" s="413"/>
      <c r="M65" s="413"/>
      <c r="N65" s="415"/>
      <c r="O65" s="412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  <c r="AH65" s="124"/>
      <c r="AI65" s="124"/>
      <c r="AJ65" s="124"/>
    </row>
    <row r="66" spans="1:36" x14ac:dyDescent="0.3">
      <c r="A66" s="394">
        <v>5</v>
      </c>
      <c r="B66" s="395" t="s">
        <v>2898</v>
      </c>
      <c r="C66" s="411" t="s">
        <v>2763</v>
      </c>
      <c r="D66" s="412"/>
      <c r="E66" s="412">
        <v>1</v>
      </c>
      <c r="F66" s="412" t="s">
        <v>2812</v>
      </c>
      <c r="G66" s="412" t="s">
        <v>2884</v>
      </c>
      <c r="H66" s="441">
        <v>45503</v>
      </c>
      <c r="I66" s="412" t="s">
        <v>2877</v>
      </c>
      <c r="J66" s="413" t="s">
        <v>1725</v>
      </c>
      <c r="K66" s="414"/>
      <c r="L66" s="413"/>
      <c r="M66" s="413"/>
      <c r="N66" s="415"/>
      <c r="O66" s="412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  <c r="AH66" s="124"/>
      <c r="AI66" s="124"/>
      <c r="AJ66" s="124"/>
    </row>
    <row r="67" spans="1:36" x14ac:dyDescent="0.3">
      <c r="A67" s="394">
        <v>5</v>
      </c>
      <c r="B67" s="395" t="s">
        <v>2899</v>
      </c>
      <c r="C67" s="411" t="s">
        <v>2763</v>
      </c>
      <c r="D67" s="412"/>
      <c r="E67" s="412">
        <v>1</v>
      </c>
      <c r="F67" s="412" t="s">
        <v>2812</v>
      </c>
      <c r="G67" s="412" t="s">
        <v>2884</v>
      </c>
      <c r="H67" s="441">
        <v>45503</v>
      </c>
      <c r="I67" s="412" t="s">
        <v>2900</v>
      </c>
      <c r="J67" s="413" t="s">
        <v>1725</v>
      </c>
      <c r="K67" s="414"/>
      <c r="L67" s="413"/>
      <c r="M67" s="413"/>
      <c r="N67" s="415"/>
      <c r="O67" s="412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  <c r="AG67" s="124"/>
      <c r="AH67" s="124"/>
      <c r="AI67" s="124"/>
      <c r="AJ67" s="124"/>
    </row>
    <row r="68" spans="1:36" x14ac:dyDescent="0.3">
      <c r="A68" s="394">
        <v>63</v>
      </c>
      <c r="B68" s="395" t="s">
        <v>2774</v>
      </c>
      <c r="C68" s="411" t="s">
        <v>2821</v>
      </c>
      <c r="D68" s="412" t="s">
        <v>2818</v>
      </c>
      <c r="E68" s="412">
        <v>1</v>
      </c>
      <c r="F68" s="412" t="s">
        <v>2812</v>
      </c>
      <c r="G68" s="412" t="s">
        <v>2819</v>
      </c>
      <c r="H68" s="412"/>
      <c r="I68" s="412"/>
      <c r="J68" s="416" t="s">
        <v>1725</v>
      </c>
      <c r="K68" s="414"/>
      <c r="L68" s="418"/>
      <c r="M68" s="418"/>
      <c r="N68" s="415"/>
      <c r="O68" s="412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  <c r="AF68" s="124"/>
      <c r="AG68" s="124"/>
      <c r="AH68" s="124"/>
      <c r="AI68" s="124"/>
      <c r="AJ68" s="124"/>
    </row>
    <row r="69" spans="1:36" x14ac:dyDescent="0.3">
      <c r="A69" s="394">
        <v>64</v>
      </c>
      <c r="B69" s="395" t="s">
        <v>2849</v>
      </c>
      <c r="C69" s="411" t="s">
        <v>2850</v>
      </c>
      <c r="D69" s="412" t="s">
        <v>2851</v>
      </c>
      <c r="E69" s="412">
        <v>1</v>
      </c>
      <c r="F69" s="412" t="s">
        <v>2796</v>
      </c>
      <c r="G69" s="412" t="s">
        <v>2848</v>
      </c>
      <c r="H69" s="412"/>
      <c r="I69" s="412"/>
      <c r="J69" s="416" t="s">
        <v>1725</v>
      </c>
      <c r="K69" s="414"/>
      <c r="L69" s="418"/>
      <c r="M69" s="418"/>
      <c r="N69" s="415"/>
      <c r="O69" s="412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4"/>
    </row>
    <row r="70" spans="1:36" x14ac:dyDescent="0.3">
      <c r="A70" s="394">
        <v>84</v>
      </c>
      <c r="B70" s="395" t="s">
        <v>2827</v>
      </c>
      <c r="C70" s="411" t="s">
        <v>2894</v>
      </c>
      <c r="D70" s="412"/>
      <c r="E70" s="412">
        <v>1</v>
      </c>
      <c r="F70" s="412" t="s">
        <v>2812</v>
      </c>
      <c r="G70" s="412" t="s">
        <v>2840</v>
      </c>
      <c r="H70" s="412"/>
      <c r="I70" s="412" t="s">
        <v>2797</v>
      </c>
      <c r="J70" s="413" t="s">
        <v>1725</v>
      </c>
      <c r="K70" s="414"/>
      <c r="L70" s="411"/>
      <c r="M70" s="411"/>
      <c r="N70" s="421"/>
      <c r="O70" s="412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</row>
    <row r="71" spans="1:36" x14ac:dyDescent="0.3">
      <c r="A71" s="394">
        <v>84</v>
      </c>
      <c r="B71" s="395" t="s">
        <v>2863</v>
      </c>
      <c r="C71" s="411" t="s">
        <v>2861</v>
      </c>
      <c r="D71" s="412"/>
      <c r="E71" s="412">
        <v>1</v>
      </c>
      <c r="F71" s="412" t="s">
        <v>2812</v>
      </c>
      <c r="G71" s="412" t="s">
        <v>2905</v>
      </c>
      <c r="H71" s="412"/>
      <c r="I71" s="412" t="s">
        <v>2797</v>
      </c>
      <c r="J71" s="413" t="s">
        <v>1725</v>
      </c>
      <c r="K71" s="414"/>
      <c r="L71" s="411"/>
      <c r="M71" s="411"/>
      <c r="N71" s="421"/>
      <c r="O71" s="412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  <c r="AG71" s="124"/>
      <c r="AH71" s="124"/>
      <c r="AI71" s="124"/>
      <c r="AJ71" s="124"/>
    </row>
    <row r="72" spans="1:36" x14ac:dyDescent="0.3">
      <c r="A72" s="394">
        <v>84</v>
      </c>
      <c r="B72" s="395" t="s">
        <v>2865</v>
      </c>
      <c r="C72" s="411" t="s">
        <v>2861</v>
      </c>
      <c r="D72" s="412"/>
      <c r="E72" s="412">
        <v>1</v>
      </c>
      <c r="F72" s="412" t="s">
        <v>2812</v>
      </c>
      <c r="G72" s="412" t="s">
        <v>2866</v>
      </c>
      <c r="H72" s="412"/>
      <c r="I72" s="412" t="s">
        <v>2797</v>
      </c>
      <c r="J72" s="413" t="s">
        <v>1725</v>
      </c>
      <c r="K72" s="414"/>
      <c r="L72" s="411"/>
      <c r="M72" s="411"/>
      <c r="N72" s="421"/>
      <c r="O72" s="412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  <c r="AI72" s="124"/>
      <c r="AJ72" s="124"/>
    </row>
    <row r="73" spans="1:36" x14ac:dyDescent="0.3">
      <c r="A73" s="394">
        <v>84</v>
      </c>
      <c r="B73" s="395" t="s">
        <v>2869</v>
      </c>
      <c r="C73" s="411" t="s">
        <v>2870</v>
      </c>
      <c r="D73" s="412"/>
      <c r="E73" s="412">
        <v>1</v>
      </c>
      <c r="F73" s="412" t="s">
        <v>2812</v>
      </c>
      <c r="G73" s="412" t="s">
        <v>2864</v>
      </c>
      <c r="H73" s="412"/>
      <c r="I73" s="412" t="s">
        <v>2797</v>
      </c>
      <c r="J73" s="413" t="s">
        <v>1725</v>
      </c>
      <c r="K73" s="414"/>
      <c r="L73" s="411"/>
      <c r="M73" s="411"/>
      <c r="N73" s="421"/>
      <c r="O73" s="412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  <c r="AH73" s="124"/>
      <c r="AI73" s="124"/>
      <c r="AJ73" s="124"/>
    </row>
    <row r="74" spans="1:36" x14ac:dyDescent="0.3">
      <c r="A74" s="394">
        <v>97</v>
      </c>
      <c r="B74" s="395" t="s">
        <v>2858</v>
      </c>
      <c r="C74" s="411" t="s">
        <v>2859</v>
      </c>
      <c r="D74" s="412"/>
      <c r="E74" s="412">
        <v>1</v>
      </c>
      <c r="F74" s="412" t="s">
        <v>1577</v>
      </c>
      <c r="G74" s="412" t="s">
        <v>1577</v>
      </c>
      <c r="H74" s="412"/>
      <c r="I74" s="412"/>
      <c r="J74" s="413" t="s">
        <v>1725</v>
      </c>
      <c r="K74" s="414"/>
      <c r="L74" s="413"/>
      <c r="M74" s="413" t="s">
        <v>2808</v>
      </c>
      <c r="N74" s="421"/>
      <c r="O74" s="412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  <c r="AH74" s="124"/>
      <c r="AI74" s="124"/>
      <c r="AJ74" s="124"/>
    </row>
    <row r="75" spans="1:36" x14ac:dyDescent="0.3">
      <c r="A75" s="394"/>
      <c r="B75" s="395" t="s">
        <v>2771</v>
      </c>
      <c r="C75" s="411" t="s">
        <v>1762</v>
      </c>
      <c r="D75" s="412" t="s">
        <v>1715</v>
      </c>
      <c r="E75" s="412">
        <v>1</v>
      </c>
      <c r="F75" s="412" t="s">
        <v>2812</v>
      </c>
      <c r="G75" s="412" t="s">
        <v>2911</v>
      </c>
      <c r="H75" s="412"/>
      <c r="I75" s="412" t="s">
        <v>751</v>
      </c>
      <c r="J75" s="413" t="s">
        <v>1725</v>
      </c>
      <c r="K75" s="414"/>
      <c r="L75" s="419"/>
      <c r="M75" s="419"/>
      <c r="N75" s="426"/>
      <c r="O75" s="427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  <c r="AG75" s="124"/>
      <c r="AH75" s="124"/>
      <c r="AI75" s="124"/>
      <c r="AJ75" s="124"/>
    </row>
    <row r="76" spans="1:36" x14ac:dyDescent="0.3">
      <c r="A76" s="394"/>
      <c r="B76" s="395" t="s">
        <v>2852</v>
      </c>
      <c r="C76" s="411" t="s">
        <v>2912</v>
      </c>
      <c r="D76" s="412"/>
      <c r="E76" s="412">
        <v>1</v>
      </c>
      <c r="F76" s="412" t="s">
        <v>2812</v>
      </c>
      <c r="G76" s="412" t="s">
        <v>2855</v>
      </c>
      <c r="H76" s="412"/>
      <c r="I76" s="412"/>
      <c r="J76" s="413" t="s">
        <v>1725</v>
      </c>
      <c r="K76" s="414"/>
      <c r="L76" s="419"/>
      <c r="M76" s="419"/>
      <c r="N76" s="426"/>
      <c r="O76" s="427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  <c r="AH76" s="124"/>
      <c r="AI76" s="124"/>
      <c r="AJ76" s="124"/>
    </row>
    <row r="77" spans="1:36" x14ac:dyDescent="0.3">
      <c r="A77" s="394"/>
      <c r="B77" s="395" t="s">
        <v>2892</v>
      </c>
      <c r="C77" s="411" t="s">
        <v>2893</v>
      </c>
      <c r="D77" s="412" t="s">
        <v>2846</v>
      </c>
      <c r="E77" s="412">
        <v>1</v>
      </c>
      <c r="F77" s="412" t="s">
        <v>2812</v>
      </c>
      <c r="G77" s="412" t="s">
        <v>2864</v>
      </c>
      <c r="H77" s="412"/>
      <c r="I77" s="412"/>
      <c r="J77" s="413" t="s">
        <v>1725</v>
      </c>
      <c r="K77" s="414"/>
      <c r="L77" s="419"/>
      <c r="M77" s="419"/>
      <c r="N77" s="426"/>
      <c r="O77" s="427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</row>
    <row r="78" spans="1:36" x14ac:dyDescent="0.3">
      <c r="A78" s="394"/>
      <c r="B78" s="395" t="s">
        <v>2913</v>
      </c>
      <c r="C78" s="411" t="s">
        <v>2914</v>
      </c>
      <c r="D78" s="412" t="s">
        <v>2846</v>
      </c>
      <c r="E78" s="412">
        <v>1</v>
      </c>
      <c r="F78" s="412" t="s">
        <v>2812</v>
      </c>
      <c r="G78" s="412"/>
      <c r="H78" s="412"/>
      <c r="I78" s="412"/>
      <c r="J78" s="413" t="s">
        <v>1725</v>
      </c>
      <c r="K78" s="414"/>
      <c r="L78" s="419"/>
      <c r="M78" s="419"/>
      <c r="N78" s="426"/>
      <c r="O78" s="427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  <c r="AH78" s="124"/>
      <c r="AI78" s="124"/>
      <c r="AJ78" s="124"/>
    </row>
    <row r="79" spans="1:36" x14ac:dyDescent="0.3">
      <c r="A79" s="394"/>
      <c r="B79" s="395" t="s">
        <v>2777</v>
      </c>
      <c r="C79" s="411" t="s">
        <v>2736</v>
      </c>
      <c r="D79" s="412"/>
      <c r="E79" s="412"/>
      <c r="F79" s="412"/>
      <c r="G79" s="412"/>
      <c r="H79" s="412"/>
      <c r="I79" s="412"/>
      <c r="J79" s="413" t="s">
        <v>1725</v>
      </c>
      <c r="K79" s="414"/>
      <c r="L79" s="412"/>
      <c r="M79" s="412"/>
      <c r="N79" s="426"/>
      <c r="O79" s="427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  <c r="AH79" s="124"/>
      <c r="AI79" s="124"/>
      <c r="AJ79" s="124"/>
    </row>
    <row r="80" spans="1:36" ht="15" customHeight="1" x14ac:dyDescent="0.3">
      <c r="A80" s="394"/>
      <c r="B80" s="395" t="s">
        <v>2856</v>
      </c>
      <c r="C80" s="440" t="s">
        <v>2857</v>
      </c>
      <c r="D80" s="412"/>
      <c r="E80" s="412">
        <v>1</v>
      </c>
      <c r="F80" s="412" t="s">
        <v>2812</v>
      </c>
      <c r="G80" s="412" t="s">
        <v>2905</v>
      </c>
      <c r="H80" s="412"/>
      <c r="I80" s="412" t="s">
        <v>2797</v>
      </c>
      <c r="J80" s="413" t="s">
        <v>1725</v>
      </c>
      <c r="K80" s="422"/>
      <c r="L80" s="423"/>
      <c r="M80" s="423" t="s">
        <v>2797</v>
      </c>
      <c r="N80" s="424"/>
      <c r="O80" s="425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  <c r="AH80" s="124"/>
      <c r="AI80" s="124"/>
      <c r="AJ80" s="124"/>
    </row>
    <row r="81" spans="1:36" x14ac:dyDescent="0.3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4"/>
      <c r="AJ81" s="124"/>
    </row>
    <row r="82" spans="1:36" x14ac:dyDescent="0.3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</row>
    <row r="83" spans="1:36" x14ac:dyDescent="0.3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</row>
    <row r="84" spans="1:36" x14ac:dyDescent="0.3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4"/>
      <c r="AG84" s="124"/>
      <c r="AH84" s="124"/>
      <c r="AI84" s="124"/>
      <c r="AJ84" s="124"/>
    </row>
    <row r="85" spans="1:36" x14ac:dyDescent="0.3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4"/>
      <c r="AH85" s="124"/>
      <c r="AI85" s="124"/>
      <c r="AJ85" s="124"/>
    </row>
    <row r="86" spans="1:36" x14ac:dyDescent="0.3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124"/>
      <c r="AG86" s="124"/>
      <c r="AH86" s="124"/>
      <c r="AI86" s="124"/>
      <c r="AJ86" s="124"/>
    </row>
    <row r="87" spans="1:36" x14ac:dyDescent="0.3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</row>
    <row r="88" spans="1:36" x14ac:dyDescent="0.3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</row>
    <row r="89" spans="1:36" x14ac:dyDescent="0.3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/>
      <c r="AJ89" s="124"/>
    </row>
    <row r="90" spans="1:36" x14ac:dyDescent="0.3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</row>
    <row r="91" spans="1:36" x14ac:dyDescent="0.3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</row>
    <row r="92" spans="1:36" x14ac:dyDescent="0.3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</row>
    <row r="93" spans="1:36" x14ac:dyDescent="0.3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</row>
    <row r="94" spans="1:36" x14ac:dyDescent="0.3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</row>
    <row r="95" spans="1:36" x14ac:dyDescent="0.3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</row>
    <row r="96" spans="1:36" x14ac:dyDescent="0.3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</row>
    <row r="97" spans="1:36" x14ac:dyDescent="0.3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</row>
    <row r="98" spans="1:36" x14ac:dyDescent="0.3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C98" s="124"/>
      <c r="AD98" s="124"/>
      <c r="AE98" s="124"/>
      <c r="AF98" s="124"/>
      <c r="AG98" s="124"/>
      <c r="AH98" s="124"/>
      <c r="AI98" s="124"/>
      <c r="AJ98" s="124"/>
    </row>
    <row r="99" spans="1:36" x14ac:dyDescent="0.3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  <c r="AH99" s="124"/>
      <c r="AI99" s="124"/>
      <c r="AJ99" s="124"/>
    </row>
    <row r="100" spans="1:36" x14ac:dyDescent="0.3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</row>
    <row r="101" spans="1:36" x14ac:dyDescent="0.3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</row>
    <row r="102" spans="1:36" x14ac:dyDescent="0.3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</row>
    <row r="103" spans="1:36" x14ac:dyDescent="0.3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</row>
    <row r="104" spans="1:36" x14ac:dyDescent="0.3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</row>
    <row r="105" spans="1:36" x14ac:dyDescent="0.3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</row>
    <row r="106" spans="1:36" x14ac:dyDescent="0.3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</row>
    <row r="107" spans="1:36" x14ac:dyDescent="0.3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4"/>
    </row>
    <row r="108" spans="1:36" x14ac:dyDescent="0.3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  <c r="AI108" s="124"/>
      <c r="AJ108" s="124"/>
    </row>
    <row r="109" spans="1:36" x14ac:dyDescent="0.3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  <c r="AH109" s="124"/>
      <c r="AI109" s="124"/>
      <c r="AJ109" s="124"/>
    </row>
    <row r="110" spans="1:36" x14ac:dyDescent="0.3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4"/>
      <c r="AH110" s="124"/>
      <c r="AI110" s="124"/>
      <c r="AJ110" s="124"/>
    </row>
    <row r="111" spans="1:36" x14ac:dyDescent="0.3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4"/>
      <c r="AH111" s="124"/>
      <c r="AI111" s="124"/>
      <c r="AJ111" s="124"/>
    </row>
    <row r="112" spans="1:36" x14ac:dyDescent="0.3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4"/>
      <c r="AH112" s="124"/>
      <c r="AI112" s="124"/>
      <c r="AJ112" s="124"/>
    </row>
    <row r="113" spans="1:36" x14ac:dyDescent="0.3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  <c r="AH113" s="124"/>
      <c r="AI113" s="124"/>
      <c r="AJ113" s="124"/>
    </row>
    <row r="114" spans="1:36" x14ac:dyDescent="0.3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  <c r="AI114" s="124"/>
      <c r="AJ114" s="124"/>
    </row>
    <row r="115" spans="1:36" x14ac:dyDescent="0.3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4"/>
      <c r="AH115" s="124"/>
      <c r="AI115" s="124"/>
      <c r="AJ115" s="124"/>
    </row>
    <row r="116" spans="1:36" x14ac:dyDescent="0.3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  <c r="AH116" s="124"/>
      <c r="AI116" s="124"/>
      <c r="AJ116" s="124"/>
    </row>
    <row r="117" spans="1:36" x14ac:dyDescent="0.3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  <c r="AG117" s="124"/>
      <c r="AH117" s="124"/>
      <c r="AI117" s="124"/>
      <c r="AJ117" s="124"/>
    </row>
    <row r="118" spans="1:36" x14ac:dyDescent="0.3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  <c r="AH118" s="124"/>
      <c r="AI118" s="124"/>
      <c r="AJ118" s="124"/>
    </row>
    <row r="119" spans="1:36" x14ac:dyDescent="0.3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  <c r="AH119" s="124"/>
      <c r="AI119" s="124"/>
      <c r="AJ119" s="124"/>
    </row>
    <row r="120" spans="1:36" x14ac:dyDescent="0.3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124"/>
      <c r="AI120" s="124"/>
      <c r="AJ120" s="124"/>
    </row>
    <row r="121" spans="1:36" x14ac:dyDescent="0.3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  <c r="AH121" s="124"/>
      <c r="AI121" s="124"/>
      <c r="AJ121" s="124"/>
    </row>
    <row r="122" spans="1:36" x14ac:dyDescent="0.3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124"/>
      <c r="AI122" s="124"/>
      <c r="AJ122" s="124"/>
    </row>
    <row r="123" spans="1:36" x14ac:dyDescent="0.3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  <c r="AE123" s="124"/>
      <c r="AF123" s="124"/>
      <c r="AG123" s="124"/>
      <c r="AH123" s="124"/>
      <c r="AI123" s="124"/>
      <c r="AJ123" s="124"/>
    </row>
    <row r="124" spans="1:36" x14ac:dyDescent="0.3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  <c r="AH124" s="124"/>
      <c r="AI124" s="124"/>
      <c r="AJ124" s="124"/>
    </row>
    <row r="125" spans="1:36" x14ac:dyDescent="0.3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  <c r="AG125" s="124"/>
      <c r="AH125" s="124"/>
      <c r="AI125" s="124"/>
      <c r="AJ125" s="124"/>
    </row>
    <row r="126" spans="1:36" x14ac:dyDescent="0.3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  <c r="AG126" s="124"/>
      <c r="AH126" s="124"/>
      <c r="AI126" s="124"/>
      <c r="AJ126" s="124"/>
    </row>
    <row r="127" spans="1:36" x14ac:dyDescent="0.3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  <c r="AF127" s="124"/>
      <c r="AG127" s="124"/>
      <c r="AH127" s="124"/>
      <c r="AI127" s="124"/>
      <c r="AJ127" s="124"/>
    </row>
    <row r="128" spans="1:36" x14ac:dyDescent="0.3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  <c r="AF128" s="124"/>
      <c r="AG128" s="124"/>
      <c r="AH128" s="124"/>
      <c r="AI128" s="124"/>
      <c r="AJ128" s="124"/>
    </row>
    <row r="129" spans="1:36" x14ac:dyDescent="0.3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  <c r="AE129" s="124"/>
      <c r="AF129" s="124"/>
      <c r="AG129" s="124"/>
      <c r="AH129" s="124"/>
      <c r="AI129" s="124"/>
      <c r="AJ129" s="124"/>
    </row>
    <row r="130" spans="1:36" x14ac:dyDescent="0.3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4"/>
      <c r="AH130" s="124"/>
      <c r="AI130" s="124"/>
      <c r="AJ130" s="124"/>
    </row>
    <row r="131" spans="1:36" x14ac:dyDescent="0.3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  <c r="AF131" s="124"/>
      <c r="AG131" s="124"/>
      <c r="AH131" s="124"/>
      <c r="AI131" s="124"/>
      <c r="AJ131" s="124"/>
    </row>
    <row r="132" spans="1:36" x14ac:dyDescent="0.3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4"/>
      <c r="AH132" s="124"/>
      <c r="AI132" s="124"/>
      <c r="AJ132" s="124"/>
    </row>
    <row r="133" spans="1:36" x14ac:dyDescent="0.3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  <c r="AH133" s="124"/>
      <c r="AI133" s="124"/>
      <c r="AJ133" s="124"/>
    </row>
    <row r="134" spans="1:36" x14ac:dyDescent="0.3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  <c r="AI134" s="124"/>
      <c r="AJ134" s="124"/>
    </row>
    <row r="135" spans="1:36" x14ac:dyDescent="0.3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  <c r="AE135" s="124"/>
      <c r="AF135" s="124"/>
      <c r="AG135" s="124"/>
      <c r="AH135" s="124"/>
      <c r="AI135" s="124"/>
      <c r="AJ135" s="124"/>
    </row>
    <row r="136" spans="1:36" x14ac:dyDescent="0.3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  <c r="AG136" s="124"/>
      <c r="AH136" s="124"/>
      <c r="AI136" s="124"/>
      <c r="AJ136" s="124"/>
    </row>
    <row r="137" spans="1:36" x14ac:dyDescent="0.3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  <c r="AF137" s="124"/>
      <c r="AG137" s="124"/>
      <c r="AH137" s="124"/>
      <c r="AI137" s="124"/>
      <c r="AJ137" s="124"/>
    </row>
    <row r="138" spans="1:36" x14ac:dyDescent="0.3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  <c r="AG138" s="124"/>
      <c r="AH138" s="124"/>
      <c r="AI138" s="124"/>
      <c r="AJ138" s="124"/>
    </row>
    <row r="139" spans="1:36" x14ac:dyDescent="0.3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  <c r="AI139" s="124"/>
      <c r="AJ139" s="124"/>
    </row>
    <row r="140" spans="1:36" x14ac:dyDescent="0.3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  <c r="AF140" s="124"/>
      <c r="AG140" s="124"/>
      <c r="AH140" s="124"/>
      <c r="AI140" s="124"/>
      <c r="AJ140" s="124"/>
    </row>
    <row r="141" spans="1:36" x14ac:dyDescent="0.3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124"/>
      <c r="AG141" s="124"/>
      <c r="AH141" s="124"/>
      <c r="AI141" s="124"/>
      <c r="AJ141" s="124"/>
    </row>
    <row r="142" spans="1:36" x14ac:dyDescent="0.3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  <c r="AG142" s="124"/>
      <c r="AH142" s="124"/>
      <c r="AI142" s="124"/>
      <c r="AJ142" s="124"/>
    </row>
    <row r="143" spans="1:36" x14ac:dyDescent="0.3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  <c r="AE143" s="124"/>
      <c r="AF143" s="124"/>
      <c r="AG143" s="124"/>
      <c r="AH143" s="124"/>
      <c r="AI143" s="124"/>
      <c r="AJ143" s="124"/>
    </row>
    <row r="144" spans="1:36" x14ac:dyDescent="0.3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</row>
    <row r="145" spans="1:36" x14ac:dyDescent="0.3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  <c r="AF145" s="124"/>
      <c r="AG145" s="124"/>
      <c r="AH145" s="124"/>
      <c r="AI145" s="124"/>
      <c r="AJ145" s="124"/>
    </row>
    <row r="146" spans="1:36" x14ac:dyDescent="0.3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  <c r="AF146" s="124"/>
      <c r="AG146" s="124"/>
      <c r="AH146" s="124"/>
      <c r="AI146" s="124"/>
      <c r="AJ146" s="124"/>
    </row>
    <row r="147" spans="1:36" x14ac:dyDescent="0.3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4"/>
      <c r="AH147" s="124"/>
      <c r="AI147" s="124"/>
      <c r="AJ147" s="124"/>
    </row>
    <row r="148" spans="1:36" x14ac:dyDescent="0.3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  <c r="AG148" s="124"/>
      <c r="AH148" s="124"/>
      <c r="AI148" s="124"/>
      <c r="AJ148" s="124"/>
    </row>
    <row r="149" spans="1:36" x14ac:dyDescent="0.3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  <c r="AE149" s="124"/>
      <c r="AF149" s="124"/>
      <c r="AG149" s="124"/>
      <c r="AH149" s="124"/>
      <c r="AI149" s="124"/>
      <c r="AJ149" s="124"/>
    </row>
    <row r="150" spans="1:36" x14ac:dyDescent="0.3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4"/>
      <c r="AH150" s="124"/>
      <c r="AI150" s="124"/>
      <c r="AJ150" s="124"/>
    </row>
    <row r="151" spans="1:36" x14ac:dyDescent="0.3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  <c r="AF151" s="124"/>
      <c r="AG151" s="124"/>
      <c r="AH151" s="124"/>
      <c r="AI151" s="124"/>
      <c r="AJ151" s="124"/>
    </row>
    <row r="152" spans="1:36" x14ac:dyDescent="0.3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  <c r="AI152" s="124"/>
      <c r="AJ152" s="124"/>
    </row>
    <row r="153" spans="1:36" x14ac:dyDescent="0.3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4"/>
      <c r="AG153" s="124"/>
      <c r="AH153" s="124"/>
      <c r="AI153" s="124"/>
      <c r="AJ153" s="124"/>
    </row>
    <row r="154" spans="1:36" x14ac:dyDescent="0.3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  <c r="AG154" s="124"/>
      <c r="AH154" s="124"/>
      <c r="AI154" s="124"/>
      <c r="AJ154" s="124"/>
    </row>
    <row r="155" spans="1:36" x14ac:dyDescent="0.3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4"/>
      <c r="AH155" s="124"/>
      <c r="AI155" s="124"/>
      <c r="AJ155" s="124"/>
    </row>
    <row r="156" spans="1:36" x14ac:dyDescent="0.3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  <c r="AF156" s="124"/>
      <c r="AG156" s="124"/>
      <c r="AH156" s="124"/>
      <c r="AI156" s="124"/>
      <c r="AJ156" s="124"/>
    </row>
    <row r="157" spans="1:36" x14ac:dyDescent="0.3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  <c r="AF157" s="124"/>
      <c r="AG157" s="124"/>
      <c r="AH157" s="124"/>
      <c r="AI157" s="124"/>
      <c r="AJ157" s="124"/>
    </row>
    <row r="158" spans="1:36" x14ac:dyDescent="0.3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  <c r="AG158" s="124"/>
      <c r="AH158" s="124"/>
      <c r="AI158" s="124"/>
      <c r="AJ158" s="124"/>
    </row>
    <row r="159" spans="1:36" x14ac:dyDescent="0.3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  <c r="AE159" s="124"/>
      <c r="AF159" s="124"/>
      <c r="AG159" s="124"/>
      <c r="AH159" s="124"/>
      <c r="AI159" s="124"/>
      <c r="AJ159" s="124"/>
    </row>
    <row r="160" spans="1:36" x14ac:dyDescent="0.3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124"/>
    </row>
    <row r="161" spans="1:36" x14ac:dyDescent="0.3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  <c r="AG161" s="124"/>
      <c r="AH161" s="124"/>
      <c r="AI161" s="124"/>
      <c r="AJ161" s="124"/>
    </row>
    <row r="162" spans="1:36" x14ac:dyDescent="0.3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  <c r="AG162" s="124"/>
      <c r="AH162" s="124"/>
      <c r="AI162" s="124"/>
      <c r="AJ162" s="124"/>
    </row>
    <row r="163" spans="1:36" x14ac:dyDescent="0.3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AE163" s="124"/>
      <c r="AF163" s="124"/>
      <c r="AG163" s="124"/>
      <c r="AH163" s="124"/>
      <c r="AI163" s="124"/>
      <c r="AJ163" s="124"/>
    </row>
    <row r="164" spans="1:36" x14ac:dyDescent="0.3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  <c r="AF164" s="124"/>
      <c r="AG164" s="124"/>
      <c r="AH164" s="124"/>
      <c r="AI164" s="124"/>
      <c r="AJ164" s="124"/>
    </row>
    <row r="165" spans="1:36" x14ac:dyDescent="0.3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  <c r="AG165" s="124"/>
      <c r="AH165" s="124"/>
      <c r="AI165" s="124"/>
      <c r="AJ165" s="124"/>
    </row>
    <row r="166" spans="1:36" x14ac:dyDescent="0.3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  <c r="AF166" s="124"/>
      <c r="AG166" s="124"/>
      <c r="AH166" s="124"/>
      <c r="AI166" s="124"/>
      <c r="AJ166" s="124"/>
    </row>
    <row r="167" spans="1:36" x14ac:dyDescent="0.3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  <c r="AF167" s="124"/>
      <c r="AG167" s="124"/>
      <c r="AH167" s="124"/>
      <c r="AI167" s="124"/>
      <c r="AJ167" s="124"/>
    </row>
    <row r="168" spans="1:36" x14ac:dyDescent="0.3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  <c r="AI168" s="124"/>
      <c r="AJ168" s="124"/>
    </row>
    <row r="169" spans="1:36" x14ac:dyDescent="0.3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</row>
    <row r="170" spans="1:36" x14ac:dyDescent="0.3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  <c r="AF170" s="124"/>
      <c r="AG170" s="124"/>
      <c r="AH170" s="124"/>
      <c r="AI170" s="124"/>
      <c r="AJ170" s="124"/>
    </row>
    <row r="171" spans="1:36" x14ac:dyDescent="0.3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  <c r="AF171" s="124"/>
      <c r="AG171" s="124"/>
      <c r="AH171" s="124"/>
      <c r="AI171" s="124"/>
      <c r="AJ171" s="124"/>
    </row>
    <row r="172" spans="1:36" x14ac:dyDescent="0.3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  <c r="AG172" s="124"/>
      <c r="AH172" s="124"/>
      <c r="AI172" s="124"/>
      <c r="AJ172" s="124"/>
    </row>
    <row r="173" spans="1:36" x14ac:dyDescent="0.3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  <c r="AF173" s="124"/>
      <c r="AG173" s="124"/>
      <c r="AH173" s="124"/>
      <c r="AI173" s="124"/>
      <c r="AJ173" s="124"/>
    </row>
    <row r="174" spans="1:36" x14ac:dyDescent="0.3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  <c r="AD174" s="124"/>
      <c r="AE174" s="124"/>
      <c r="AF174" s="124"/>
      <c r="AG174" s="124"/>
      <c r="AH174" s="124"/>
      <c r="AI174" s="124"/>
      <c r="AJ174" s="124"/>
    </row>
    <row r="175" spans="1:36" x14ac:dyDescent="0.3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4"/>
      <c r="AG175" s="124"/>
      <c r="AH175" s="124"/>
      <c r="AI175" s="124"/>
      <c r="AJ175" s="124"/>
    </row>
    <row r="176" spans="1:36" x14ac:dyDescent="0.3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  <c r="AG176" s="124"/>
      <c r="AH176" s="124"/>
      <c r="AI176" s="124"/>
      <c r="AJ176" s="124"/>
    </row>
    <row r="177" spans="1:36" x14ac:dyDescent="0.3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4"/>
      <c r="AH177" s="124"/>
      <c r="AI177" s="124"/>
      <c r="AJ177" s="124"/>
    </row>
    <row r="178" spans="1:36" x14ac:dyDescent="0.3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4"/>
      <c r="AH178" s="124"/>
      <c r="AI178" s="124"/>
      <c r="AJ178" s="124"/>
    </row>
    <row r="179" spans="1:36" x14ac:dyDescent="0.3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  <c r="AD179" s="124"/>
      <c r="AE179" s="124"/>
      <c r="AF179" s="124"/>
      <c r="AG179" s="124"/>
      <c r="AH179" s="124"/>
      <c r="AI179" s="124"/>
      <c r="AJ179" s="124"/>
    </row>
    <row r="180" spans="1:36" x14ac:dyDescent="0.3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  <c r="AD180" s="124"/>
      <c r="AE180" s="124"/>
      <c r="AF180" s="124"/>
      <c r="AG180" s="124"/>
      <c r="AH180" s="124"/>
      <c r="AI180" s="124"/>
      <c r="AJ180" s="124"/>
    </row>
    <row r="181" spans="1:36" x14ac:dyDescent="0.3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  <c r="AF181" s="124"/>
      <c r="AG181" s="124"/>
      <c r="AH181" s="124"/>
      <c r="AI181" s="124"/>
      <c r="AJ181" s="124"/>
    </row>
    <row r="182" spans="1:36" x14ac:dyDescent="0.3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124"/>
      <c r="AE182" s="124"/>
      <c r="AF182" s="124"/>
      <c r="AG182" s="124"/>
      <c r="AH182" s="124"/>
      <c r="AI182" s="124"/>
      <c r="AJ182" s="124"/>
    </row>
    <row r="183" spans="1:36" x14ac:dyDescent="0.3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  <c r="AD183" s="124"/>
      <c r="AE183" s="124"/>
      <c r="AF183" s="124"/>
      <c r="AG183" s="124"/>
      <c r="AH183" s="124"/>
      <c r="AI183" s="124"/>
      <c r="AJ183" s="124"/>
    </row>
    <row r="184" spans="1:36" x14ac:dyDescent="0.3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/>
      <c r="AH184" s="124"/>
      <c r="AI184" s="124"/>
      <c r="AJ184" s="124"/>
    </row>
    <row r="185" spans="1:36" x14ac:dyDescent="0.3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  <c r="AD185" s="124"/>
      <c r="AE185" s="124"/>
      <c r="AF185" s="124"/>
      <c r="AG185" s="124"/>
      <c r="AH185" s="124"/>
      <c r="AI185" s="124"/>
      <c r="AJ185" s="124"/>
    </row>
    <row r="186" spans="1:36" x14ac:dyDescent="0.3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4"/>
      <c r="AG186" s="124"/>
      <c r="AH186" s="124"/>
      <c r="AI186" s="124"/>
      <c r="AJ186" s="124"/>
    </row>
    <row r="187" spans="1:36" x14ac:dyDescent="0.3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C187" s="124"/>
      <c r="AD187" s="124"/>
      <c r="AE187" s="124"/>
      <c r="AF187" s="124"/>
      <c r="AG187" s="124"/>
      <c r="AH187" s="124"/>
      <c r="AI187" s="124"/>
      <c r="AJ187" s="124"/>
    </row>
    <row r="188" spans="1:36" x14ac:dyDescent="0.3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  <c r="AF188" s="124"/>
      <c r="AG188" s="124"/>
      <c r="AH188" s="124"/>
      <c r="AI188" s="124"/>
      <c r="AJ188" s="124"/>
    </row>
    <row r="189" spans="1:36" x14ac:dyDescent="0.3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  <c r="AC189" s="124"/>
      <c r="AD189" s="124"/>
      <c r="AE189" s="124"/>
      <c r="AF189" s="124"/>
      <c r="AG189" s="124"/>
      <c r="AH189" s="124"/>
      <c r="AI189" s="124"/>
      <c r="AJ189" s="124"/>
    </row>
    <row r="190" spans="1:36" x14ac:dyDescent="0.3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  <c r="AD190" s="124"/>
      <c r="AE190" s="124"/>
      <c r="AF190" s="124"/>
      <c r="AG190" s="124"/>
      <c r="AH190" s="124"/>
      <c r="AI190" s="124"/>
      <c r="AJ190" s="124"/>
    </row>
    <row r="191" spans="1:36" x14ac:dyDescent="0.3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  <c r="AD191" s="124"/>
      <c r="AE191" s="124"/>
      <c r="AF191" s="124"/>
      <c r="AG191" s="124"/>
      <c r="AH191" s="124"/>
      <c r="AI191" s="124"/>
      <c r="AJ191" s="124"/>
    </row>
    <row r="192" spans="1:36" x14ac:dyDescent="0.3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  <c r="AC192" s="124"/>
      <c r="AD192" s="124"/>
      <c r="AE192" s="124"/>
      <c r="AF192" s="124"/>
      <c r="AG192" s="124"/>
      <c r="AH192" s="124"/>
      <c r="AI192" s="124"/>
      <c r="AJ192" s="124"/>
    </row>
    <row r="193" spans="1:36" x14ac:dyDescent="0.3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  <c r="AD193" s="124"/>
      <c r="AE193" s="124"/>
      <c r="AF193" s="124"/>
      <c r="AG193" s="124"/>
      <c r="AH193" s="124"/>
      <c r="AI193" s="124"/>
      <c r="AJ193" s="124"/>
    </row>
    <row r="194" spans="1:36" x14ac:dyDescent="0.3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  <c r="AF194" s="124"/>
      <c r="AG194" s="124"/>
      <c r="AH194" s="124"/>
      <c r="AI194" s="124"/>
      <c r="AJ194" s="124"/>
    </row>
    <row r="195" spans="1:36" x14ac:dyDescent="0.3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  <c r="AF195" s="124"/>
      <c r="AG195" s="124"/>
      <c r="AH195" s="124"/>
      <c r="AI195" s="124"/>
      <c r="AJ195" s="124"/>
    </row>
    <row r="196" spans="1:36" x14ac:dyDescent="0.3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  <c r="AF196" s="124"/>
      <c r="AG196" s="124"/>
      <c r="AH196" s="124"/>
      <c r="AI196" s="124"/>
      <c r="AJ196" s="124"/>
    </row>
    <row r="197" spans="1:36" x14ac:dyDescent="0.3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  <c r="AF197" s="124"/>
      <c r="AG197" s="124"/>
      <c r="AH197" s="124"/>
      <c r="AI197" s="124"/>
      <c r="AJ197" s="124"/>
    </row>
    <row r="198" spans="1:36" x14ac:dyDescent="0.3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4"/>
      <c r="AG198" s="124"/>
      <c r="AH198" s="124"/>
      <c r="AI198" s="124"/>
      <c r="AJ198" s="124"/>
    </row>
    <row r="199" spans="1:36" x14ac:dyDescent="0.3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24"/>
      <c r="AG199" s="124"/>
      <c r="AH199" s="124"/>
      <c r="AI199" s="124"/>
      <c r="AJ199" s="124"/>
    </row>
    <row r="200" spans="1:36" x14ac:dyDescent="0.3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  <c r="AE200" s="124"/>
      <c r="AF200" s="124"/>
      <c r="AG200" s="124"/>
      <c r="AH200" s="124"/>
      <c r="AI200" s="124"/>
      <c r="AJ200" s="124"/>
    </row>
    <row r="201" spans="1:36" x14ac:dyDescent="0.3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  <c r="AF201" s="124"/>
      <c r="AG201" s="124"/>
      <c r="AH201" s="124"/>
      <c r="AI201" s="124"/>
      <c r="AJ201" s="124"/>
    </row>
    <row r="202" spans="1:36" x14ac:dyDescent="0.3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  <c r="AD202" s="124"/>
      <c r="AE202" s="124"/>
      <c r="AF202" s="124"/>
      <c r="AG202" s="124"/>
      <c r="AH202" s="124"/>
      <c r="AI202" s="124"/>
      <c r="AJ202" s="124"/>
    </row>
    <row r="203" spans="1:36" x14ac:dyDescent="0.3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  <c r="AF203" s="124"/>
      <c r="AG203" s="124"/>
      <c r="AH203" s="124"/>
      <c r="AI203" s="124"/>
      <c r="AJ203" s="124"/>
    </row>
    <row r="204" spans="1:36" x14ac:dyDescent="0.3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124"/>
      <c r="AF204" s="124"/>
      <c r="AG204" s="124"/>
      <c r="AH204" s="124"/>
      <c r="AI204" s="124"/>
      <c r="AJ204" s="124"/>
    </row>
    <row r="205" spans="1:36" x14ac:dyDescent="0.3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  <c r="AF205" s="124"/>
      <c r="AG205" s="124"/>
      <c r="AH205" s="124"/>
      <c r="AI205" s="124"/>
      <c r="AJ205" s="124"/>
    </row>
    <row r="206" spans="1:36" x14ac:dyDescent="0.3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  <c r="AD206" s="124"/>
      <c r="AE206" s="124"/>
      <c r="AF206" s="124"/>
      <c r="AG206" s="124"/>
      <c r="AH206" s="124"/>
      <c r="AI206" s="124"/>
      <c r="AJ206" s="124"/>
    </row>
    <row r="207" spans="1:36" x14ac:dyDescent="0.3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  <c r="AE207" s="124"/>
      <c r="AF207" s="124"/>
      <c r="AG207" s="124"/>
      <c r="AH207" s="124"/>
      <c r="AI207" s="124"/>
      <c r="AJ207" s="124"/>
    </row>
    <row r="208" spans="1:36" x14ac:dyDescent="0.3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4"/>
      <c r="AG208" s="124"/>
      <c r="AH208" s="124"/>
      <c r="AI208" s="124"/>
      <c r="AJ208" s="124"/>
    </row>
    <row r="209" spans="1:36" x14ac:dyDescent="0.3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  <c r="AE209" s="124"/>
      <c r="AF209" s="124"/>
      <c r="AG209" s="124"/>
      <c r="AH209" s="124"/>
      <c r="AI209" s="124"/>
      <c r="AJ209" s="124"/>
    </row>
    <row r="210" spans="1:36" x14ac:dyDescent="0.3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C210" s="124"/>
      <c r="AD210" s="124"/>
      <c r="AE210" s="124"/>
      <c r="AF210" s="124"/>
      <c r="AG210" s="124"/>
      <c r="AH210" s="124"/>
      <c r="AI210" s="124"/>
      <c r="AJ210" s="124"/>
    </row>
    <row r="211" spans="1:36" x14ac:dyDescent="0.3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  <c r="AE211" s="124"/>
      <c r="AF211" s="124"/>
      <c r="AG211" s="124"/>
      <c r="AH211" s="124"/>
      <c r="AI211" s="124"/>
      <c r="AJ211" s="124"/>
    </row>
    <row r="212" spans="1:36" x14ac:dyDescent="0.3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  <c r="AE212" s="124"/>
      <c r="AF212" s="124"/>
      <c r="AG212" s="124"/>
      <c r="AH212" s="124"/>
      <c r="AI212" s="124"/>
      <c r="AJ212" s="124"/>
    </row>
    <row r="213" spans="1:36" x14ac:dyDescent="0.3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  <c r="AE213" s="124"/>
      <c r="AF213" s="124"/>
      <c r="AG213" s="124"/>
      <c r="AH213" s="124"/>
      <c r="AI213" s="124"/>
      <c r="AJ213" s="124"/>
    </row>
    <row r="214" spans="1:36" x14ac:dyDescent="0.3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  <c r="AD214" s="124"/>
      <c r="AE214" s="124"/>
      <c r="AF214" s="124"/>
      <c r="AG214" s="124"/>
      <c r="AH214" s="124"/>
      <c r="AI214" s="124"/>
      <c r="AJ214" s="124"/>
    </row>
    <row r="215" spans="1:36" x14ac:dyDescent="0.3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  <c r="AE215" s="124"/>
      <c r="AF215" s="124"/>
      <c r="AG215" s="124"/>
      <c r="AH215" s="124"/>
      <c r="AI215" s="124"/>
      <c r="AJ215" s="124"/>
    </row>
    <row r="216" spans="1:36" x14ac:dyDescent="0.3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  <c r="AC216" s="124"/>
      <c r="AD216" s="124"/>
      <c r="AE216" s="124"/>
      <c r="AF216" s="124"/>
      <c r="AG216" s="124"/>
      <c r="AH216" s="124"/>
      <c r="AI216" s="124"/>
      <c r="AJ216" s="124"/>
    </row>
    <row r="217" spans="1:36" x14ac:dyDescent="0.3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  <c r="AD217" s="124"/>
      <c r="AE217" s="124"/>
      <c r="AF217" s="124"/>
      <c r="AG217" s="124"/>
      <c r="AH217" s="124"/>
      <c r="AI217" s="124"/>
      <c r="AJ217" s="124"/>
    </row>
    <row r="218" spans="1:36" x14ac:dyDescent="0.3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  <c r="AD218" s="124"/>
      <c r="AE218" s="124"/>
      <c r="AF218" s="124"/>
      <c r="AG218" s="124"/>
      <c r="AH218" s="124"/>
      <c r="AI218" s="124"/>
      <c r="AJ218" s="124"/>
    </row>
    <row r="219" spans="1:36" x14ac:dyDescent="0.3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24"/>
      <c r="AF219" s="124"/>
      <c r="AG219" s="124"/>
      <c r="AH219" s="124"/>
      <c r="AI219" s="124"/>
      <c r="AJ219" s="124"/>
    </row>
    <row r="220" spans="1:36" x14ac:dyDescent="0.3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  <c r="AD220" s="124"/>
      <c r="AE220" s="124"/>
      <c r="AF220" s="124"/>
      <c r="AG220" s="124"/>
      <c r="AH220" s="124"/>
      <c r="AI220" s="124"/>
      <c r="AJ220" s="124"/>
    </row>
    <row r="221" spans="1:36" x14ac:dyDescent="0.3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C221" s="124"/>
      <c r="AD221" s="124"/>
      <c r="AE221" s="124"/>
      <c r="AF221" s="124"/>
      <c r="AG221" s="124"/>
      <c r="AH221" s="124"/>
      <c r="AI221" s="124"/>
      <c r="AJ221" s="124"/>
    </row>
    <row r="222" spans="1:36" x14ac:dyDescent="0.3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124"/>
      <c r="AF222" s="124"/>
      <c r="AG222" s="124"/>
      <c r="AH222" s="124"/>
      <c r="AI222" s="124"/>
      <c r="AJ222" s="124"/>
    </row>
    <row r="223" spans="1:36" x14ac:dyDescent="0.3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AE223" s="124"/>
      <c r="AF223" s="124"/>
      <c r="AG223" s="124"/>
      <c r="AH223" s="124"/>
      <c r="AI223" s="124"/>
      <c r="AJ223" s="124"/>
    </row>
    <row r="224" spans="1:36" x14ac:dyDescent="0.3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  <c r="AE224" s="124"/>
      <c r="AF224" s="124"/>
      <c r="AG224" s="124"/>
      <c r="AH224" s="124"/>
      <c r="AI224" s="124"/>
      <c r="AJ224" s="124"/>
    </row>
    <row r="225" spans="1:36" x14ac:dyDescent="0.3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124"/>
      <c r="AF225" s="124"/>
      <c r="AG225" s="124"/>
      <c r="AH225" s="124"/>
      <c r="AI225" s="124"/>
      <c r="AJ225" s="124"/>
    </row>
    <row r="226" spans="1:36" x14ac:dyDescent="0.3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  <c r="AE226" s="124"/>
      <c r="AF226" s="124"/>
      <c r="AG226" s="124"/>
      <c r="AH226" s="124"/>
      <c r="AI226" s="124"/>
      <c r="AJ226" s="124"/>
    </row>
    <row r="227" spans="1:36" x14ac:dyDescent="0.3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  <c r="AE227" s="124"/>
      <c r="AF227" s="124"/>
      <c r="AG227" s="124"/>
      <c r="AH227" s="124"/>
      <c r="AI227" s="124"/>
      <c r="AJ227" s="124"/>
    </row>
    <row r="228" spans="1:36" x14ac:dyDescent="0.3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C228" s="124"/>
      <c r="AD228" s="124"/>
      <c r="AE228" s="124"/>
      <c r="AF228" s="124"/>
      <c r="AG228" s="124"/>
      <c r="AH228" s="124"/>
      <c r="AI228" s="124"/>
      <c r="AJ228" s="124"/>
    </row>
    <row r="229" spans="1:36" x14ac:dyDescent="0.3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  <c r="AE229" s="124"/>
      <c r="AF229" s="124"/>
      <c r="AG229" s="124"/>
      <c r="AH229" s="124"/>
      <c r="AI229" s="124"/>
      <c r="AJ229" s="124"/>
    </row>
    <row r="230" spans="1:36" x14ac:dyDescent="0.3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4"/>
      <c r="AH230" s="124"/>
      <c r="AI230" s="124"/>
      <c r="AJ230" s="124"/>
    </row>
    <row r="231" spans="1:36" x14ac:dyDescent="0.3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  <c r="AE231" s="124"/>
      <c r="AF231" s="124"/>
      <c r="AG231" s="124"/>
      <c r="AH231" s="124"/>
      <c r="AI231" s="124"/>
      <c r="AJ231" s="124"/>
    </row>
    <row r="232" spans="1:36" x14ac:dyDescent="0.3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C232" s="124"/>
      <c r="AD232" s="124"/>
      <c r="AE232" s="124"/>
      <c r="AF232" s="124"/>
      <c r="AG232" s="124"/>
      <c r="AH232" s="124"/>
      <c r="AI232" s="124"/>
      <c r="AJ232" s="124"/>
    </row>
    <row r="233" spans="1:36" x14ac:dyDescent="0.3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  <c r="AC233" s="124"/>
      <c r="AD233" s="124"/>
      <c r="AE233" s="124"/>
      <c r="AF233" s="124"/>
      <c r="AG233" s="124"/>
      <c r="AH233" s="124"/>
      <c r="AI233" s="124"/>
      <c r="AJ233" s="124"/>
    </row>
    <row r="234" spans="1:36" x14ac:dyDescent="0.3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124"/>
      <c r="AE234" s="124"/>
      <c r="AF234" s="124"/>
      <c r="AG234" s="124"/>
      <c r="AH234" s="124"/>
      <c r="AI234" s="124"/>
      <c r="AJ234" s="124"/>
    </row>
    <row r="235" spans="1:36" x14ac:dyDescent="0.3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4"/>
      <c r="AE235" s="124"/>
      <c r="AF235" s="124"/>
      <c r="AG235" s="124"/>
      <c r="AH235" s="124"/>
      <c r="AI235" s="124"/>
      <c r="AJ235" s="124"/>
    </row>
    <row r="236" spans="1:36" x14ac:dyDescent="0.3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  <c r="AE236" s="124"/>
      <c r="AF236" s="124"/>
      <c r="AG236" s="124"/>
      <c r="AH236" s="124"/>
      <c r="AI236" s="124"/>
      <c r="AJ236" s="124"/>
    </row>
    <row r="237" spans="1:36" x14ac:dyDescent="0.3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C237" s="124"/>
      <c r="AD237" s="124"/>
      <c r="AE237" s="124"/>
      <c r="AF237" s="124"/>
      <c r="AG237" s="124"/>
      <c r="AH237" s="124"/>
      <c r="AI237" s="124"/>
      <c r="AJ237" s="124"/>
    </row>
    <row r="238" spans="1:36" x14ac:dyDescent="0.3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  <c r="AE238" s="124"/>
      <c r="AF238" s="124"/>
      <c r="AG238" s="124"/>
      <c r="AH238" s="124"/>
      <c r="AI238" s="124"/>
      <c r="AJ238" s="124"/>
    </row>
    <row r="239" spans="1:36" x14ac:dyDescent="0.3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124"/>
      <c r="AE239" s="124"/>
      <c r="AF239" s="124"/>
      <c r="AG239" s="124"/>
      <c r="AH239" s="124"/>
      <c r="AI239" s="124"/>
      <c r="AJ239" s="124"/>
    </row>
    <row r="240" spans="1:36" x14ac:dyDescent="0.3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24"/>
      <c r="AE240" s="124"/>
      <c r="AF240" s="124"/>
      <c r="AG240" s="124"/>
      <c r="AH240" s="124"/>
      <c r="AI240" s="124"/>
      <c r="AJ240" s="124"/>
    </row>
    <row r="241" spans="1:36" x14ac:dyDescent="0.3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  <c r="AD241" s="124"/>
      <c r="AE241" s="124"/>
      <c r="AF241" s="124"/>
      <c r="AG241" s="124"/>
      <c r="AH241" s="124"/>
      <c r="AI241" s="124"/>
      <c r="AJ241" s="124"/>
    </row>
    <row r="242" spans="1:36" x14ac:dyDescent="0.3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  <c r="AE242" s="124"/>
      <c r="AF242" s="124"/>
      <c r="AG242" s="124"/>
      <c r="AH242" s="124"/>
      <c r="AI242" s="124"/>
      <c r="AJ242" s="124"/>
    </row>
    <row r="243" spans="1:36" x14ac:dyDescent="0.3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C243" s="124"/>
      <c r="AD243" s="124"/>
      <c r="AE243" s="124"/>
      <c r="AF243" s="124"/>
      <c r="AG243" s="124"/>
      <c r="AH243" s="124"/>
      <c r="AI243" s="124"/>
      <c r="AJ243" s="124"/>
    </row>
    <row r="244" spans="1:36" x14ac:dyDescent="0.3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  <c r="AD244" s="124"/>
      <c r="AE244" s="124"/>
      <c r="AF244" s="124"/>
      <c r="AG244" s="124"/>
      <c r="AH244" s="124"/>
      <c r="AI244" s="124"/>
      <c r="AJ244" s="124"/>
    </row>
    <row r="245" spans="1:36" x14ac:dyDescent="0.3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  <c r="AD245" s="124"/>
      <c r="AE245" s="124"/>
      <c r="AF245" s="124"/>
      <c r="AG245" s="124"/>
      <c r="AH245" s="124"/>
      <c r="AI245" s="124"/>
      <c r="AJ245" s="124"/>
    </row>
    <row r="246" spans="1:36" x14ac:dyDescent="0.3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  <c r="AE246" s="124"/>
      <c r="AF246" s="124"/>
      <c r="AG246" s="124"/>
      <c r="AH246" s="124"/>
      <c r="AI246" s="124"/>
      <c r="AJ246" s="124"/>
    </row>
    <row r="247" spans="1:36" x14ac:dyDescent="0.3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  <c r="AE247" s="124"/>
      <c r="AF247" s="124"/>
      <c r="AG247" s="124"/>
      <c r="AH247" s="124"/>
      <c r="AI247" s="124"/>
      <c r="AJ247" s="124"/>
    </row>
    <row r="248" spans="1:36" x14ac:dyDescent="0.3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  <c r="AE248" s="124"/>
      <c r="AF248" s="124"/>
      <c r="AG248" s="124"/>
      <c r="AH248" s="124"/>
      <c r="AI248" s="124"/>
      <c r="AJ248" s="124"/>
    </row>
    <row r="249" spans="1:36" x14ac:dyDescent="0.3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124"/>
      <c r="AF249" s="124"/>
      <c r="AG249" s="124"/>
      <c r="AH249" s="124"/>
      <c r="AI249" s="124"/>
      <c r="AJ249" s="124"/>
    </row>
    <row r="250" spans="1:36" x14ac:dyDescent="0.3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124"/>
      <c r="AF250" s="124"/>
      <c r="AG250" s="124"/>
      <c r="AH250" s="124"/>
      <c r="AI250" s="124"/>
      <c r="AJ250" s="124"/>
    </row>
    <row r="251" spans="1:36" x14ac:dyDescent="0.3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  <c r="AE251" s="124"/>
      <c r="AF251" s="124"/>
      <c r="AG251" s="124"/>
      <c r="AH251" s="124"/>
      <c r="AI251" s="124"/>
      <c r="AJ251" s="124"/>
    </row>
    <row r="252" spans="1:36" x14ac:dyDescent="0.3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124"/>
      <c r="AF252" s="124"/>
      <c r="AG252" s="124"/>
      <c r="AH252" s="124"/>
      <c r="AI252" s="124"/>
      <c r="AJ252" s="124"/>
    </row>
    <row r="253" spans="1:36" x14ac:dyDescent="0.3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AE253" s="124"/>
      <c r="AF253" s="124"/>
      <c r="AG253" s="124"/>
      <c r="AH253" s="124"/>
      <c r="AI253" s="124"/>
      <c r="AJ253" s="124"/>
    </row>
    <row r="254" spans="1:36" x14ac:dyDescent="0.3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124"/>
      <c r="AF254" s="124"/>
      <c r="AG254" s="124"/>
      <c r="AH254" s="124"/>
      <c r="AI254" s="124"/>
      <c r="AJ254" s="124"/>
    </row>
    <row r="255" spans="1:36" x14ac:dyDescent="0.3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  <c r="AE255" s="124"/>
      <c r="AF255" s="124"/>
      <c r="AG255" s="124"/>
      <c r="AH255" s="124"/>
      <c r="AI255" s="124"/>
      <c r="AJ255" s="124"/>
    </row>
    <row r="256" spans="1:36" x14ac:dyDescent="0.3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124"/>
      <c r="AF256" s="124"/>
      <c r="AG256" s="124"/>
      <c r="AH256" s="124"/>
      <c r="AI256" s="124"/>
      <c r="AJ256" s="124"/>
    </row>
    <row r="257" spans="1:36" x14ac:dyDescent="0.3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  <c r="AE257" s="124"/>
      <c r="AF257" s="124"/>
      <c r="AG257" s="124"/>
      <c r="AH257" s="124"/>
      <c r="AI257" s="124"/>
      <c r="AJ257" s="124"/>
    </row>
    <row r="258" spans="1:36" x14ac:dyDescent="0.3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  <c r="AE258" s="124"/>
      <c r="AF258" s="124"/>
      <c r="AG258" s="124"/>
      <c r="AH258" s="124"/>
      <c r="AI258" s="124"/>
      <c r="AJ258" s="124"/>
    </row>
    <row r="259" spans="1:36" x14ac:dyDescent="0.3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124"/>
      <c r="AF259" s="124"/>
      <c r="AG259" s="124"/>
      <c r="AH259" s="124"/>
      <c r="AI259" s="124"/>
      <c r="AJ259" s="124"/>
    </row>
    <row r="260" spans="1:36" x14ac:dyDescent="0.3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  <c r="AE260" s="124"/>
      <c r="AF260" s="124"/>
      <c r="AG260" s="124"/>
      <c r="AH260" s="124"/>
      <c r="AI260" s="124"/>
      <c r="AJ260" s="124"/>
    </row>
    <row r="261" spans="1:36" x14ac:dyDescent="0.3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  <c r="AE261" s="124"/>
      <c r="AF261" s="124"/>
      <c r="AG261" s="124"/>
      <c r="AH261" s="124"/>
      <c r="AI261" s="124"/>
      <c r="AJ261" s="124"/>
    </row>
    <row r="262" spans="1:36" x14ac:dyDescent="0.3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124"/>
    </row>
    <row r="263" spans="1:36" x14ac:dyDescent="0.3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124"/>
      <c r="AF263" s="124"/>
      <c r="AG263" s="124"/>
      <c r="AH263" s="124"/>
      <c r="AI263" s="124"/>
      <c r="AJ263" s="124"/>
    </row>
    <row r="264" spans="1:36" x14ac:dyDescent="0.3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  <c r="AE264" s="124"/>
      <c r="AF264" s="124"/>
      <c r="AG264" s="124"/>
      <c r="AH264" s="124"/>
      <c r="AI264" s="124"/>
      <c r="AJ264" s="124"/>
    </row>
    <row r="265" spans="1:36" x14ac:dyDescent="0.3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  <c r="AF265" s="124"/>
      <c r="AG265" s="124"/>
      <c r="AH265" s="124"/>
      <c r="AI265" s="124"/>
      <c r="AJ265" s="124"/>
    </row>
    <row r="266" spans="1:36" x14ac:dyDescent="0.3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  <c r="AE266" s="124"/>
      <c r="AF266" s="124"/>
      <c r="AG266" s="124"/>
      <c r="AH266" s="124"/>
      <c r="AI266" s="124"/>
      <c r="AJ266" s="124"/>
    </row>
    <row r="267" spans="1:36" x14ac:dyDescent="0.3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  <c r="AC267" s="124"/>
      <c r="AD267" s="124"/>
      <c r="AE267" s="124"/>
      <c r="AF267" s="124"/>
      <c r="AG267" s="124"/>
      <c r="AH267" s="124"/>
      <c r="AI267" s="124"/>
      <c r="AJ267" s="124"/>
    </row>
    <row r="268" spans="1:36" x14ac:dyDescent="0.3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  <c r="AE268" s="124"/>
      <c r="AF268" s="124"/>
      <c r="AG268" s="124"/>
      <c r="AH268" s="124"/>
      <c r="AI268" s="124"/>
      <c r="AJ268" s="124"/>
    </row>
    <row r="269" spans="1:36" x14ac:dyDescent="0.3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124"/>
      <c r="AF269" s="124"/>
      <c r="AG269" s="124"/>
      <c r="AH269" s="124"/>
      <c r="AI269" s="124"/>
      <c r="AJ269" s="124"/>
    </row>
    <row r="270" spans="1:36" x14ac:dyDescent="0.3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  <c r="AE270" s="124"/>
      <c r="AF270" s="124"/>
      <c r="AG270" s="124"/>
      <c r="AH270" s="124"/>
      <c r="AI270" s="124"/>
      <c r="AJ270" s="124"/>
    </row>
    <row r="271" spans="1:36" x14ac:dyDescent="0.3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24"/>
      <c r="AF271" s="124"/>
      <c r="AG271" s="124"/>
      <c r="AH271" s="124"/>
      <c r="AI271" s="124"/>
      <c r="AJ271" s="124"/>
    </row>
    <row r="272" spans="1:36" x14ac:dyDescent="0.3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124"/>
      <c r="AF272" s="124"/>
      <c r="AG272" s="124"/>
      <c r="AH272" s="124"/>
      <c r="AI272" s="124"/>
      <c r="AJ272" s="124"/>
    </row>
    <row r="273" spans="1:36" x14ac:dyDescent="0.3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  <c r="AC273" s="124"/>
      <c r="AD273" s="124"/>
      <c r="AE273" s="124"/>
      <c r="AF273" s="124"/>
      <c r="AG273" s="124"/>
      <c r="AH273" s="124"/>
      <c r="AI273" s="124"/>
      <c r="AJ273" s="124"/>
    </row>
    <row r="274" spans="1:36" x14ac:dyDescent="0.3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  <c r="AE274" s="124"/>
      <c r="AF274" s="124"/>
      <c r="AG274" s="124"/>
      <c r="AH274" s="124"/>
      <c r="AI274" s="124"/>
      <c r="AJ274" s="124"/>
    </row>
    <row r="275" spans="1:36" x14ac:dyDescent="0.3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  <c r="AC275" s="124"/>
      <c r="AD275" s="124"/>
      <c r="AE275" s="124"/>
      <c r="AF275" s="124"/>
      <c r="AG275" s="124"/>
      <c r="AH275" s="124"/>
      <c r="AI275" s="124"/>
      <c r="AJ275" s="124"/>
    </row>
    <row r="276" spans="1:36" x14ac:dyDescent="0.3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  <c r="AE276" s="124"/>
      <c r="AF276" s="124"/>
      <c r="AG276" s="124"/>
      <c r="AH276" s="124"/>
      <c r="AI276" s="124"/>
      <c r="AJ276" s="124"/>
    </row>
    <row r="277" spans="1:36" x14ac:dyDescent="0.3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  <c r="AE277" s="124"/>
      <c r="AF277" s="124"/>
      <c r="AG277" s="124"/>
      <c r="AH277" s="124"/>
      <c r="AI277" s="124"/>
      <c r="AJ277" s="124"/>
    </row>
    <row r="278" spans="1:36" x14ac:dyDescent="0.3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  <c r="AC278" s="124"/>
      <c r="AD278" s="124"/>
      <c r="AE278" s="124"/>
      <c r="AF278" s="124"/>
      <c r="AG278" s="124"/>
      <c r="AH278" s="124"/>
      <c r="AI278" s="124"/>
      <c r="AJ278" s="124"/>
    </row>
    <row r="279" spans="1:36" x14ac:dyDescent="0.3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  <c r="AE279" s="124"/>
      <c r="AF279" s="124"/>
      <c r="AG279" s="124"/>
      <c r="AH279" s="124"/>
      <c r="AI279" s="124"/>
      <c r="AJ279" s="124"/>
    </row>
    <row r="280" spans="1:36" x14ac:dyDescent="0.3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  <c r="AE280" s="124"/>
      <c r="AF280" s="124"/>
      <c r="AG280" s="124"/>
      <c r="AH280" s="124"/>
      <c r="AI280" s="124"/>
      <c r="AJ280" s="124"/>
    </row>
    <row r="281" spans="1:36" x14ac:dyDescent="0.3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  <c r="AE281" s="124"/>
      <c r="AF281" s="124"/>
      <c r="AG281" s="124"/>
      <c r="AH281" s="124"/>
      <c r="AI281" s="124"/>
      <c r="AJ281" s="124"/>
    </row>
    <row r="282" spans="1:36" x14ac:dyDescent="0.3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4"/>
      <c r="AH282" s="124"/>
      <c r="AI282" s="124"/>
      <c r="AJ282" s="124"/>
    </row>
    <row r="283" spans="1:36" x14ac:dyDescent="0.3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  <c r="AE283" s="124"/>
      <c r="AF283" s="124"/>
      <c r="AG283" s="124"/>
      <c r="AH283" s="124"/>
      <c r="AI283" s="124"/>
      <c r="AJ283" s="124"/>
    </row>
    <row r="284" spans="1:36" x14ac:dyDescent="0.3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  <c r="AE284" s="124"/>
      <c r="AF284" s="124"/>
      <c r="AG284" s="124"/>
      <c r="AH284" s="124"/>
      <c r="AI284" s="124"/>
      <c r="AJ284" s="124"/>
    </row>
    <row r="285" spans="1:36" x14ac:dyDescent="0.3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  <c r="AE285" s="124"/>
      <c r="AF285" s="124"/>
      <c r="AG285" s="124"/>
      <c r="AH285" s="124"/>
      <c r="AI285" s="124"/>
      <c r="AJ285" s="124"/>
    </row>
    <row r="286" spans="1:36" x14ac:dyDescent="0.3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  <c r="AE286" s="124"/>
      <c r="AF286" s="124"/>
      <c r="AG286" s="124"/>
      <c r="AH286" s="124"/>
      <c r="AI286" s="124"/>
      <c r="AJ286" s="124"/>
    </row>
    <row r="287" spans="1:36" x14ac:dyDescent="0.3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  <c r="AE287" s="124"/>
      <c r="AF287" s="124"/>
      <c r="AG287" s="124"/>
      <c r="AH287" s="124"/>
      <c r="AI287" s="124"/>
      <c r="AJ287" s="124"/>
    </row>
    <row r="288" spans="1:36" x14ac:dyDescent="0.3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124"/>
      <c r="AF288" s="124"/>
      <c r="AG288" s="124"/>
      <c r="AH288" s="124"/>
      <c r="AI288" s="124"/>
      <c r="AJ288" s="124"/>
    </row>
    <row r="289" spans="1:36" x14ac:dyDescent="0.3">
      <c r="A289" s="124"/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  <c r="AE289" s="124"/>
      <c r="AF289" s="124"/>
      <c r="AG289" s="124"/>
      <c r="AH289" s="124"/>
      <c r="AI289" s="124"/>
      <c r="AJ289" s="124"/>
    </row>
    <row r="290" spans="1:36" x14ac:dyDescent="0.3">
      <c r="A290" s="124"/>
      <c r="B290" s="124"/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124"/>
      <c r="AF290" s="124"/>
      <c r="AG290" s="124"/>
      <c r="AH290" s="124"/>
      <c r="AI290" s="124"/>
      <c r="AJ290" s="124"/>
    </row>
    <row r="291" spans="1:36" x14ac:dyDescent="0.3">
      <c r="A291" s="124"/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  <c r="AC291" s="124"/>
      <c r="AD291" s="124"/>
      <c r="AE291" s="124"/>
      <c r="AF291" s="124"/>
      <c r="AG291" s="124"/>
      <c r="AH291" s="124"/>
      <c r="AI291" s="124"/>
      <c r="AJ291" s="124"/>
    </row>
    <row r="292" spans="1:36" x14ac:dyDescent="0.3">
      <c r="A292" s="124"/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  <c r="AE292" s="124"/>
      <c r="AF292" s="124"/>
      <c r="AG292" s="124"/>
      <c r="AH292" s="124"/>
      <c r="AI292" s="124"/>
      <c r="AJ292" s="124"/>
    </row>
    <row r="293" spans="1:36" x14ac:dyDescent="0.3">
      <c r="A293" s="124"/>
      <c r="B293" s="124"/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  <c r="AE293" s="124"/>
      <c r="AF293" s="124"/>
      <c r="AG293" s="124"/>
      <c r="AH293" s="124"/>
      <c r="AI293" s="124"/>
      <c r="AJ293" s="124"/>
    </row>
    <row r="294" spans="1:36" x14ac:dyDescent="0.3">
      <c r="A294" s="124"/>
      <c r="B294" s="124"/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124"/>
      <c r="AF294" s="124"/>
      <c r="AG294" s="124"/>
      <c r="AH294" s="124"/>
      <c r="AI294" s="124"/>
      <c r="AJ294" s="124"/>
    </row>
    <row r="295" spans="1:36" x14ac:dyDescent="0.3">
      <c r="A295" s="124"/>
      <c r="B295" s="124"/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  <c r="AE295" s="124"/>
      <c r="AF295" s="124"/>
      <c r="AG295" s="124"/>
      <c r="AH295" s="124"/>
      <c r="AI295" s="124"/>
      <c r="AJ295" s="124"/>
    </row>
    <row r="296" spans="1:36" x14ac:dyDescent="0.3">
      <c r="A296" s="124"/>
      <c r="B296" s="124"/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124"/>
      <c r="AF296" s="124"/>
      <c r="AG296" s="124"/>
      <c r="AH296" s="124"/>
      <c r="AI296" s="124"/>
      <c r="AJ296" s="124"/>
    </row>
    <row r="297" spans="1:36" x14ac:dyDescent="0.3">
      <c r="A297" s="124"/>
      <c r="B297" s="124"/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  <c r="AE297" s="124"/>
      <c r="AF297" s="124"/>
      <c r="AG297" s="124"/>
      <c r="AH297" s="124"/>
      <c r="AI297" s="124"/>
      <c r="AJ297" s="124"/>
    </row>
    <row r="298" spans="1:36" x14ac:dyDescent="0.3">
      <c r="A298" s="124"/>
      <c r="B298" s="124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  <c r="AE298" s="124"/>
      <c r="AF298" s="124"/>
      <c r="AG298" s="124"/>
      <c r="AH298" s="124"/>
      <c r="AI298" s="124"/>
      <c r="AJ298" s="124"/>
    </row>
    <row r="299" spans="1:36" x14ac:dyDescent="0.3">
      <c r="A299" s="124"/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C299" s="124"/>
      <c r="AD299" s="124"/>
      <c r="AE299" s="124"/>
      <c r="AF299" s="124"/>
      <c r="AG299" s="124"/>
      <c r="AH299" s="124"/>
      <c r="AI299" s="124"/>
      <c r="AJ299" s="124"/>
    </row>
    <row r="300" spans="1:36" x14ac:dyDescent="0.3">
      <c r="A300" s="124"/>
      <c r="B300" s="124"/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  <c r="AE300" s="124"/>
      <c r="AF300" s="124"/>
      <c r="AG300" s="124"/>
      <c r="AH300" s="124"/>
      <c r="AI300" s="124"/>
      <c r="AJ300" s="124"/>
    </row>
    <row r="301" spans="1:36" x14ac:dyDescent="0.3">
      <c r="A301" s="124"/>
      <c r="B301" s="124"/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  <c r="AE301" s="124"/>
      <c r="AF301" s="124"/>
      <c r="AG301" s="124"/>
      <c r="AH301" s="124"/>
      <c r="AI301" s="124"/>
      <c r="AJ301" s="124"/>
    </row>
    <row r="302" spans="1:36" x14ac:dyDescent="0.3">
      <c r="A302" s="124"/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  <c r="AF302" s="124"/>
      <c r="AG302" s="124"/>
      <c r="AH302" s="124"/>
      <c r="AI302" s="124"/>
      <c r="AJ302" s="124"/>
    </row>
    <row r="303" spans="1:36" x14ac:dyDescent="0.3">
      <c r="A303" s="124"/>
      <c r="B303" s="124"/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  <c r="AE303" s="124"/>
      <c r="AF303" s="124"/>
      <c r="AG303" s="124"/>
      <c r="AH303" s="124"/>
      <c r="AI303" s="124"/>
      <c r="AJ303" s="124"/>
    </row>
    <row r="304" spans="1:36" x14ac:dyDescent="0.3">
      <c r="A304" s="124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4"/>
      <c r="AI304" s="124"/>
      <c r="AJ304" s="124"/>
    </row>
    <row r="305" spans="1:36" x14ac:dyDescent="0.3">
      <c r="A305" s="124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  <c r="AF305" s="124"/>
      <c r="AG305" s="124"/>
      <c r="AH305" s="124"/>
      <c r="AI305" s="124"/>
      <c r="AJ305" s="124"/>
    </row>
    <row r="306" spans="1:36" x14ac:dyDescent="0.3">
      <c r="A306" s="124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  <c r="AF306" s="124"/>
      <c r="AG306" s="124"/>
      <c r="AH306" s="124"/>
      <c r="AI306" s="124"/>
      <c r="AJ306" s="124"/>
    </row>
    <row r="307" spans="1:36" x14ac:dyDescent="0.3">
      <c r="A307" s="124"/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C307" s="124"/>
      <c r="AD307" s="124"/>
      <c r="AE307" s="124"/>
      <c r="AF307" s="124"/>
      <c r="AG307" s="124"/>
      <c r="AH307" s="124"/>
      <c r="AI307" s="124"/>
      <c r="AJ307" s="124"/>
    </row>
    <row r="308" spans="1:36" x14ac:dyDescent="0.3">
      <c r="A308" s="124"/>
      <c r="B308" s="124"/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  <c r="AE308" s="124"/>
      <c r="AF308" s="124"/>
      <c r="AG308" s="124"/>
      <c r="AH308" s="124"/>
      <c r="AI308" s="124"/>
      <c r="AJ308" s="124"/>
    </row>
    <row r="309" spans="1:36" x14ac:dyDescent="0.3">
      <c r="A309" s="124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  <c r="AC309" s="124"/>
      <c r="AD309" s="124"/>
      <c r="AE309" s="124"/>
      <c r="AF309" s="124"/>
      <c r="AG309" s="124"/>
      <c r="AH309" s="124"/>
      <c r="AI309" s="124"/>
      <c r="AJ309" s="124"/>
    </row>
    <row r="310" spans="1:36" x14ac:dyDescent="0.3">
      <c r="A310" s="124"/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  <c r="AE310" s="124"/>
      <c r="AF310" s="124"/>
      <c r="AG310" s="124"/>
      <c r="AH310" s="124"/>
      <c r="AI310" s="124"/>
      <c r="AJ310" s="124"/>
    </row>
    <row r="311" spans="1:36" x14ac:dyDescent="0.3">
      <c r="A311" s="124"/>
      <c r="B311" s="124"/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C311" s="124"/>
      <c r="AD311" s="124"/>
      <c r="AE311" s="124"/>
      <c r="AF311" s="124"/>
      <c r="AG311" s="124"/>
      <c r="AH311" s="124"/>
      <c r="AI311" s="124"/>
      <c r="AJ311" s="124"/>
    </row>
    <row r="312" spans="1:36" x14ac:dyDescent="0.3">
      <c r="A312" s="124"/>
      <c r="B312" s="124"/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C312" s="124"/>
      <c r="AD312" s="124"/>
      <c r="AE312" s="124"/>
      <c r="AF312" s="124"/>
      <c r="AG312" s="124"/>
      <c r="AH312" s="124"/>
      <c r="AI312" s="124"/>
      <c r="AJ312" s="124"/>
    </row>
    <row r="313" spans="1:36" x14ac:dyDescent="0.3">
      <c r="A313" s="124"/>
      <c r="B313" s="124"/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C313" s="124"/>
      <c r="AD313" s="124"/>
      <c r="AE313" s="124"/>
      <c r="AF313" s="124"/>
      <c r="AG313" s="124"/>
      <c r="AH313" s="124"/>
      <c r="AI313" s="124"/>
      <c r="AJ313" s="124"/>
    </row>
    <row r="314" spans="1:36" x14ac:dyDescent="0.3">
      <c r="A314" s="124"/>
      <c r="B314" s="124"/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  <c r="AC314" s="124"/>
      <c r="AD314" s="124"/>
      <c r="AE314" s="124"/>
      <c r="AF314" s="124"/>
      <c r="AG314" s="124"/>
      <c r="AH314" s="124"/>
      <c r="AI314" s="124"/>
      <c r="AJ314" s="124"/>
    </row>
    <row r="315" spans="1:36" x14ac:dyDescent="0.3">
      <c r="A315" s="124"/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  <c r="AE315" s="124"/>
      <c r="AF315" s="124"/>
      <c r="AG315" s="124"/>
      <c r="AH315" s="124"/>
      <c r="AI315" s="124"/>
      <c r="AJ315" s="124"/>
    </row>
    <row r="316" spans="1:36" x14ac:dyDescent="0.3">
      <c r="A316" s="124"/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  <c r="AE316" s="124"/>
      <c r="AF316" s="124"/>
      <c r="AG316" s="124"/>
      <c r="AH316" s="124"/>
      <c r="AI316" s="124"/>
      <c r="AJ316" s="124"/>
    </row>
    <row r="317" spans="1:36" x14ac:dyDescent="0.3">
      <c r="A317" s="124"/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  <c r="AE317" s="124"/>
      <c r="AF317" s="124"/>
      <c r="AG317" s="124"/>
      <c r="AH317" s="124"/>
      <c r="AI317" s="124"/>
      <c r="AJ317" s="124"/>
    </row>
    <row r="318" spans="1:36" x14ac:dyDescent="0.3">
      <c r="A318" s="124"/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  <c r="AE318" s="124"/>
      <c r="AF318" s="124"/>
      <c r="AG318" s="124"/>
      <c r="AH318" s="124"/>
      <c r="AI318" s="124"/>
      <c r="AJ318" s="124"/>
    </row>
    <row r="319" spans="1:36" x14ac:dyDescent="0.3">
      <c r="A319" s="124"/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  <c r="AE319" s="124"/>
      <c r="AF319" s="124"/>
      <c r="AG319" s="124"/>
      <c r="AH319" s="124"/>
      <c r="AI319" s="124"/>
      <c r="AJ319" s="124"/>
    </row>
    <row r="320" spans="1:36" x14ac:dyDescent="0.3">
      <c r="A320" s="124"/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  <c r="AE320" s="124"/>
      <c r="AF320" s="124"/>
      <c r="AG320" s="124"/>
      <c r="AH320" s="124"/>
      <c r="AI320" s="124"/>
      <c r="AJ320" s="124"/>
    </row>
    <row r="321" spans="1:36" x14ac:dyDescent="0.3">
      <c r="A321" s="124"/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  <c r="AE321" s="124"/>
      <c r="AF321" s="124"/>
      <c r="AG321" s="124"/>
      <c r="AH321" s="124"/>
      <c r="AI321" s="124"/>
      <c r="AJ321" s="124"/>
    </row>
    <row r="322" spans="1:36" x14ac:dyDescent="0.3">
      <c r="A322" s="124"/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  <c r="AE322" s="124"/>
      <c r="AF322" s="124"/>
      <c r="AG322" s="124"/>
      <c r="AH322" s="124"/>
      <c r="AI322" s="124"/>
      <c r="AJ322" s="124"/>
    </row>
    <row r="323" spans="1:36" x14ac:dyDescent="0.3">
      <c r="A323" s="124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  <c r="AF323" s="124"/>
      <c r="AG323" s="124"/>
      <c r="AH323" s="124"/>
      <c r="AI323" s="124"/>
      <c r="AJ323" s="124"/>
    </row>
    <row r="324" spans="1:36" x14ac:dyDescent="0.3">
      <c r="A324" s="124"/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  <c r="AE324" s="124"/>
      <c r="AF324" s="124"/>
      <c r="AG324" s="124"/>
      <c r="AH324" s="124"/>
      <c r="AI324" s="124"/>
      <c r="AJ324" s="124"/>
    </row>
    <row r="325" spans="1:36" x14ac:dyDescent="0.3">
      <c r="A325" s="124"/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4"/>
      <c r="AF325" s="124"/>
      <c r="AG325" s="124"/>
      <c r="AH325" s="124"/>
      <c r="AI325" s="124"/>
      <c r="AJ325" s="124"/>
    </row>
    <row r="326" spans="1:36" x14ac:dyDescent="0.3">
      <c r="A326" s="124"/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  <c r="AE326" s="124"/>
      <c r="AF326" s="124"/>
      <c r="AG326" s="124"/>
      <c r="AH326" s="124"/>
      <c r="AI326" s="124"/>
      <c r="AJ326" s="124"/>
    </row>
    <row r="327" spans="1:36" x14ac:dyDescent="0.3">
      <c r="A327" s="124"/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  <c r="AE327" s="124"/>
      <c r="AF327" s="124"/>
      <c r="AG327" s="124"/>
      <c r="AH327" s="124"/>
      <c r="AI327" s="124"/>
      <c r="AJ327" s="124"/>
    </row>
    <row r="328" spans="1:36" x14ac:dyDescent="0.3">
      <c r="A328" s="124"/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  <c r="AE328" s="124"/>
      <c r="AF328" s="124"/>
      <c r="AG328" s="124"/>
      <c r="AH328" s="124"/>
      <c r="AI328" s="124"/>
      <c r="AJ328" s="124"/>
    </row>
    <row r="329" spans="1:36" x14ac:dyDescent="0.3">
      <c r="A329" s="124"/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  <c r="AE329" s="124"/>
      <c r="AF329" s="124"/>
      <c r="AG329" s="124"/>
      <c r="AH329" s="124"/>
      <c r="AI329" s="124"/>
      <c r="AJ329" s="124"/>
    </row>
    <row r="330" spans="1:36" x14ac:dyDescent="0.3">
      <c r="A330" s="124"/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  <c r="AE330" s="124"/>
      <c r="AF330" s="124"/>
      <c r="AG330" s="124"/>
      <c r="AH330" s="124"/>
      <c r="AI330" s="124"/>
      <c r="AJ330" s="124"/>
    </row>
    <row r="331" spans="1:36" x14ac:dyDescent="0.3">
      <c r="A331" s="124"/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  <c r="AE331" s="124"/>
      <c r="AF331" s="124"/>
      <c r="AG331" s="124"/>
      <c r="AH331" s="124"/>
      <c r="AI331" s="124"/>
      <c r="AJ331" s="124"/>
    </row>
    <row r="332" spans="1:36" x14ac:dyDescent="0.3">
      <c r="A332" s="124"/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  <c r="AE332" s="124"/>
      <c r="AF332" s="124"/>
      <c r="AG332" s="124"/>
      <c r="AH332" s="124"/>
      <c r="AI332" s="124"/>
      <c r="AJ332" s="124"/>
    </row>
    <row r="333" spans="1:36" x14ac:dyDescent="0.3">
      <c r="A333" s="124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  <c r="AF333" s="124"/>
      <c r="AG333" s="124"/>
      <c r="AH333" s="124"/>
      <c r="AI333" s="124"/>
      <c r="AJ333" s="124"/>
    </row>
    <row r="334" spans="1:36" x14ac:dyDescent="0.3">
      <c r="A334" s="124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4"/>
      <c r="AH334" s="124"/>
      <c r="AI334" s="124"/>
      <c r="AJ334" s="124"/>
    </row>
    <row r="335" spans="1:36" x14ac:dyDescent="0.3">
      <c r="A335" s="124"/>
      <c r="B335" s="124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  <c r="AF335" s="124"/>
      <c r="AG335" s="124"/>
      <c r="AH335" s="124"/>
      <c r="AI335" s="124"/>
      <c r="AJ335" s="124"/>
    </row>
    <row r="336" spans="1:36" x14ac:dyDescent="0.3">
      <c r="A336" s="124"/>
      <c r="B336" s="124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  <c r="AF336" s="124"/>
      <c r="AG336" s="124"/>
      <c r="AH336" s="124"/>
      <c r="AI336" s="124"/>
      <c r="AJ336" s="124"/>
    </row>
    <row r="337" spans="1:36" x14ac:dyDescent="0.3">
      <c r="A337" s="124"/>
      <c r="B337" s="124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  <c r="AF337" s="124"/>
      <c r="AG337" s="124"/>
      <c r="AH337" s="124"/>
      <c r="AI337" s="124"/>
      <c r="AJ337" s="124"/>
    </row>
    <row r="338" spans="1:36" x14ac:dyDescent="0.3">
      <c r="A338" s="124"/>
      <c r="B338" s="124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  <c r="AF338" s="124"/>
      <c r="AG338" s="124"/>
      <c r="AH338" s="124"/>
      <c r="AI338" s="124"/>
      <c r="AJ338" s="124"/>
    </row>
    <row r="339" spans="1:36" x14ac:dyDescent="0.3">
      <c r="A339" s="124"/>
      <c r="B339" s="124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  <c r="AE339" s="124"/>
      <c r="AF339" s="124"/>
      <c r="AG339" s="124"/>
      <c r="AH339" s="124"/>
      <c r="AI339" s="124"/>
      <c r="AJ339" s="124"/>
    </row>
    <row r="340" spans="1:36" x14ac:dyDescent="0.3">
      <c r="A340" s="124"/>
      <c r="B340" s="124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4"/>
      <c r="AF340" s="124"/>
      <c r="AG340" s="124"/>
      <c r="AH340" s="124"/>
      <c r="AI340" s="124"/>
      <c r="AJ340" s="124"/>
    </row>
    <row r="341" spans="1:36" x14ac:dyDescent="0.3">
      <c r="A341" s="124"/>
      <c r="B341" s="124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124"/>
      <c r="AF341" s="124"/>
      <c r="AG341" s="124"/>
      <c r="AH341" s="124"/>
      <c r="AI341" s="124"/>
      <c r="AJ341" s="124"/>
    </row>
    <row r="342" spans="1:36" x14ac:dyDescent="0.3">
      <c r="A342" s="124"/>
      <c r="B342" s="124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124"/>
      <c r="AF342" s="124"/>
      <c r="AG342" s="124"/>
      <c r="AH342" s="124"/>
      <c r="AI342" s="124"/>
      <c r="AJ342" s="124"/>
    </row>
    <row r="343" spans="1:36" x14ac:dyDescent="0.3">
      <c r="A343" s="124"/>
      <c r="B343" s="124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  <c r="AE343" s="124"/>
      <c r="AF343" s="124"/>
      <c r="AG343" s="124"/>
      <c r="AH343" s="124"/>
      <c r="AI343" s="124"/>
      <c r="AJ343" s="124"/>
    </row>
    <row r="344" spans="1:36" x14ac:dyDescent="0.3">
      <c r="A344" s="124"/>
      <c r="B344" s="124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C344" s="124"/>
      <c r="AD344" s="124"/>
      <c r="AE344" s="124"/>
      <c r="AF344" s="124"/>
      <c r="AG344" s="124"/>
      <c r="AH344" s="124"/>
      <c r="AI344" s="124"/>
      <c r="AJ344" s="124"/>
    </row>
    <row r="345" spans="1:36" x14ac:dyDescent="0.3">
      <c r="A345" s="124"/>
      <c r="B345" s="124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  <c r="AE345" s="124"/>
      <c r="AF345" s="124"/>
      <c r="AG345" s="124"/>
      <c r="AH345" s="124"/>
      <c r="AI345" s="124"/>
      <c r="AJ345" s="124"/>
    </row>
    <row r="346" spans="1:36" x14ac:dyDescent="0.3">
      <c r="A346" s="124"/>
      <c r="B346" s="124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  <c r="AE346" s="124"/>
      <c r="AF346" s="124"/>
      <c r="AG346" s="124"/>
      <c r="AH346" s="124"/>
      <c r="AI346" s="124"/>
      <c r="AJ346" s="124"/>
    </row>
    <row r="347" spans="1:36" x14ac:dyDescent="0.3">
      <c r="A347" s="124"/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  <c r="AF347" s="124"/>
      <c r="AG347" s="124"/>
      <c r="AH347" s="124"/>
      <c r="AI347" s="124"/>
      <c r="AJ347" s="124"/>
    </row>
    <row r="348" spans="1:36" x14ac:dyDescent="0.3">
      <c r="A348" s="124"/>
      <c r="B348" s="124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124"/>
      <c r="AF348" s="124"/>
      <c r="AG348" s="124"/>
      <c r="AH348" s="124"/>
      <c r="AI348" s="124"/>
      <c r="AJ348" s="124"/>
    </row>
    <row r="349" spans="1:36" x14ac:dyDescent="0.3">
      <c r="A349" s="124"/>
      <c r="B349" s="124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  <c r="AF349" s="124"/>
      <c r="AG349" s="124"/>
      <c r="AH349" s="124"/>
      <c r="AI349" s="124"/>
      <c r="AJ349" s="124"/>
    </row>
    <row r="350" spans="1:36" x14ac:dyDescent="0.3">
      <c r="A350" s="124"/>
      <c r="B350" s="124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  <c r="AF350" s="124"/>
      <c r="AG350" s="124"/>
      <c r="AH350" s="124"/>
      <c r="AI350" s="124"/>
      <c r="AJ350" s="124"/>
    </row>
    <row r="351" spans="1:36" x14ac:dyDescent="0.3">
      <c r="A351" s="124"/>
      <c r="B351" s="124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  <c r="AF351" s="124"/>
      <c r="AG351" s="124"/>
      <c r="AH351" s="124"/>
      <c r="AI351" s="124"/>
      <c r="AJ351" s="124"/>
    </row>
    <row r="352" spans="1:36" x14ac:dyDescent="0.3">
      <c r="A352" s="124"/>
      <c r="B352" s="124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  <c r="AF352" s="124"/>
      <c r="AG352" s="124"/>
      <c r="AH352" s="124"/>
      <c r="AI352" s="124"/>
      <c r="AJ352" s="124"/>
    </row>
    <row r="353" spans="1:36" x14ac:dyDescent="0.3">
      <c r="A353" s="124"/>
      <c r="B353" s="124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124"/>
      <c r="AF353" s="124"/>
      <c r="AG353" s="124"/>
      <c r="AH353" s="124"/>
      <c r="AI353" s="124"/>
      <c r="AJ353" s="124"/>
    </row>
    <row r="354" spans="1:36" x14ac:dyDescent="0.3">
      <c r="A354" s="124"/>
      <c r="B354" s="124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124"/>
      <c r="AF354" s="124"/>
      <c r="AG354" s="124"/>
      <c r="AH354" s="124"/>
      <c r="AI354" s="124"/>
      <c r="AJ354" s="124"/>
    </row>
    <row r="355" spans="1:36" x14ac:dyDescent="0.3">
      <c r="A355" s="124"/>
      <c r="B355" s="12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  <c r="AF355" s="124"/>
      <c r="AG355" s="124"/>
      <c r="AH355" s="124"/>
      <c r="AI355" s="124"/>
      <c r="AJ355" s="124"/>
    </row>
    <row r="356" spans="1:36" x14ac:dyDescent="0.3">
      <c r="A356" s="124"/>
      <c r="B356" s="124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  <c r="AF356" s="124"/>
      <c r="AG356" s="124"/>
      <c r="AH356" s="124"/>
      <c r="AI356" s="124"/>
      <c r="AJ356" s="124"/>
    </row>
    <row r="357" spans="1:36" x14ac:dyDescent="0.3">
      <c r="A357" s="124"/>
      <c r="B357" s="124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124"/>
      <c r="AF357" s="124"/>
      <c r="AG357" s="124"/>
      <c r="AH357" s="124"/>
      <c r="AI357" s="124"/>
      <c r="AJ357" s="124"/>
    </row>
    <row r="358" spans="1:36" x14ac:dyDescent="0.3">
      <c r="A358" s="124"/>
      <c r="B358" s="124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  <c r="AF358" s="124"/>
      <c r="AG358" s="124"/>
      <c r="AH358" s="124"/>
      <c r="AI358" s="124"/>
      <c r="AJ358" s="124"/>
    </row>
    <row r="359" spans="1:36" x14ac:dyDescent="0.3">
      <c r="A359" s="124"/>
      <c r="B359" s="124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  <c r="AF359" s="124"/>
      <c r="AG359" s="124"/>
      <c r="AH359" s="124"/>
      <c r="AI359" s="124"/>
      <c r="AJ359" s="124"/>
    </row>
    <row r="360" spans="1:36" x14ac:dyDescent="0.3">
      <c r="A360" s="124"/>
      <c r="B360" s="124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  <c r="AE360" s="124"/>
      <c r="AF360" s="124"/>
      <c r="AG360" s="124"/>
      <c r="AH360" s="124"/>
      <c r="AI360" s="124"/>
      <c r="AJ360" s="124"/>
    </row>
    <row r="361" spans="1:36" x14ac:dyDescent="0.3">
      <c r="A361" s="124"/>
      <c r="B361" s="124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  <c r="AE361" s="124"/>
      <c r="AF361" s="124"/>
      <c r="AG361" s="124"/>
      <c r="AH361" s="124"/>
      <c r="AI361" s="124"/>
      <c r="AJ361" s="124"/>
    </row>
    <row r="362" spans="1:36" x14ac:dyDescent="0.3">
      <c r="A362" s="124"/>
      <c r="B362" s="124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  <c r="AE362" s="124"/>
      <c r="AF362" s="124"/>
      <c r="AG362" s="124"/>
      <c r="AH362" s="124"/>
      <c r="AI362" s="124"/>
      <c r="AJ362" s="124"/>
    </row>
    <row r="363" spans="1:36" x14ac:dyDescent="0.3">
      <c r="A363" s="124"/>
      <c r="B363" s="124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  <c r="AE363" s="124"/>
      <c r="AF363" s="124"/>
      <c r="AG363" s="124"/>
      <c r="AH363" s="124"/>
      <c r="AI363" s="124"/>
      <c r="AJ363" s="124"/>
    </row>
    <row r="364" spans="1:36" x14ac:dyDescent="0.3">
      <c r="A364" s="124"/>
      <c r="B364" s="124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  <c r="AE364" s="124"/>
      <c r="AF364" s="124"/>
      <c r="AG364" s="124"/>
      <c r="AH364" s="124"/>
      <c r="AI364" s="124"/>
      <c r="AJ364" s="124"/>
    </row>
    <row r="365" spans="1:36" x14ac:dyDescent="0.3">
      <c r="A365" s="124"/>
      <c r="B365" s="124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  <c r="AE365" s="124"/>
      <c r="AF365" s="124"/>
      <c r="AG365" s="124"/>
      <c r="AH365" s="124"/>
      <c r="AI365" s="124"/>
      <c r="AJ365" s="124"/>
    </row>
    <row r="366" spans="1:36" x14ac:dyDescent="0.3">
      <c r="A366" s="124"/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  <c r="AE366" s="124"/>
      <c r="AF366" s="124"/>
      <c r="AG366" s="124"/>
      <c r="AH366" s="124"/>
      <c r="AI366" s="124"/>
      <c r="AJ366" s="124"/>
    </row>
    <row r="367" spans="1:36" x14ac:dyDescent="0.3">
      <c r="A367" s="124"/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124"/>
      <c r="AF367" s="124"/>
      <c r="AG367" s="124"/>
      <c r="AH367" s="124"/>
      <c r="AI367" s="124"/>
      <c r="AJ367" s="124"/>
    </row>
    <row r="368" spans="1:36" x14ac:dyDescent="0.3">
      <c r="A368" s="124"/>
      <c r="B368" s="124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  <c r="AE368" s="124"/>
      <c r="AF368" s="124"/>
      <c r="AG368" s="124"/>
      <c r="AH368" s="124"/>
      <c r="AI368" s="124"/>
      <c r="AJ368" s="124"/>
    </row>
    <row r="369" spans="1:36" x14ac:dyDescent="0.3">
      <c r="A369" s="124"/>
      <c r="B369" s="124"/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  <c r="AE369" s="124"/>
      <c r="AF369" s="124"/>
      <c r="AG369" s="124"/>
      <c r="AH369" s="124"/>
      <c r="AI369" s="124"/>
      <c r="AJ369" s="124"/>
    </row>
    <row r="370" spans="1:36" x14ac:dyDescent="0.3">
      <c r="A370" s="124"/>
      <c r="B370" s="124"/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  <c r="AE370" s="124"/>
      <c r="AF370" s="124"/>
      <c r="AG370" s="124"/>
      <c r="AH370" s="124"/>
      <c r="AI370" s="124"/>
      <c r="AJ370" s="124"/>
    </row>
    <row r="371" spans="1:36" x14ac:dyDescent="0.3">
      <c r="A371" s="124"/>
      <c r="B371" s="124"/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  <c r="AE371" s="124"/>
      <c r="AF371" s="124"/>
      <c r="AG371" s="124"/>
      <c r="AH371" s="124"/>
      <c r="AI371" s="124"/>
      <c r="AJ371" s="124"/>
    </row>
    <row r="372" spans="1:36" x14ac:dyDescent="0.3">
      <c r="A372" s="124"/>
      <c r="B372" s="124"/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  <c r="AE372" s="124"/>
      <c r="AF372" s="124"/>
      <c r="AG372" s="124"/>
      <c r="AH372" s="124"/>
      <c r="AI372" s="124"/>
      <c r="AJ372" s="124"/>
    </row>
    <row r="373" spans="1:36" x14ac:dyDescent="0.3">
      <c r="A373" s="124"/>
      <c r="B373" s="124"/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  <c r="AE373" s="124"/>
      <c r="AF373" s="124"/>
      <c r="AG373" s="124"/>
      <c r="AH373" s="124"/>
      <c r="AI373" s="124"/>
      <c r="AJ373" s="124"/>
    </row>
    <row r="374" spans="1:36" x14ac:dyDescent="0.3">
      <c r="A374" s="124"/>
      <c r="B374" s="124"/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C374" s="124"/>
      <c r="AD374" s="124"/>
      <c r="AE374" s="124"/>
      <c r="AF374" s="124"/>
      <c r="AG374" s="124"/>
      <c r="AH374" s="124"/>
      <c r="AI374" s="124"/>
      <c r="AJ374" s="124"/>
    </row>
    <row r="375" spans="1:36" x14ac:dyDescent="0.3">
      <c r="A375" s="124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24"/>
      <c r="AF375" s="124"/>
      <c r="AG375" s="124"/>
      <c r="AH375" s="124"/>
      <c r="AI375" s="124"/>
      <c r="AJ375" s="124"/>
    </row>
    <row r="376" spans="1:36" x14ac:dyDescent="0.3">
      <c r="A376" s="124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C376" s="124"/>
      <c r="AD376" s="124"/>
      <c r="AE376" s="124"/>
      <c r="AF376" s="124"/>
      <c r="AG376" s="124"/>
      <c r="AH376" s="124"/>
      <c r="AI376" s="124"/>
      <c r="AJ376" s="124"/>
    </row>
    <row r="377" spans="1:36" x14ac:dyDescent="0.3">
      <c r="A377" s="124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  <c r="AE377" s="124"/>
      <c r="AF377" s="124"/>
      <c r="AG377" s="124"/>
      <c r="AH377" s="124"/>
      <c r="AI377" s="124"/>
      <c r="AJ377" s="124"/>
    </row>
    <row r="378" spans="1:36" x14ac:dyDescent="0.3">
      <c r="A378" s="124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  <c r="AE378" s="124"/>
      <c r="AF378" s="124"/>
      <c r="AG378" s="124"/>
      <c r="AH378" s="124"/>
      <c r="AI378" s="124"/>
      <c r="AJ378" s="124"/>
    </row>
    <row r="379" spans="1:36" x14ac:dyDescent="0.3">
      <c r="A379" s="124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C379" s="124"/>
      <c r="AD379" s="124"/>
      <c r="AE379" s="124"/>
      <c r="AF379" s="124"/>
      <c r="AG379" s="124"/>
      <c r="AH379" s="124"/>
      <c r="AI379" s="124"/>
      <c r="AJ379" s="124"/>
    </row>
    <row r="380" spans="1:36" x14ac:dyDescent="0.3">
      <c r="A380" s="124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C380" s="124"/>
      <c r="AD380" s="124"/>
      <c r="AE380" s="124"/>
      <c r="AF380" s="124"/>
      <c r="AG380" s="124"/>
      <c r="AH380" s="124"/>
      <c r="AI380" s="124"/>
      <c r="AJ380" s="124"/>
    </row>
    <row r="381" spans="1:36" x14ac:dyDescent="0.3">
      <c r="A381" s="124"/>
      <c r="B381" s="124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  <c r="AE381" s="124"/>
      <c r="AF381" s="124"/>
      <c r="AG381" s="124"/>
      <c r="AH381" s="124"/>
      <c r="AI381" s="124"/>
      <c r="AJ381" s="124"/>
    </row>
    <row r="382" spans="1:36" x14ac:dyDescent="0.3">
      <c r="A382" s="124"/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</row>
    <row r="383" spans="1:36" x14ac:dyDescent="0.3">
      <c r="A383" s="124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</row>
    <row r="384" spans="1:36" x14ac:dyDescent="0.3">
      <c r="A384" s="124"/>
      <c r="B384" s="124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  <c r="AE384" s="124"/>
      <c r="AF384" s="124"/>
      <c r="AG384" s="124"/>
      <c r="AH384" s="124"/>
      <c r="AI384" s="124"/>
      <c r="AJ384" s="124"/>
    </row>
    <row r="385" spans="1:36" x14ac:dyDescent="0.3">
      <c r="A385" s="124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</row>
    <row r="386" spans="1:36" x14ac:dyDescent="0.3">
      <c r="A386" s="124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</row>
    <row r="387" spans="1:36" x14ac:dyDescent="0.3">
      <c r="A387" s="124"/>
      <c r="B387" s="124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C387" s="124"/>
      <c r="AD387" s="124"/>
      <c r="AE387" s="124"/>
      <c r="AF387" s="124"/>
      <c r="AG387" s="124"/>
      <c r="AH387" s="124"/>
      <c r="AI387" s="124"/>
      <c r="AJ387" s="124"/>
    </row>
    <row r="388" spans="1:36" x14ac:dyDescent="0.3">
      <c r="A388" s="124"/>
      <c r="B388" s="124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  <c r="AE388" s="124"/>
      <c r="AF388" s="124"/>
      <c r="AG388" s="124"/>
      <c r="AH388" s="124"/>
      <c r="AI388" s="124"/>
      <c r="AJ388" s="124"/>
    </row>
    <row r="389" spans="1:36" x14ac:dyDescent="0.3">
      <c r="A389" s="124"/>
      <c r="B389" s="124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C389" s="124"/>
      <c r="AD389" s="124"/>
      <c r="AE389" s="124"/>
      <c r="AF389" s="124"/>
      <c r="AG389" s="124"/>
      <c r="AH389" s="124"/>
      <c r="AI389" s="124"/>
      <c r="AJ389" s="124"/>
    </row>
    <row r="390" spans="1:36" x14ac:dyDescent="0.3">
      <c r="A390" s="124"/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C390" s="124"/>
      <c r="AD390" s="124"/>
      <c r="AE390" s="124"/>
      <c r="AF390" s="124"/>
      <c r="AG390" s="124"/>
      <c r="AH390" s="124"/>
      <c r="AI390" s="124"/>
      <c r="AJ390" s="124"/>
    </row>
    <row r="391" spans="1:36" x14ac:dyDescent="0.3">
      <c r="A391" s="124"/>
      <c r="B391" s="124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C391" s="124"/>
      <c r="AD391" s="124"/>
      <c r="AE391" s="124"/>
      <c r="AF391" s="124"/>
      <c r="AG391" s="124"/>
      <c r="AH391" s="124"/>
      <c r="AI391" s="124"/>
      <c r="AJ391" s="124"/>
    </row>
    <row r="392" spans="1:36" x14ac:dyDescent="0.3">
      <c r="A392" s="124"/>
      <c r="B392" s="124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C392" s="124"/>
      <c r="AD392" s="124"/>
      <c r="AE392" s="124"/>
      <c r="AF392" s="124"/>
      <c r="AG392" s="124"/>
      <c r="AH392" s="124"/>
      <c r="AI392" s="124"/>
      <c r="AJ392" s="124"/>
    </row>
    <row r="393" spans="1:36" x14ac:dyDescent="0.3">
      <c r="A393" s="124"/>
      <c r="B393" s="124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  <c r="AE393" s="124"/>
      <c r="AF393" s="124"/>
      <c r="AG393" s="124"/>
      <c r="AH393" s="124"/>
      <c r="AI393" s="124"/>
      <c r="AJ393" s="124"/>
    </row>
    <row r="394" spans="1:36" x14ac:dyDescent="0.3">
      <c r="A394" s="124"/>
      <c r="B394" s="124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  <c r="AE394" s="124"/>
      <c r="AF394" s="124"/>
      <c r="AG394" s="124"/>
      <c r="AH394" s="124"/>
      <c r="AI394" s="124"/>
      <c r="AJ394" s="124"/>
    </row>
    <row r="395" spans="1:36" x14ac:dyDescent="0.3">
      <c r="A395" s="124"/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C395" s="124"/>
      <c r="AD395" s="124"/>
      <c r="AE395" s="124"/>
      <c r="AF395" s="124"/>
      <c r="AG395" s="124"/>
      <c r="AH395" s="124"/>
      <c r="AI395" s="124"/>
      <c r="AJ395" s="124"/>
    </row>
    <row r="396" spans="1:36" x14ac:dyDescent="0.3">
      <c r="A396" s="124"/>
      <c r="B396" s="124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C396" s="124"/>
      <c r="AD396" s="124"/>
      <c r="AE396" s="124"/>
      <c r="AF396" s="124"/>
      <c r="AG396" s="124"/>
      <c r="AH396" s="124"/>
      <c r="AI396" s="124"/>
      <c r="AJ396" s="124"/>
    </row>
    <row r="397" spans="1:36" x14ac:dyDescent="0.3">
      <c r="A397" s="124"/>
      <c r="B397" s="124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C397" s="124"/>
      <c r="AD397" s="124"/>
      <c r="AE397" s="124"/>
      <c r="AF397" s="124"/>
      <c r="AG397" s="124"/>
      <c r="AH397" s="124"/>
      <c r="AI397" s="124"/>
      <c r="AJ397" s="124"/>
    </row>
    <row r="398" spans="1:36" x14ac:dyDescent="0.3">
      <c r="A398" s="124"/>
      <c r="B398" s="124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C398" s="124"/>
      <c r="AD398" s="124"/>
      <c r="AE398" s="124"/>
      <c r="AF398" s="124"/>
      <c r="AG398" s="124"/>
      <c r="AH398" s="124"/>
      <c r="AI398" s="124"/>
      <c r="AJ398" s="124"/>
    </row>
    <row r="399" spans="1:36" x14ac:dyDescent="0.3">
      <c r="A399" s="124"/>
      <c r="B399" s="124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  <c r="AE399" s="124"/>
      <c r="AF399" s="124"/>
      <c r="AG399" s="124"/>
      <c r="AH399" s="124"/>
      <c r="AI399" s="124"/>
      <c r="AJ399" s="124"/>
    </row>
    <row r="400" spans="1:36" x14ac:dyDescent="0.3">
      <c r="A400" s="124"/>
      <c r="B400" s="124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  <c r="AE400" s="124"/>
      <c r="AF400" s="124"/>
      <c r="AG400" s="124"/>
      <c r="AH400" s="124"/>
      <c r="AI400" s="124"/>
      <c r="AJ400" s="124"/>
    </row>
    <row r="401" spans="1:36" x14ac:dyDescent="0.3">
      <c r="A401" s="124"/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C401" s="124"/>
      <c r="AD401" s="124"/>
      <c r="AE401" s="124"/>
      <c r="AF401" s="124"/>
      <c r="AG401" s="124"/>
      <c r="AH401" s="124"/>
      <c r="AI401" s="124"/>
      <c r="AJ401" s="124"/>
    </row>
    <row r="402" spans="1:36" x14ac:dyDescent="0.3">
      <c r="A402" s="124"/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  <c r="AE402" s="124"/>
      <c r="AF402" s="124"/>
      <c r="AG402" s="124"/>
      <c r="AH402" s="124"/>
      <c r="AI402" s="124"/>
      <c r="AJ402" s="124"/>
    </row>
    <row r="403" spans="1:36" x14ac:dyDescent="0.3">
      <c r="A403" s="124"/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  <c r="AE403" s="124"/>
      <c r="AF403" s="124"/>
      <c r="AG403" s="124"/>
      <c r="AH403" s="124"/>
      <c r="AI403" s="124"/>
      <c r="AJ403" s="124"/>
    </row>
    <row r="404" spans="1:36" x14ac:dyDescent="0.3">
      <c r="A404" s="124"/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C404" s="124"/>
      <c r="AD404" s="124"/>
      <c r="AE404" s="124"/>
      <c r="AF404" s="124"/>
      <c r="AG404" s="124"/>
      <c r="AH404" s="124"/>
      <c r="AI404" s="124"/>
      <c r="AJ404" s="124"/>
    </row>
    <row r="405" spans="1:36" x14ac:dyDescent="0.3">
      <c r="A405" s="124"/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  <c r="AC405" s="124"/>
      <c r="AD405" s="124"/>
      <c r="AE405" s="124"/>
      <c r="AF405" s="124"/>
      <c r="AG405" s="124"/>
      <c r="AH405" s="124"/>
      <c r="AI405" s="124"/>
      <c r="AJ405" s="124"/>
    </row>
    <row r="406" spans="1:36" x14ac:dyDescent="0.3">
      <c r="A406" s="124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  <c r="AF406" s="124"/>
      <c r="AG406" s="124"/>
      <c r="AH406" s="124"/>
      <c r="AI406" s="124"/>
      <c r="AJ406" s="124"/>
    </row>
    <row r="407" spans="1:36" x14ac:dyDescent="0.3">
      <c r="A407" s="124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  <c r="AF407" s="124"/>
      <c r="AG407" s="124"/>
      <c r="AH407" s="124"/>
      <c r="AI407" s="124"/>
      <c r="AJ407" s="124"/>
    </row>
    <row r="408" spans="1:36" x14ac:dyDescent="0.3">
      <c r="A408" s="124"/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C408" s="124"/>
      <c r="AD408" s="124"/>
      <c r="AE408" s="124"/>
      <c r="AF408" s="124"/>
      <c r="AG408" s="124"/>
      <c r="AH408" s="124"/>
      <c r="AI408" s="124"/>
      <c r="AJ408" s="124"/>
    </row>
    <row r="409" spans="1:36" x14ac:dyDescent="0.3">
      <c r="A409" s="124"/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  <c r="AE409" s="124"/>
      <c r="AF409" s="124"/>
      <c r="AG409" s="124"/>
      <c r="AH409" s="124"/>
      <c r="AI409" s="124"/>
      <c r="AJ409" s="124"/>
    </row>
    <row r="410" spans="1:36" x14ac:dyDescent="0.3">
      <c r="A410" s="124"/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  <c r="AE410" s="124"/>
      <c r="AF410" s="124"/>
      <c r="AG410" s="124"/>
      <c r="AH410" s="124"/>
      <c r="AI410" s="124"/>
      <c r="AJ410" s="124"/>
    </row>
    <row r="411" spans="1:36" x14ac:dyDescent="0.3">
      <c r="A411" s="124"/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C411" s="124"/>
      <c r="AD411" s="124"/>
      <c r="AE411" s="124"/>
      <c r="AF411" s="124"/>
      <c r="AG411" s="124"/>
      <c r="AH411" s="124"/>
      <c r="AI411" s="124"/>
      <c r="AJ411" s="124"/>
    </row>
    <row r="412" spans="1:36" x14ac:dyDescent="0.3">
      <c r="A412" s="124"/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C412" s="124"/>
      <c r="AD412" s="124"/>
      <c r="AE412" s="124"/>
      <c r="AF412" s="124"/>
      <c r="AG412" s="124"/>
      <c r="AH412" s="124"/>
      <c r="AI412" s="124"/>
      <c r="AJ412" s="124"/>
    </row>
    <row r="413" spans="1:36" x14ac:dyDescent="0.3">
      <c r="A413" s="124"/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124"/>
      <c r="AF413" s="124"/>
      <c r="AG413" s="124"/>
      <c r="AH413" s="124"/>
      <c r="AI413" s="124"/>
      <c r="AJ413" s="124"/>
    </row>
    <row r="414" spans="1:36" x14ac:dyDescent="0.3">
      <c r="A414" s="124"/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  <c r="AE414" s="124"/>
      <c r="AF414" s="124"/>
      <c r="AG414" s="124"/>
      <c r="AH414" s="124"/>
      <c r="AI414" s="124"/>
      <c r="AJ414" s="124"/>
    </row>
    <row r="415" spans="1:36" x14ac:dyDescent="0.3">
      <c r="A415" s="124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C415" s="124"/>
      <c r="AD415" s="124"/>
      <c r="AE415" s="124"/>
      <c r="AF415" s="124"/>
      <c r="AG415" s="124"/>
      <c r="AH415" s="124"/>
      <c r="AI415" s="124"/>
      <c r="AJ415" s="124"/>
    </row>
    <row r="416" spans="1:36" x14ac:dyDescent="0.3">
      <c r="A416" s="124"/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C416" s="124"/>
      <c r="AD416" s="124"/>
      <c r="AE416" s="124"/>
      <c r="AF416" s="124"/>
      <c r="AG416" s="124"/>
      <c r="AH416" s="124"/>
      <c r="AI416" s="124"/>
      <c r="AJ416" s="124"/>
    </row>
    <row r="417" spans="1:36" x14ac:dyDescent="0.3">
      <c r="A417" s="124"/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  <c r="AE417" s="124"/>
      <c r="AF417" s="124"/>
      <c r="AG417" s="124"/>
      <c r="AH417" s="124"/>
      <c r="AI417" s="124"/>
      <c r="AJ417" s="124"/>
    </row>
    <row r="418" spans="1:36" x14ac:dyDescent="0.3">
      <c r="A418" s="124"/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C418" s="124"/>
      <c r="AD418" s="124"/>
      <c r="AE418" s="124"/>
      <c r="AF418" s="124"/>
      <c r="AG418" s="124"/>
      <c r="AH418" s="124"/>
      <c r="AI418" s="124"/>
      <c r="AJ418" s="124"/>
    </row>
    <row r="419" spans="1:36" x14ac:dyDescent="0.3">
      <c r="A419" s="124"/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  <c r="AE419" s="124"/>
      <c r="AF419" s="124"/>
      <c r="AG419" s="124"/>
      <c r="AH419" s="124"/>
      <c r="AI419" s="124"/>
      <c r="AJ419" s="124"/>
    </row>
    <row r="420" spans="1:36" x14ac:dyDescent="0.3">
      <c r="A420" s="124"/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C420" s="124"/>
      <c r="AD420" s="124"/>
      <c r="AE420" s="124"/>
      <c r="AF420" s="124"/>
      <c r="AG420" s="124"/>
      <c r="AH420" s="124"/>
      <c r="AI420" s="124"/>
      <c r="AJ420" s="124"/>
    </row>
    <row r="421" spans="1:36" x14ac:dyDescent="0.3">
      <c r="A421" s="124"/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  <c r="AE421" s="124"/>
      <c r="AF421" s="124"/>
      <c r="AG421" s="124"/>
      <c r="AH421" s="124"/>
      <c r="AI421" s="124"/>
      <c r="AJ421" s="124"/>
    </row>
    <row r="422" spans="1:36" x14ac:dyDescent="0.3">
      <c r="A422" s="124"/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C422" s="124"/>
      <c r="AD422" s="124"/>
      <c r="AE422" s="124"/>
      <c r="AF422" s="124"/>
      <c r="AG422" s="124"/>
      <c r="AH422" s="124"/>
      <c r="AI422" s="124"/>
      <c r="AJ422" s="124"/>
    </row>
    <row r="423" spans="1:36" x14ac:dyDescent="0.3">
      <c r="A423" s="124"/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C423" s="124"/>
      <c r="AD423" s="124"/>
      <c r="AE423" s="124"/>
      <c r="AF423" s="124"/>
      <c r="AG423" s="124"/>
      <c r="AH423" s="124"/>
      <c r="AI423" s="124"/>
      <c r="AJ423" s="124"/>
    </row>
    <row r="424" spans="1:36" x14ac:dyDescent="0.3">
      <c r="A424" s="124"/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C424" s="124"/>
      <c r="AD424" s="124"/>
      <c r="AE424" s="124"/>
      <c r="AF424" s="124"/>
      <c r="AG424" s="124"/>
      <c r="AH424" s="124"/>
      <c r="AI424" s="124"/>
      <c r="AJ424" s="124"/>
    </row>
    <row r="425" spans="1:36" x14ac:dyDescent="0.3">
      <c r="A425" s="124"/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C425" s="124"/>
      <c r="AD425" s="124"/>
      <c r="AE425" s="124"/>
      <c r="AF425" s="124"/>
      <c r="AG425" s="124"/>
      <c r="AH425" s="124"/>
      <c r="AI425" s="124"/>
      <c r="AJ425" s="124"/>
    </row>
    <row r="426" spans="1:36" x14ac:dyDescent="0.3">
      <c r="A426" s="124"/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  <c r="AE426" s="124"/>
      <c r="AF426" s="124"/>
      <c r="AG426" s="124"/>
      <c r="AH426" s="124"/>
      <c r="AI426" s="124"/>
      <c r="AJ426" s="124"/>
    </row>
    <row r="427" spans="1:36" x14ac:dyDescent="0.3">
      <c r="A427" s="124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24"/>
      <c r="AF427" s="124"/>
      <c r="AG427" s="124"/>
      <c r="AH427" s="124"/>
      <c r="AI427" s="124"/>
      <c r="AJ427" s="124"/>
    </row>
    <row r="428" spans="1:36" x14ac:dyDescent="0.3">
      <c r="A428" s="124"/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  <c r="AE428" s="124"/>
      <c r="AF428" s="124"/>
      <c r="AG428" s="124"/>
      <c r="AH428" s="124"/>
      <c r="AI428" s="124"/>
      <c r="AJ428" s="124"/>
    </row>
    <row r="429" spans="1:36" x14ac:dyDescent="0.3">
      <c r="A429" s="124"/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C429" s="124"/>
      <c r="AD429" s="124"/>
      <c r="AE429" s="124"/>
      <c r="AF429" s="124"/>
      <c r="AG429" s="124"/>
      <c r="AH429" s="124"/>
      <c r="AI429" s="124"/>
      <c r="AJ429" s="124"/>
    </row>
    <row r="430" spans="1:36" x14ac:dyDescent="0.3">
      <c r="A430" s="124"/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C430" s="124"/>
      <c r="AD430" s="124"/>
      <c r="AE430" s="124"/>
      <c r="AF430" s="124"/>
      <c r="AG430" s="124"/>
      <c r="AH430" s="124"/>
      <c r="AI430" s="124"/>
      <c r="AJ430" s="124"/>
    </row>
    <row r="431" spans="1:36" x14ac:dyDescent="0.3">
      <c r="A431" s="124"/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C431" s="124"/>
      <c r="AD431" s="124"/>
      <c r="AE431" s="124"/>
      <c r="AF431" s="124"/>
      <c r="AG431" s="124"/>
      <c r="AH431" s="124"/>
      <c r="AI431" s="124"/>
      <c r="AJ431" s="124"/>
    </row>
    <row r="432" spans="1:36" x14ac:dyDescent="0.3">
      <c r="A432" s="124"/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C432" s="124"/>
      <c r="AD432" s="124"/>
      <c r="AE432" s="124"/>
      <c r="AF432" s="124"/>
      <c r="AG432" s="124"/>
      <c r="AH432" s="124"/>
      <c r="AI432" s="124"/>
      <c r="AJ432" s="124"/>
    </row>
    <row r="433" spans="1:36" x14ac:dyDescent="0.3">
      <c r="A433" s="124"/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  <c r="AE433" s="124"/>
      <c r="AF433" s="124"/>
      <c r="AG433" s="124"/>
      <c r="AH433" s="124"/>
      <c r="AI433" s="124"/>
      <c r="AJ433" s="124"/>
    </row>
    <row r="434" spans="1:36" x14ac:dyDescent="0.3">
      <c r="A434" s="124"/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  <c r="AE434" s="124"/>
      <c r="AF434" s="124"/>
      <c r="AG434" s="124"/>
      <c r="AH434" s="124"/>
      <c r="AI434" s="124"/>
      <c r="AJ434" s="124"/>
    </row>
    <row r="435" spans="1:36" x14ac:dyDescent="0.3">
      <c r="A435" s="124"/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C435" s="124"/>
      <c r="AD435" s="124"/>
      <c r="AE435" s="124"/>
      <c r="AF435" s="124"/>
      <c r="AG435" s="124"/>
      <c r="AH435" s="124"/>
      <c r="AI435" s="124"/>
      <c r="AJ435" s="124"/>
    </row>
    <row r="436" spans="1:36" x14ac:dyDescent="0.3">
      <c r="A436" s="124"/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C436" s="124"/>
      <c r="AD436" s="124"/>
      <c r="AE436" s="124"/>
      <c r="AF436" s="124"/>
      <c r="AG436" s="124"/>
      <c r="AH436" s="124"/>
      <c r="AI436" s="124"/>
      <c r="AJ436" s="124"/>
    </row>
    <row r="437" spans="1:36" x14ac:dyDescent="0.3">
      <c r="A437" s="124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  <c r="AE437" s="124"/>
      <c r="AF437" s="124"/>
      <c r="AG437" s="124"/>
      <c r="AH437" s="124"/>
      <c r="AI437" s="124"/>
      <c r="AJ437" s="124"/>
    </row>
    <row r="438" spans="1:36" x14ac:dyDescent="0.3">
      <c r="A438" s="124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4"/>
      <c r="AH438" s="124"/>
      <c r="AI438" s="124"/>
      <c r="AJ438" s="124"/>
    </row>
    <row r="439" spans="1:36" x14ac:dyDescent="0.3">
      <c r="A439" s="124"/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  <c r="AE439" s="124"/>
      <c r="AF439" s="124"/>
      <c r="AG439" s="124"/>
      <c r="AH439" s="124"/>
      <c r="AI439" s="124"/>
      <c r="AJ439" s="124"/>
    </row>
    <row r="440" spans="1:36" x14ac:dyDescent="0.3">
      <c r="A440" s="124"/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C440" s="124"/>
      <c r="AD440" s="124"/>
      <c r="AE440" s="124"/>
      <c r="AF440" s="124"/>
      <c r="AG440" s="124"/>
      <c r="AH440" s="124"/>
      <c r="AI440" s="124"/>
      <c r="AJ440" s="124"/>
    </row>
    <row r="441" spans="1:36" x14ac:dyDescent="0.3">
      <c r="A441" s="124"/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  <c r="AE441" s="124"/>
      <c r="AF441" s="124"/>
      <c r="AG441" s="124"/>
      <c r="AH441" s="124"/>
      <c r="AI441" s="124"/>
      <c r="AJ441" s="124"/>
    </row>
    <row r="442" spans="1:36" x14ac:dyDescent="0.3">
      <c r="A442" s="124"/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C442" s="124"/>
      <c r="AD442" s="124"/>
      <c r="AE442" s="124"/>
      <c r="AF442" s="124"/>
      <c r="AG442" s="124"/>
      <c r="AH442" s="124"/>
      <c r="AI442" s="124"/>
      <c r="AJ442" s="124"/>
    </row>
    <row r="443" spans="1:36" x14ac:dyDescent="0.3">
      <c r="A443" s="124"/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  <c r="AE443" s="124"/>
      <c r="AF443" s="124"/>
      <c r="AG443" s="124"/>
      <c r="AH443" s="124"/>
      <c r="AI443" s="124"/>
      <c r="AJ443" s="124"/>
    </row>
    <row r="444" spans="1:36" x14ac:dyDescent="0.3">
      <c r="A444" s="124"/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  <c r="AE444" s="124"/>
      <c r="AF444" s="124"/>
      <c r="AG444" s="124"/>
      <c r="AH444" s="124"/>
      <c r="AI444" s="124"/>
      <c r="AJ444" s="124"/>
    </row>
    <row r="445" spans="1:36" x14ac:dyDescent="0.3">
      <c r="A445" s="124"/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C445" s="124"/>
      <c r="AD445" s="124"/>
      <c r="AE445" s="124"/>
      <c r="AF445" s="124"/>
      <c r="AG445" s="124"/>
      <c r="AH445" s="124"/>
      <c r="AI445" s="124"/>
      <c r="AJ445" s="124"/>
    </row>
    <row r="446" spans="1:36" x14ac:dyDescent="0.3">
      <c r="A446" s="124"/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C446" s="124"/>
      <c r="AD446" s="124"/>
      <c r="AE446" s="124"/>
      <c r="AF446" s="124"/>
      <c r="AG446" s="124"/>
      <c r="AH446" s="124"/>
      <c r="AI446" s="124"/>
      <c r="AJ446" s="124"/>
    </row>
    <row r="447" spans="1:36" x14ac:dyDescent="0.3">
      <c r="A447" s="124"/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C447" s="124"/>
      <c r="AD447" s="124"/>
      <c r="AE447" s="124"/>
      <c r="AF447" s="124"/>
      <c r="AG447" s="124"/>
      <c r="AH447" s="124"/>
      <c r="AI447" s="124"/>
      <c r="AJ447" s="124"/>
    </row>
    <row r="448" spans="1:36" x14ac:dyDescent="0.3">
      <c r="A448" s="124"/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  <c r="AE448" s="124"/>
      <c r="AF448" s="124"/>
      <c r="AG448" s="124"/>
      <c r="AH448" s="124"/>
      <c r="AI448" s="124"/>
      <c r="AJ448" s="124"/>
    </row>
    <row r="449" spans="1:36" x14ac:dyDescent="0.3">
      <c r="A449" s="124"/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  <c r="AE449" s="124"/>
      <c r="AF449" s="124"/>
      <c r="AG449" s="124"/>
      <c r="AH449" s="124"/>
      <c r="AI449" s="124"/>
      <c r="AJ449" s="124"/>
    </row>
    <row r="450" spans="1:36" x14ac:dyDescent="0.3">
      <c r="A450" s="124"/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4"/>
      <c r="AD450" s="124"/>
      <c r="AE450" s="124"/>
      <c r="AF450" s="124"/>
      <c r="AG450" s="124"/>
      <c r="AH450" s="124"/>
      <c r="AI450" s="124"/>
      <c r="AJ450" s="124"/>
    </row>
    <row r="451" spans="1:36" x14ac:dyDescent="0.3">
      <c r="A451" s="124"/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C451" s="124"/>
      <c r="AD451" s="124"/>
      <c r="AE451" s="124"/>
      <c r="AF451" s="124"/>
      <c r="AG451" s="124"/>
      <c r="AH451" s="124"/>
      <c r="AI451" s="124"/>
      <c r="AJ451" s="124"/>
    </row>
    <row r="452" spans="1:36" x14ac:dyDescent="0.3">
      <c r="A452" s="124"/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C452" s="124"/>
      <c r="AD452" s="124"/>
      <c r="AE452" s="124"/>
      <c r="AF452" s="124"/>
      <c r="AG452" s="124"/>
      <c r="AH452" s="124"/>
      <c r="AI452" s="124"/>
      <c r="AJ452" s="124"/>
    </row>
    <row r="453" spans="1:36" x14ac:dyDescent="0.3">
      <c r="A453" s="124"/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C453" s="124"/>
      <c r="AD453" s="124"/>
      <c r="AE453" s="124"/>
      <c r="AF453" s="124"/>
      <c r="AG453" s="124"/>
      <c r="AH453" s="124"/>
      <c r="AI453" s="124"/>
      <c r="AJ453" s="124"/>
    </row>
    <row r="454" spans="1:36" x14ac:dyDescent="0.3">
      <c r="A454" s="124"/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C454" s="124"/>
      <c r="AD454" s="124"/>
      <c r="AE454" s="124"/>
      <c r="AF454" s="124"/>
      <c r="AG454" s="124"/>
      <c r="AH454" s="124"/>
      <c r="AI454" s="124"/>
      <c r="AJ454" s="124"/>
    </row>
    <row r="455" spans="1:36" x14ac:dyDescent="0.3">
      <c r="A455" s="124"/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  <c r="AE455" s="124"/>
      <c r="AF455" s="124"/>
      <c r="AG455" s="124"/>
      <c r="AH455" s="124"/>
      <c r="AI455" s="124"/>
      <c r="AJ455" s="124"/>
    </row>
    <row r="456" spans="1:36" x14ac:dyDescent="0.3">
      <c r="A456" s="124"/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  <c r="AE456" s="124"/>
      <c r="AF456" s="124"/>
      <c r="AG456" s="124"/>
      <c r="AH456" s="124"/>
      <c r="AI456" s="124"/>
      <c r="AJ456" s="124"/>
    </row>
    <row r="457" spans="1:36" x14ac:dyDescent="0.3">
      <c r="A457" s="124"/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C457" s="124"/>
      <c r="AD457" s="124"/>
      <c r="AE457" s="124"/>
      <c r="AF457" s="124"/>
      <c r="AG457" s="124"/>
      <c r="AH457" s="124"/>
      <c r="AI457" s="124"/>
      <c r="AJ457" s="124"/>
    </row>
    <row r="458" spans="1:36" x14ac:dyDescent="0.3">
      <c r="A458" s="124"/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  <c r="AE458" s="124"/>
      <c r="AF458" s="124"/>
      <c r="AG458" s="124"/>
      <c r="AH458" s="124"/>
      <c r="AI458" s="124"/>
      <c r="AJ458" s="124"/>
    </row>
    <row r="459" spans="1:36" x14ac:dyDescent="0.3">
      <c r="A459" s="124"/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C459" s="124"/>
      <c r="AD459" s="124"/>
      <c r="AE459" s="124"/>
      <c r="AF459" s="124"/>
      <c r="AG459" s="124"/>
      <c r="AH459" s="124"/>
      <c r="AI459" s="124"/>
      <c r="AJ459" s="124"/>
    </row>
    <row r="460" spans="1:36" x14ac:dyDescent="0.3">
      <c r="A460" s="124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  <c r="AE460" s="124"/>
      <c r="AF460" s="124"/>
      <c r="AG460" s="124"/>
      <c r="AH460" s="124"/>
      <c r="AI460" s="124"/>
      <c r="AJ460" s="124"/>
    </row>
    <row r="461" spans="1:36" x14ac:dyDescent="0.3">
      <c r="A461" s="124"/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  <c r="AE461" s="124"/>
      <c r="AF461" s="124"/>
      <c r="AG461" s="124"/>
      <c r="AH461" s="124"/>
      <c r="AI461" s="124"/>
      <c r="AJ461" s="124"/>
    </row>
    <row r="462" spans="1:36" x14ac:dyDescent="0.3">
      <c r="A462" s="124"/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C462" s="124"/>
      <c r="AD462" s="124"/>
      <c r="AE462" s="124"/>
      <c r="AF462" s="124"/>
      <c r="AG462" s="124"/>
      <c r="AH462" s="124"/>
      <c r="AI462" s="124"/>
      <c r="AJ462" s="124"/>
    </row>
    <row r="463" spans="1:36" x14ac:dyDescent="0.3">
      <c r="A463" s="124"/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  <c r="AE463" s="124"/>
      <c r="AF463" s="124"/>
      <c r="AG463" s="124"/>
      <c r="AH463" s="124"/>
      <c r="AI463" s="124"/>
      <c r="AJ463" s="124"/>
    </row>
    <row r="464" spans="1:36" x14ac:dyDescent="0.3">
      <c r="A464" s="124"/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C464" s="124"/>
      <c r="AD464" s="124"/>
      <c r="AE464" s="124"/>
      <c r="AF464" s="124"/>
      <c r="AG464" s="124"/>
      <c r="AH464" s="124"/>
      <c r="AI464" s="124"/>
      <c r="AJ464" s="124"/>
    </row>
    <row r="465" spans="1:36" x14ac:dyDescent="0.3">
      <c r="A465" s="124"/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  <c r="AE465" s="124"/>
      <c r="AF465" s="124"/>
      <c r="AG465" s="124"/>
      <c r="AH465" s="124"/>
      <c r="AI465" s="124"/>
      <c r="AJ465" s="124"/>
    </row>
    <row r="466" spans="1:36" x14ac:dyDescent="0.3">
      <c r="A466" s="124"/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C466" s="124"/>
      <c r="AD466" s="124"/>
      <c r="AE466" s="124"/>
      <c r="AF466" s="124"/>
      <c r="AG466" s="124"/>
      <c r="AH466" s="124"/>
      <c r="AI466" s="124"/>
      <c r="AJ466" s="124"/>
    </row>
    <row r="467" spans="1:36" x14ac:dyDescent="0.3">
      <c r="A467" s="124"/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  <c r="AE467" s="124"/>
      <c r="AF467" s="124"/>
      <c r="AG467" s="124"/>
      <c r="AH467" s="124"/>
      <c r="AI467" s="124"/>
      <c r="AJ467" s="124"/>
    </row>
    <row r="468" spans="1:36" x14ac:dyDescent="0.3">
      <c r="A468" s="124"/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C468" s="124"/>
      <c r="AD468" s="124"/>
      <c r="AE468" s="124"/>
      <c r="AF468" s="124"/>
      <c r="AG468" s="124"/>
      <c r="AH468" s="124"/>
      <c r="AI468" s="124"/>
      <c r="AJ468" s="124"/>
    </row>
    <row r="469" spans="1:36" x14ac:dyDescent="0.3">
      <c r="A469" s="124"/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  <c r="AE469" s="124"/>
      <c r="AF469" s="124"/>
      <c r="AG469" s="124"/>
      <c r="AH469" s="124"/>
      <c r="AI469" s="124"/>
      <c r="AJ469" s="124"/>
    </row>
    <row r="470" spans="1:36" x14ac:dyDescent="0.3">
      <c r="A470" s="124"/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C470" s="124"/>
      <c r="AD470" s="124"/>
      <c r="AE470" s="124"/>
      <c r="AF470" s="124"/>
      <c r="AG470" s="124"/>
      <c r="AH470" s="124"/>
      <c r="AI470" s="124"/>
      <c r="AJ470" s="124"/>
    </row>
    <row r="471" spans="1:36" x14ac:dyDescent="0.3">
      <c r="A471" s="124"/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C471" s="124"/>
      <c r="AD471" s="124"/>
      <c r="AE471" s="124"/>
      <c r="AF471" s="124"/>
      <c r="AG471" s="124"/>
      <c r="AH471" s="124"/>
      <c r="AI471" s="124"/>
      <c r="AJ471" s="124"/>
    </row>
    <row r="472" spans="1:36" x14ac:dyDescent="0.3">
      <c r="A472" s="124"/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C472" s="124"/>
      <c r="AD472" s="124"/>
      <c r="AE472" s="124"/>
      <c r="AF472" s="124"/>
      <c r="AG472" s="124"/>
      <c r="AH472" s="124"/>
      <c r="AI472" s="124"/>
      <c r="AJ472" s="124"/>
    </row>
    <row r="473" spans="1:36" x14ac:dyDescent="0.3">
      <c r="A473" s="124"/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124"/>
      <c r="AF473" s="124"/>
      <c r="AG473" s="124"/>
      <c r="AH473" s="124"/>
      <c r="AI473" s="124"/>
      <c r="AJ473" s="124"/>
    </row>
    <row r="474" spans="1:36" x14ac:dyDescent="0.3">
      <c r="A474" s="124"/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C474" s="124"/>
      <c r="AD474" s="124"/>
      <c r="AE474" s="124"/>
      <c r="AF474" s="124"/>
      <c r="AG474" s="124"/>
      <c r="AH474" s="124"/>
      <c r="AI474" s="124"/>
      <c r="AJ474" s="124"/>
    </row>
    <row r="475" spans="1:36" x14ac:dyDescent="0.3">
      <c r="A475" s="124"/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  <c r="AE475" s="124"/>
      <c r="AF475" s="124"/>
      <c r="AG475" s="124"/>
      <c r="AH475" s="124"/>
      <c r="AI475" s="124"/>
      <c r="AJ475" s="124"/>
    </row>
    <row r="476" spans="1:36" x14ac:dyDescent="0.3">
      <c r="A476" s="124"/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  <c r="AE476" s="124"/>
      <c r="AF476" s="124"/>
      <c r="AG476" s="124"/>
      <c r="AH476" s="124"/>
      <c r="AI476" s="124"/>
      <c r="AJ476" s="124"/>
    </row>
    <row r="477" spans="1:36" x14ac:dyDescent="0.3">
      <c r="A477" s="124"/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  <c r="AE477" s="124"/>
      <c r="AF477" s="124"/>
      <c r="AG477" s="124"/>
      <c r="AH477" s="124"/>
      <c r="AI477" s="124"/>
      <c r="AJ477" s="124"/>
    </row>
    <row r="478" spans="1:36" x14ac:dyDescent="0.3">
      <c r="A478" s="124"/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C478" s="124"/>
      <c r="AD478" s="124"/>
      <c r="AE478" s="124"/>
      <c r="AF478" s="124"/>
      <c r="AG478" s="124"/>
      <c r="AH478" s="124"/>
      <c r="AI478" s="124"/>
      <c r="AJ478" s="124"/>
    </row>
    <row r="479" spans="1:36" x14ac:dyDescent="0.3">
      <c r="A479" s="124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24"/>
      <c r="AF479" s="124"/>
      <c r="AG479" s="124"/>
      <c r="AH479" s="124"/>
      <c r="AI479" s="124"/>
      <c r="AJ479" s="124"/>
    </row>
    <row r="480" spans="1:36" x14ac:dyDescent="0.3">
      <c r="A480" s="124"/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C480" s="124"/>
      <c r="AD480" s="124"/>
      <c r="AE480" s="124"/>
      <c r="AF480" s="124"/>
      <c r="AG480" s="124"/>
      <c r="AH480" s="124"/>
      <c r="AI480" s="124"/>
      <c r="AJ480" s="124"/>
    </row>
    <row r="481" spans="1:36" x14ac:dyDescent="0.3">
      <c r="A481" s="124"/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C481" s="124"/>
      <c r="AD481" s="124"/>
      <c r="AE481" s="124"/>
      <c r="AF481" s="124"/>
      <c r="AG481" s="124"/>
      <c r="AH481" s="124"/>
      <c r="AI481" s="124"/>
      <c r="AJ481" s="124"/>
    </row>
    <row r="482" spans="1:36" x14ac:dyDescent="0.3">
      <c r="A482" s="124"/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  <c r="AE482" s="124"/>
      <c r="AF482" s="124"/>
      <c r="AG482" s="124"/>
      <c r="AH482" s="124"/>
      <c r="AI482" s="124"/>
      <c r="AJ482" s="124"/>
    </row>
    <row r="483" spans="1:36" x14ac:dyDescent="0.3">
      <c r="A483" s="124"/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C483" s="124"/>
      <c r="AD483" s="124"/>
      <c r="AE483" s="124"/>
      <c r="AF483" s="124"/>
      <c r="AG483" s="124"/>
      <c r="AH483" s="124"/>
      <c r="AI483" s="124"/>
      <c r="AJ483" s="124"/>
    </row>
    <row r="484" spans="1:36" x14ac:dyDescent="0.3">
      <c r="A484" s="124"/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C484" s="124"/>
      <c r="AD484" s="124"/>
      <c r="AE484" s="124"/>
      <c r="AF484" s="124"/>
      <c r="AG484" s="124"/>
      <c r="AH484" s="124"/>
      <c r="AI484" s="124"/>
      <c r="AJ484" s="124"/>
    </row>
    <row r="485" spans="1:36" x14ac:dyDescent="0.3">
      <c r="A485" s="124"/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  <c r="AE485" s="124"/>
      <c r="AF485" s="124"/>
      <c r="AG485" s="124"/>
      <c r="AH485" s="124"/>
      <c r="AI485" s="124"/>
      <c r="AJ485" s="124"/>
    </row>
    <row r="486" spans="1:36" x14ac:dyDescent="0.3">
      <c r="A486" s="124"/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C486" s="124"/>
      <c r="AD486" s="124"/>
      <c r="AE486" s="124"/>
      <c r="AF486" s="124"/>
      <c r="AG486" s="124"/>
      <c r="AH486" s="124"/>
      <c r="AI486" s="124"/>
      <c r="AJ486" s="124"/>
    </row>
    <row r="487" spans="1:36" x14ac:dyDescent="0.3">
      <c r="A487" s="124"/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C487" s="124"/>
      <c r="AD487" s="124"/>
      <c r="AE487" s="124"/>
      <c r="AF487" s="124"/>
      <c r="AG487" s="124"/>
      <c r="AH487" s="124"/>
      <c r="AI487" s="124"/>
      <c r="AJ487" s="124"/>
    </row>
    <row r="488" spans="1:36" x14ac:dyDescent="0.3">
      <c r="A488" s="124"/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C488" s="124"/>
      <c r="AD488" s="124"/>
      <c r="AE488" s="124"/>
      <c r="AF488" s="124"/>
      <c r="AG488" s="124"/>
      <c r="AH488" s="124"/>
      <c r="AI488" s="124"/>
      <c r="AJ488" s="124"/>
    </row>
    <row r="489" spans="1:36" x14ac:dyDescent="0.3">
      <c r="A489" s="124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  <c r="AE489" s="124"/>
      <c r="AF489" s="124"/>
      <c r="AG489" s="124"/>
      <c r="AH489" s="124"/>
      <c r="AI489" s="124"/>
      <c r="AJ489" s="124"/>
    </row>
    <row r="490" spans="1:36" x14ac:dyDescent="0.3">
      <c r="A490" s="124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4"/>
      <c r="AH490" s="124"/>
      <c r="AI490" s="124"/>
      <c r="AJ490" s="124"/>
    </row>
    <row r="491" spans="1:36" x14ac:dyDescent="0.3">
      <c r="A491" s="124"/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  <c r="AE491" s="124"/>
      <c r="AF491" s="124"/>
      <c r="AG491" s="124"/>
      <c r="AH491" s="124"/>
      <c r="AI491" s="124"/>
      <c r="AJ491" s="124"/>
    </row>
    <row r="492" spans="1:36" x14ac:dyDescent="0.3">
      <c r="A492" s="124"/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C492" s="124"/>
      <c r="AD492" s="124"/>
      <c r="AE492" s="124"/>
      <c r="AF492" s="124"/>
      <c r="AG492" s="124"/>
      <c r="AH492" s="124"/>
      <c r="AI492" s="124"/>
      <c r="AJ492" s="124"/>
    </row>
    <row r="493" spans="1:36" x14ac:dyDescent="0.3">
      <c r="A493" s="124"/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  <c r="AE493" s="124"/>
      <c r="AF493" s="124"/>
      <c r="AG493" s="124"/>
      <c r="AH493" s="124"/>
      <c r="AI493" s="124"/>
      <c r="AJ493" s="124"/>
    </row>
    <row r="494" spans="1:36" x14ac:dyDescent="0.3">
      <c r="A494" s="124"/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C494" s="124"/>
      <c r="AD494" s="124"/>
      <c r="AE494" s="124"/>
      <c r="AF494" s="124"/>
      <c r="AG494" s="124"/>
      <c r="AH494" s="124"/>
      <c r="AI494" s="124"/>
      <c r="AJ494" s="124"/>
    </row>
    <row r="495" spans="1:36" x14ac:dyDescent="0.3">
      <c r="A495" s="124"/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C495" s="124"/>
      <c r="AD495" s="124"/>
      <c r="AE495" s="124"/>
      <c r="AF495" s="124"/>
      <c r="AG495" s="124"/>
      <c r="AH495" s="124"/>
      <c r="AI495" s="124"/>
      <c r="AJ495" s="124"/>
    </row>
    <row r="496" spans="1:36" x14ac:dyDescent="0.3">
      <c r="A496" s="124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  <c r="AE496" s="124"/>
      <c r="AF496" s="124"/>
      <c r="AG496" s="124"/>
      <c r="AH496" s="124"/>
      <c r="AI496" s="124"/>
      <c r="AJ496" s="124"/>
    </row>
    <row r="497" spans="1:36" x14ac:dyDescent="0.3">
      <c r="A497" s="124"/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C497" s="124"/>
      <c r="AD497" s="124"/>
      <c r="AE497" s="124"/>
      <c r="AF497" s="124"/>
      <c r="AG497" s="124"/>
      <c r="AH497" s="124"/>
      <c r="AI497" s="124"/>
      <c r="AJ497" s="124"/>
    </row>
    <row r="498" spans="1:36" x14ac:dyDescent="0.3">
      <c r="A498" s="124"/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  <c r="AE498" s="124"/>
      <c r="AF498" s="124"/>
      <c r="AG498" s="124"/>
      <c r="AH498" s="124"/>
      <c r="AI498" s="124"/>
      <c r="AJ498" s="124"/>
    </row>
    <row r="499" spans="1:36" x14ac:dyDescent="0.3">
      <c r="A499" s="124"/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C499" s="124"/>
      <c r="AD499" s="124"/>
      <c r="AE499" s="124"/>
      <c r="AF499" s="124"/>
      <c r="AG499" s="124"/>
      <c r="AH499" s="124"/>
      <c r="AI499" s="124"/>
      <c r="AJ499" s="124"/>
    </row>
    <row r="500" spans="1:36" x14ac:dyDescent="0.3">
      <c r="A500" s="124"/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C500" s="124"/>
      <c r="AD500" s="124"/>
      <c r="AE500" s="124"/>
      <c r="AF500" s="124"/>
      <c r="AG500" s="124"/>
      <c r="AH500" s="124"/>
      <c r="AI500" s="124"/>
      <c r="AJ500" s="124"/>
    </row>
    <row r="501" spans="1:36" x14ac:dyDescent="0.3">
      <c r="A501" s="124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  <c r="AE501" s="124"/>
      <c r="AF501" s="124"/>
      <c r="AG501" s="124"/>
      <c r="AH501" s="124"/>
      <c r="AI501" s="124"/>
      <c r="AJ501" s="124"/>
    </row>
    <row r="502" spans="1:36" x14ac:dyDescent="0.3">
      <c r="A502" s="124"/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C502" s="124"/>
      <c r="AD502" s="124"/>
      <c r="AE502" s="124"/>
      <c r="AF502" s="124"/>
      <c r="AG502" s="124"/>
      <c r="AH502" s="124"/>
      <c r="AI502" s="124"/>
      <c r="AJ502" s="124"/>
    </row>
    <row r="503" spans="1:36" x14ac:dyDescent="0.3">
      <c r="A503" s="124"/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  <c r="AE503" s="124"/>
      <c r="AF503" s="124"/>
      <c r="AG503" s="124"/>
      <c r="AH503" s="124"/>
      <c r="AI503" s="124"/>
      <c r="AJ503" s="124"/>
    </row>
    <row r="504" spans="1:36" x14ac:dyDescent="0.3">
      <c r="A504" s="124"/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  <c r="AE504" s="124"/>
      <c r="AF504" s="124"/>
      <c r="AG504" s="124"/>
      <c r="AH504" s="124"/>
      <c r="AI504" s="124"/>
      <c r="AJ504" s="124"/>
    </row>
    <row r="505" spans="1:36" x14ac:dyDescent="0.3">
      <c r="A505" s="124"/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C505" s="124"/>
      <c r="AD505" s="124"/>
      <c r="AE505" s="124"/>
      <c r="AF505" s="124"/>
      <c r="AG505" s="124"/>
      <c r="AH505" s="124"/>
      <c r="AI505" s="124"/>
      <c r="AJ505" s="124"/>
    </row>
    <row r="506" spans="1:36" x14ac:dyDescent="0.3">
      <c r="A506" s="124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  <c r="AF506" s="124"/>
      <c r="AG506" s="124"/>
      <c r="AH506" s="124"/>
      <c r="AI506" s="124"/>
      <c r="AJ506" s="124"/>
    </row>
    <row r="507" spans="1:36" x14ac:dyDescent="0.3">
      <c r="A507" s="124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124"/>
      <c r="AF507" s="124"/>
      <c r="AG507" s="124"/>
      <c r="AH507" s="124"/>
      <c r="AI507" s="124"/>
      <c r="AJ507" s="124"/>
    </row>
    <row r="508" spans="1:36" x14ac:dyDescent="0.3">
      <c r="A508" s="124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124"/>
      <c r="AF508" s="124"/>
      <c r="AG508" s="124"/>
      <c r="AH508" s="124"/>
      <c r="AI508" s="124"/>
      <c r="AJ508" s="124"/>
    </row>
    <row r="509" spans="1:36" x14ac:dyDescent="0.3">
      <c r="A509" s="124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124"/>
      <c r="AF509" s="124"/>
      <c r="AG509" s="124"/>
      <c r="AH509" s="124"/>
      <c r="AI509" s="124"/>
      <c r="AJ509" s="124"/>
    </row>
    <row r="510" spans="1:36" x14ac:dyDescent="0.3">
      <c r="A510" s="124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124"/>
      <c r="AF510" s="124"/>
      <c r="AG510" s="124"/>
      <c r="AH510" s="124"/>
      <c r="AI510" s="124"/>
      <c r="AJ510" s="124"/>
    </row>
    <row r="511" spans="1:36" x14ac:dyDescent="0.3">
      <c r="A511" s="124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  <c r="AF511" s="124"/>
      <c r="AG511" s="124"/>
      <c r="AH511" s="124"/>
      <c r="AI511" s="124"/>
      <c r="AJ511" s="124"/>
    </row>
    <row r="512" spans="1:36" x14ac:dyDescent="0.3">
      <c r="A512" s="124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124"/>
      <c r="AF512" s="124"/>
      <c r="AG512" s="124"/>
      <c r="AH512" s="124"/>
      <c r="AI512" s="124"/>
      <c r="AJ512" s="124"/>
    </row>
    <row r="513" spans="1:36" x14ac:dyDescent="0.3">
      <c r="A513" s="124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124"/>
      <c r="AF513" s="124"/>
      <c r="AG513" s="124"/>
      <c r="AH513" s="124"/>
      <c r="AI513" s="124"/>
      <c r="AJ513" s="124"/>
    </row>
    <row r="514" spans="1:36" x14ac:dyDescent="0.3">
      <c r="A514" s="124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  <c r="AF514" s="124"/>
      <c r="AG514" s="124"/>
      <c r="AH514" s="124"/>
      <c r="AI514" s="124"/>
      <c r="AJ514" s="124"/>
    </row>
    <row r="515" spans="1:36" x14ac:dyDescent="0.3">
      <c r="A515" s="124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  <c r="AE515" s="124"/>
      <c r="AF515" s="124"/>
      <c r="AG515" s="124"/>
      <c r="AH515" s="124"/>
      <c r="AI515" s="124"/>
      <c r="AJ515" s="124"/>
    </row>
    <row r="516" spans="1:36" x14ac:dyDescent="0.3">
      <c r="A516" s="124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  <c r="AE516" s="124"/>
      <c r="AF516" s="124"/>
      <c r="AG516" s="124"/>
      <c r="AH516" s="124"/>
      <c r="AI516" s="124"/>
      <c r="AJ516" s="124"/>
    </row>
    <row r="517" spans="1:36" x14ac:dyDescent="0.3">
      <c r="A517" s="124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124"/>
      <c r="AF517" s="124"/>
      <c r="AG517" s="124"/>
      <c r="AH517" s="124"/>
      <c r="AI517" s="124"/>
      <c r="AJ517" s="124"/>
    </row>
    <row r="518" spans="1:36" x14ac:dyDescent="0.3">
      <c r="A518" s="124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124"/>
      <c r="AF518" s="124"/>
      <c r="AG518" s="124"/>
      <c r="AH518" s="124"/>
      <c r="AI518" s="124"/>
      <c r="AJ518" s="124"/>
    </row>
    <row r="519" spans="1:36" x14ac:dyDescent="0.3">
      <c r="A519" s="124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  <c r="AE519" s="124"/>
      <c r="AF519" s="124"/>
      <c r="AG519" s="124"/>
      <c r="AH519" s="124"/>
      <c r="AI519" s="124"/>
      <c r="AJ519" s="124"/>
    </row>
    <row r="520" spans="1:36" x14ac:dyDescent="0.3">
      <c r="A520" s="124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124"/>
      <c r="AF520" s="124"/>
      <c r="AG520" s="124"/>
      <c r="AH520" s="124"/>
      <c r="AI520" s="124"/>
      <c r="AJ520" s="124"/>
    </row>
    <row r="521" spans="1:36" x14ac:dyDescent="0.3">
      <c r="A521" s="124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  <c r="AC521" s="124"/>
      <c r="AD521" s="124"/>
      <c r="AE521" s="124"/>
      <c r="AF521" s="124"/>
      <c r="AG521" s="124"/>
      <c r="AH521" s="124"/>
      <c r="AI521" s="124"/>
      <c r="AJ521" s="124"/>
    </row>
    <row r="522" spans="1:36" x14ac:dyDescent="0.3">
      <c r="A522" s="124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  <c r="AC522" s="124"/>
      <c r="AD522" s="124"/>
      <c r="AE522" s="124"/>
      <c r="AF522" s="124"/>
      <c r="AG522" s="124"/>
      <c r="AH522" s="124"/>
      <c r="AI522" s="124"/>
      <c r="AJ522" s="124"/>
    </row>
    <row r="523" spans="1:36" x14ac:dyDescent="0.3">
      <c r="A523" s="124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C523" s="124"/>
      <c r="AD523" s="124"/>
      <c r="AE523" s="124"/>
      <c r="AF523" s="124"/>
      <c r="AG523" s="124"/>
      <c r="AH523" s="124"/>
      <c r="AI523" s="124"/>
      <c r="AJ523" s="124"/>
    </row>
    <row r="524" spans="1:36" x14ac:dyDescent="0.3">
      <c r="A524" s="124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C524" s="124"/>
      <c r="AD524" s="124"/>
      <c r="AE524" s="124"/>
      <c r="AF524" s="124"/>
      <c r="AG524" s="124"/>
      <c r="AH524" s="124"/>
      <c r="AI524" s="124"/>
      <c r="AJ524" s="124"/>
    </row>
    <row r="525" spans="1:36" x14ac:dyDescent="0.3">
      <c r="A525" s="124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C525" s="124"/>
      <c r="AD525" s="124"/>
      <c r="AE525" s="124"/>
      <c r="AF525" s="124"/>
      <c r="AG525" s="124"/>
      <c r="AH525" s="124"/>
      <c r="AI525" s="124"/>
      <c r="AJ525" s="124"/>
    </row>
    <row r="526" spans="1:36" x14ac:dyDescent="0.3">
      <c r="A526" s="124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  <c r="AC526" s="124"/>
      <c r="AD526" s="124"/>
      <c r="AE526" s="124"/>
      <c r="AF526" s="124"/>
      <c r="AG526" s="124"/>
      <c r="AH526" s="124"/>
      <c r="AI526" s="124"/>
      <c r="AJ526" s="124"/>
    </row>
    <row r="527" spans="1:36" x14ac:dyDescent="0.3">
      <c r="A527" s="124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C527" s="124"/>
      <c r="AD527" s="124"/>
      <c r="AE527" s="124"/>
      <c r="AF527" s="124"/>
      <c r="AG527" s="124"/>
      <c r="AH527" s="124"/>
      <c r="AI527" s="124"/>
      <c r="AJ527" s="124"/>
    </row>
    <row r="528" spans="1:36" x14ac:dyDescent="0.3">
      <c r="A528" s="124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  <c r="AC528" s="124"/>
      <c r="AD528" s="124"/>
      <c r="AE528" s="124"/>
      <c r="AF528" s="124"/>
      <c r="AG528" s="124"/>
      <c r="AH528" s="124"/>
      <c r="AI528" s="124"/>
      <c r="AJ528" s="124"/>
    </row>
    <row r="529" spans="1:36" x14ac:dyDescent="0.3">
      <c r="A529" s="124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  <c r="AC529" s="124"/>
      <c r="AD529" s="124"/>
      <c r="AE529" s="124"/>
      <c r="AF529" s="124"/>
      <c r="AG529" s="124"/>
      <c r="AH529" s="124"/>
      <c r="AI529" s="124"/>
      <c r="AJ529" s="124"/>
    </row>
    <row r="530" spans="1:36" x14ac:dyDescent="0.3">
      <c r="A530" s="124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  <c r="AC530" s="124"/>
      <c r="AD530" s="124"/>
      <c r="AE530" s="124"/>
      <c r="AF530" s="124"/>
      <c r="AG530" s="124"/>
      <c r="AH530" s="124"/>
      <c r="AI530" s="124"/>
      <c r="AJ530" s="124"/>
    </row>
    <row r="531" spans="1:36" x14ac:dyDescent="0.3">
      <c r="A531" s="124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24"/>
      <c r="AF531" s="124"/>
      <c r="AG531" s="124"/>
      <c r="AH531" s="124"/>
      <c r="AI531" s="124"/>
      <c r="AJ531" s="124"/>
    </row>
    <row r="532" spans="1:36" x14ac:dyDescent="0.3">
      <c r="A532" s="124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  <c r="AE532" s="124"/>
      <c r="AF532" s="124"/>
      <c r="AG532" s="124"/>
      <c r="AH532" s="124"/>
      <c r="AI532" s="124"/>
      <c r="AJ532" s="124"/>
    </row>
    <row r="533" spans="1:36" x14ac:dyDescent="0.3">
      <c r="A533" s="124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  <c r="AC533" s="124"/>
      <c r="AD533" s="124"/>
      <c r="AE533" s="124"/>
      <c r="AF533" s="124"/>
      <c r="AG533" s="124"/>
      <c r="AH533" s="124"/>
      <c r="AI533" s="124"/>
      <c r="AJ533" s="124"/>
    </row>
    <row r="534" spans="1:36" x14ac:dyDescent="0.3">
      <c r="A534" s="124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C534" s="124"/>
      <c r="AD534" s="124"/>
      <c r="AE534" s="124"/>
      <c r="AF534" s="124"/>
      <c r="AG534" s="124"/>
      <c r="AH534" s="124"/>
      <c r="AI534" s="124"/>
      <c r="AJ534" s="124"/>
    </row>
    <row r="535" spans="1:36" x14ac:dyDescent="0.3">
      <c r="A535" s="124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C535" s="124"/>
      <c r="AD535" s="124"/>
      <c r="AE535" s="124"/>
      <c r="AF535" s="124"/>
      <c r="AG535" s="124"/>
      <c r="AH535" s="124"/>
      <c r="AI535" s="124"/>
      <c r="AJ535" s="124"/>
    </row>
    <row r="536" spans="1:36" x14ac:dyDescent="0.3">
      <c r="A536" s="124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  <c r="AE536" s="124"/>
      <c r="AF536" s="124"/>
      <c r="AG536" s="124"/>
      <c r="AH536" s="124"/>
      <c r="AI536" s="124"/>
      <c r="AJ536" s="124"/>
    </row>
    <row r="537" spans="1:36" x14ac:dyDescent="0.3">
      <c r="A537" s="124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C537" s="124"/>
      <c r="AD537" s="124"/>
      <c r="AE537" s="124"/>
      <c r="AF537" s="124"/>
      <c r="AG537" s="124"/>
      <c r="AH537" s="124"/>
      <c r="AI537" s="124"/>
      <c r="AJ537" s="124"/>
    </row>
    <row r="538" spans="1:36" x14ac:dyDescent="0.3">
      <c r="A538" s="124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  <c r="AC538" s="124"/>
      <c r="AD538" s="124"/>
      <c r="AE538" s="124"/>
      <c r="AF538" s="124"/>
      <c r="AG538" s="124"/>
      <c r="AH538" s="124"/>
      <c r="AI538" s="124"/>
      <c r="AJ538" s="124"/>
    </row>
    <row r="539" spans="1:36" x14ac:dyDescent="0.3">
      <c r="A539" s="124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  <c r="AC539" s="124"/>
      <c r="AD539" s="124"/>
      <c r="AE539" s="124"/>
      <c r="AF539" s="124"/>
      <c r="AG539" s="124"/>
      <c r="AH539" s="124"/>
      <c r="AI539" s="124"/>
      <c r="AJ539" s="124"/>
    </row>
    <row r="540" spans="1:36" x14ac:dyDescent="0.3">
      <c r="A540" s="124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  <c r="AC540" s="124"/>
      <c r="AD540" s="124"/>
      <c r="AE540" s="124"/>
      <c r="AF540" s="124"/>
      <c r="AG540" s="124"/>
      <c r="AH540" s="124"/>
      <c r="AI540" s="124"/>
      <c r="AJ540" s="124"/>
    </row>
    <row r="541" spans="1:36" x14ac:dyDescent="0.3">
      <c r="A541" s="124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  <c r="AC541" s="124"/>
      <c r="AD541" s="124"/>
      <c r="AE541" s="124"/>
      <c r="AF541" s="124"/>
      <c r="AG541" s="124"/>
      <c r="AH541" s="124"/>
      <c r="AI541" s="124"/>
      <c r="AJ541" s="124"/>
    </row>
    <row r="542" spans="1:36" x14ac:dyDescent="0.3">
      <c r="A542" s="124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  <c r="AC542" s="124"/>
      <c r="AD542" s="124"/>
      <c r="AE542" s="124"/>
      <c r="AF542" s="124"/>
      <c r="AG542" s="124"/>
      <c r="AH542" s="124"/>
      <c r="AI542" s="124"/>
      <c r="AJ542" s="124"/>
    </row>
    <row r="543" spans="1:36" x14ac:dyDescent="0.3">
      <c r="A543" s="124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  <c r="AC543" s="124"/>
      <c r="AD543" s="124"/>
      <c r="AE543" s="124"/>
      <c r="AF543" s="124"/>
      <c r="AG543" s="124"/>
      <c r="AH543" s="124"/>
      <c r="AI543" s="124"/>
      <c r="AJ543" s="124"/>
    </row>
    <row r="544" spans="1:36" x14ac:dyDescent="0.3">
      <c r="A544" s="124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  <c r="AC544" s="124"/>
      <c r="AD544" s="124"/>
      <c r="AE544" s="124"/>
      <c r="AF544" s="124"/>
      <c r="AG544" s="124"/>
      <c r="AH544" s="124"/>
      <c r="AI544" s="124"/>
      <c r="AJ544" s="124"/>
    </row>
    <row r="545" spans="1:36" x14ac:dyDescent="0.3">
      <c r="A545" s="124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  <c r="AC545" s="124"/>
      <c r="AD545" s="124"/>
      <c r="AE545" s="124"/>
      <c r="AF545" s="124"/>
      <c r="AG545" s="124"/>
      <c r="AH545" s="124"/>
      <c r="AI545" s="124"/>
      <c r="AJ545" s="124"/>
    </row>
    <row r="546" spans="1:36" x14ac:dyDescent="0.3">
      <c r="A546" s="124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  <c r="AC546" s="124"/>
      <c r="AD546" s="124"/>
      <c r="AE546" s="124"/>
      <c r="AF546" s="124"/>
      <c r="AG546" s="124"/>
      <c r="AH546" s="124"/>
      <c r="AI546" s="124"/>
      <c r="AJ546" s="124"/>
    </row>
    <row r="547" spans="1:36" x14ac:dyDescent="0.3">
      <c r="A547" s="124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  <c r="AC547" s="124"/>
      <c r="AD547" s="124"/>
      <c r="AE547" s="124"/>
      <c r="AF547" s="124"/>
      <c r="AG547" s="124"/>
      <c r="AH547" s="124"/>
      <c r="AI547" s="124"/>
      <c r="AJ547" s="124"/>
    </row>
    <row r="548" spans="1:36" x14ac:dyDescent="0.3">
      <c r="A548" s="124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  <c r="AC548" s="124"/>
      <c r="AD548" s="124"/>
      <c r="AE548" s="124"/>
      <c r="AF548" s="124"/>
      <c r="AG548" s="124"/>
      <c r="AH548" s="124"/>
      <c r="AI548" s="124"/>
      <c r="AJ548" s="124"/>
    </row>
    <row r="549" spans="1:36" x14ac:dyDescent="0.3">
      <c r="A549" s="124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  <c r="AA549" s="124"/>
      <c r="AB549" s="124"/>
      <c r="AC549" s="124"/>
      <c r="AD549" s="124"/>
      <c r="AE549" s="124"/>
      <c r="AF549" s="124"/>
      <c r="AG549" s="124"/>
      <c r="AH549" s="124"/>
      <c r="AI549" s="124"/>
      <c r="AJ549" s="124"/>
    </row>
    <row r="550" spans="1:36" x14ac:dyDescent="0.3">
      <c r="A550" s="124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  <c r="AA550" s="124"/>
      <c r="AB550" s="124"/>
      <c r="AC550" s="124"/>
      <c r="AD550" s="124"/>
      <c r="AE550" s="124"/>
      <c r="AF550" s="124"/>
      <c r="AG550" s="124"/>
      <c r="AH550" s="124"/>
      <c r="AI550" s="124"/>
      <c r="AJ550" s="124"/>
    </row>
    <row r="551" spans="1:36" x14ac:dyDescent="0.3">
      <c r="A551" s="124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  <c r="AA551" s="124"/>
      <c r="AB551" s="124"/>
      <c r="AC551" s="124"/>
      <c r="AD551" s="124"/>
      <c r="AE551" s="124"/>
      <c r="AF551" s="124"/>
      <c r="AG551" s="124"/>
      <c r="AH551" s="124"/>
      <c r="AI551" s="124"/>
      <c r="AJ551" s="124"/>
    </row>
    <row r="552" spans="1:36" x14ac:dyDescent="0.3">
      <c r="A552" s="124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  <c r="AA552" s="124"/>
      <c r="AB552" s="124"/>
      <c r="AC552" s="124"/>
      <c r="AD552" s="124"/>
      <c r="AE552" s="124"/>
      <c r="AF552" s="124"/>
      <c r="AG552" s="124"/>
      <c r="AH552" s="124"/>
      <c r="AI552" s="124"/>
      <c r="AJ552" s="124"/>
    </row>
    <row r="553" spans="1:36" x14ac:dyDescent="0.3">
      <c r="A553" s="124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  <c r="AA553" s="124"/>
      <c r="AB553" s="124"/>
      <c r="AC553" s="124"/>
      <c r="AD553" s="124"/>
      <c r="AE553" s="124"/>
      <c r="AF553" s="124"/>
      <c r="AG553" s="124"/>
      <c r="AH553" s="124"/>
      <c r="AI553" s="124"/>
      <c r="AJ553" s="124"/>
    </row>
    <row r="554" spans="1:36" x14ac:dyDescent="0.3">
      <c r="A554" s="124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  <c r="AA554" s="124"/>
      <c r="AB554" s="124"/>
      <c r="AC554" s="124"/>
      <c r="AD554" s="124"/>
      <c r="AE554" s="124"/>
      <c r="AF554" s="124"/>
      <c r="AG554" s="124"/>
      <c r="AH554" s="124"/>
      <c r="AI554" s="124"/>
      <c r="AJ554" s="124"/>
    </row>
    <row r="555" spans="1:36" x14ac:dyDescent="0.3">
      <c r="A555" s="124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  <c r="AA555" s="124"/>
      <c r="AB555" s="124"/>
      <c r="AC555" s="124"/>
      <c r="AD555" s="124"/>
      <c r="AE555" s="124"/>
      <c r="AF555" s="124"/>
      <c r="AG555" s="124"/>
      <c r="AH555" s="124"/>
      <c r="AI555" s="124"/>
      <c r="AJ555" s="124"/>
    </row>
    <row r="556" spans="1:36" x14ac:dyDescent="0.3">
      <c r="A556" s="124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  <c r="AA556" s="124"/>
      <c r="AB556" s="124"/>
      <c r="AC556" s="124"/>
      <c r="AD556" s="124"/>
      <c r="AE556" s="124"/>
      <c r="AF556" s="124"/>
      <c r="AG556" s="124"/>
      <c r="AH556" s="124"/>
      <c r="AI556" s="124"/>
      <c r="AJ556" s="124"/>
    </row>
    <row r="557" spans="1:36" x14ac:dyDescent="0.3">
      <c r="A557" s="124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  <c r="AA557" s="124"/>
      <c r="AB557" s="124"/>
      <c r="AC557" s="124"/>
      <c r="AD557" s="124"/>
      <c r="AE557" s="124"/>
      <c r="AF557" s="124"/>
      <c r="AG557" s="124"/>
      <c r="AH557" s="124"/>
      <c r="AI557" s="124"/>
      <c r="AJ557" s="124"/>
    </row>
    <row r="558" spans="1:36" x14ac:dyDescent="0.3">
      <c r="A558" s="124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  <c r="AA558" s="124"/>
      <c r="AB558" s="124"/>
      <c r="AC558" s="124"/>
      <c r="AD558" s="124"/>
      <c r="AE558" s="124"/>
      <c r="AF558" s="124"/>
      <c r="AG558" s="124"/>
      <c r="AH558" s="124"/>
      <c r="AI558" s="124"/>
      <c r="AJ558" s="124"/>
    </row>
    <row r="559" spans="1:36" x14ac:dyDescent="0.3">
      <c r="A559" s="124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  <c r="AA559" s="124"/>
      <c r="AB559" s="124"/>
      <c r="AC559" s="124"/>
      <c r="AD559" s="124"/>
      <c r="AE559" s="124"/>
      <c r="AF559" s="124"/>
      <c r="AG559" s="124"/>
      <c r="AH559" s="124"/>
      <c r="AI559" s="124"/>
      <c r="AJ559" s="124"/>
    </row>
    <row r="560" spans="1:36" x14ac:dyDescent="0.3">
      <c r="A560" s="124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  <c r="AA560" s="124"/>
      <c r="AB560" s="124"/>
      <c r="AC560" s="124"/>
      <c r="AD560" s="124"/>
      <c r="AE560" s="124"/>
      <c r="AF560" s="124"/>
      <c r="AG560" s="124"/>
      <c r="AH560" s="124"/>
      <c r="AI560" s="124"/>
      <c r="AJ560" s="124"/>
    </row>
    <row r="561" spans="1:36" x14ac:dyDescent="0.3">
      <c r="A561" s="124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  <c r="AA561" s="124"/>
      <c r="AB561" s="124"/>
      <c r="AC561" s="124"/>
      <c r="AD561" s="124"/>
      <c r="AE561" s="124"/>
      <c r="AF561" s="124"/>
      <c r="AG561" s="124"/>
      <c r="AH561" s="124"/>
      <c r="AI561" s="124"/>
      <c r="AJ561" s="124"/>
    </row>
    <row r="562" spans="1:36" x14ac:dyDescent="0.3">
      <c r="A562" s="124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  <c r="AA562" s="124"/>
      <c r="AB562" s="124"/>
      <c r="AC562" s="124"/>
      <c r="AD562" s="124"/>
      <c r="AE562" s="124"/>
      <c r="AF562" s="124"/>
      <c r="AG562" s="124"/>
      <c r="AH562" s="124"/>
      <c r="AI562" s="124"/>
      <c r="AJ562" s="124"/>
    </row>
    <row r="563" spans="1:36" x14ac:dyDescent="0.3">
      <c r="A563" s="124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  <c r="AA563" s="124"/>
      <c r="AB563" s="124"/>
      <c r="AC563" s="124"/>
      <c r="AD563" s="124"/>
      <c r="AE563" s="124"/>
      <c r="AF563" s="124"/>
      <c r="AG563" s="124"/>
      <c r="AH563" s="124"/>
      <c r="AI563" s="124"/>
      <c r="AJ563" s="124"/>
    </row>
    <row r="564" spans="1:36" x14ac:dyDescent="0.3">
      <c r="A564" s="124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  <c r="AA564" s="124"/>
      <c r="AB564" s="124"/>
      <c r="AC564" s="124"/>
      <c r="AD564" s="124"/>
      <c r="AE564" s="124"/>
      <c r="AF564" s="124"/>
      <c r="AG564" s="124"/>
      <c r="AH564" s="124"/>
      <c r="AI564" s="124"/>
      <c r="AJ564" s="124"/>
    </row>
    <row r="565" spans="1:36" x14ac:dyDescent="0.3">
      <c r="A565" s="124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  <c r="AA565" s="124"/>
      <c r="AB565" s="124"/>
      <c r="AC565" s="124"/>
      <c r="AD565" s="124"/>
      <c r="AE565" s="124"/>
      <c r="AF565" s="124"/>
      <c r="AG565" s="124"/>
      <c r="AH565" s="124"/>
      <c r="AI565" s="124"/>
      <c r="AJ565" s="124"/>
    </row>
    <row r="566" spans="1:36" x14ac:dyDescent="0.3">
      <c r="A566" s="124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  <c r="AA566" s="124"/>
      <c r="AB566" s="124"/>
      <c r="AC566" s="124"/>
      <c r="AD566" s="124"/>
      <c r="AE566" s="124"/>
      <c r="AF566" s="124"/>
      <c r="AG566" s="124"/>
      <c r="AH566" s="124"/>
      <c r="AI566" s="124"/>
      <c r="AJ566" s="124"/>
    </row>
    <row r="567" spans="1:36" x14ac:dyDescent="0.3">
      <c r="A567" s="124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  <c r="AA567" s="124"/>
      <c r="AB567" s="124"/>
      <c r="AC567" s="124"/>
      <c r="AD567" s="124"/>
      <c r="AE567" s="124"/>
      <c r="AF567" s="124"/>
      <c r="AG567" s="124"/>
      <c r="AH567" s="124"/>
      <c r="AI567" s="124"/>
      <c r="AJ567" s="124"/>
    </row>
    <row r="568" spans="1:36" x14ac:dyDescent="0.3">
      <c r="A568" s="124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  <c r="AA568" s="124"/>
      <c r="AB568" s="124"/>
      <c r="AC568" s="124"/>
      <c r="AD568" s="124"/>
      <c r="AE568" s="124"/>
      <c r="AF568" s="124"/>
      <c r="AG568" s="124"/>
      <c r="AH568" s="124"/>
      <c r="AI568" s="124"/>
      <c r="AJ568" s="124"/>
    </row>
    <row r="569" spans="1:36" x14ac:dyDescent="0.3">
      <c r="A569" s="124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  <c r="AA569" s="124"/>
      <c r="AB569" s="124"/>
      <c r="AC569" s="124"/>
      <c r="AD569" s="124"/>
      <c r="AE569" s="124"/>
      <c r="AF569" s="124"/>
      <c r="AG569" s="124"/>
      <c r="AH569" s="124"/>
      <c r="AI569" s="124"/>
      <c r="AJ569" s="124"/>
    </row>
    <row r="570" spans="1:36" x14ac:dyDescent="0.3">
      <c r="A570" s="124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  <c r="AA570" s="124"/>
      <c r="AB570" s="124"/>
      <c r="AC570" s="124"/>
      <c r="AD570" s="124"/>
      <c r="AE570" s="124"/>
      <c r="AF570" s="124"/>
      <c r="AG570" s="124"/>
      <c r="AH570" s="124"/>
      <c r="AI570" s="124"/>
      <c r="AJ570" s="124"/>
    </row>
    <row r="571" spans="1:36" x14ac:dyDescent="0.3">
      <c r="A571" s="124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  <c r="AA571" s="124"/>
      <c r="AB571" s="124"/>
      <c r="AC571" s="124"/>
      <c r="AD571" s="124"/>
      <c r="AE571" s="124"/>
      <c r="AF571" s="124"/>
      <c r="AG571" s="124"/>
      <c r="AH571" s="124"/>
      <c r="AI571" s="124"/>
      <c r="AJ571" s="124"/>
    </row>
    <row r="572" spans="1:36" x14ac:dyDescent="0.3">
      <c r="A572" s="124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  <c r="AA572" s="124"/>
      <c r="AB572" s="124"/>
      <c r="AC572" s="124"/>
      <c r="AD572" s="124"/>
      <c r="AE572" s="124"/>
      <c r="AF572" s="124"/>
      <c r="AG572" s="124"/>
      <c r="AH572" s="124"/>
      <c r="AI572" s="124"/>
      <c r="AJ572" s="124"/>
    </row>
    <row r="573" spans="1:36" x14ac:dyDescent="0.3">
      <c r="A573" s="124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  <c r="AA573" s="124"/>
      <c r="AB573" s="124"/>
      <c r="AC573" s="124"/>
      <c r="AD573" s="124"/>
      <c r="AE573" s="124"/>
      <c r="AF573" s="124"/>
      <c r="AG573" s="124"/>
      <c r="AH573" s="124"/>
      <c r="AI573" s="124"/>
      <c r="AJ573" s="124"/>
    </row>
    <row r="574" spans="1:36" x14ac:dyDescent="0.3">
      <c r="A574" s="124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  <c r="AA574" s="124"/>
      <c r="AB574" s="124"/>
      <c r="AC574" s="124"/>
      <c r="AD574" s="124"/>
      <c r="AE574" s="124"/>
      <c r="AF574" s="124"/>
      <c r="AG574" s="124"/>
      <c r="AH574" s="124"/>
      <c r="AI574" s="124"/>
      <c r="AJ574" s="124"/>
    </row>
    <row r="575" spans="1:36" x14ac:dyDescent="0.3">
      <c r="A575" s="124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  <c r="AA575" s="124"/>
      <c r="AB575" s="124"/>
      <c r="AC575" s="124"/>
      <c r="AD575" s="124"/>
      <c r="AE575" s="124"/>
      <c r="AF575" s="124"/>
      <c r="AG575" s="124"/>
      <c r="AH575" s="124"/>
      <c r="AI575" s="124"/>
      <c r="AJ575" s="124"/>
    </row>
    <row r="576" spans="1:36" x14ac:dyDescent="0.3">
      <c r="A576" s="124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  <c r="AA576" s="124"/>
      <c r="AB576" s="124"/>
      <c r="AC576" s="124"/>
      <c r="AD576" s="124"/>
      <c r="AE576" s="124"/>
      <c r="AF576" s="124"/>
      <c r="AG576" s="124"/>
      <c r="AH576" s="124"/>
      <c r="AI576" s="124"/>
      <c r="AJ576" s="124"/>
    </row>
    <row r="577" spans="1:36" x14ac:dyDescent="0.3">
      <c r="A577" s="124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  <c r="AA577" s="124"/>
      <c r="AB577" s="124"/>
      <c r="AC577" s="124"/>
      <c r="AD577" s="124"/>
      <c r="AE577" s="124"/>
      <c r="AF577" s="124"/>
      <c r="AG577" s="124"/>
      <c r="AH577" s="124"/>
      <c r="AI577" s="124"/>
      <c r="AJ577" s="124"/>
    </row>
    <row r="578" spans="1:36" x14ac:dyDescent="0.3">
      <c r="A578" s="124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  <c r="AA578" s="124"/>
      <c r="AB578" s="124"/>
      <c r="AC578" s="124"/>
      <c r="AD578" s="124"/>
      <c r="AE578" s="124"/>
      <c r="AF578" s="124"/>
      <c r="AG578" s="124"/>
      <c r="AH578" s="124"/>
      <c r="AI578" s="124"/>
      <c r="AJ578" s="124"/>
    </row>
    <row r="579" spans="1:36" x14ac:dyDescent="0.3">
      <c r="A579" s="124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  <c r="AA579" s="124"/>
      <c r="AB579" s="124"/>
      <c r="AC579" s="124"/>
      <c r="AD579" s="124"/>
      <c r="AE579" s="124"/>
      <c r="AF579" s="124"/>
      <c r="AG579" s="124"/>
      <c r="AH579" s="124"/>
      <c r="AI579" s="124"/>
      <c r="AJ579" s="124"/>
    </row>
    <row r="580" spans="1:36" x14ac:dyDescent="0.3">
      <c r="A580" s="124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  <c r="AA580" s="124"/>
      <c r="AB580" s="124"/>
      <c r="AC580" s="124"/>
      <c r="AD580" s="124"/>
      <c r="AE580" s="124"/>
      <c r="AF580" s="124"/>
      <c r="AG580" s="124"/>
      <c r="AH580" s="124"/>
      <c r="AI580" s="124"/>
      <c r="AJ580" s="124"/>
    </row>
    <row r="581" spans="1:36" x14ac:dyDescent="0.3">
      <c r="A581" s="124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  <c r="AA581" s="124"/>
      <c r="AB581" s="124"/>
      <c r="AC581" s="124"/>
      <c r="AD581" s="124"/>
      <c r="AE581" s="124"/>
      <c r="AF581" s="124"/>
      <c r="AG581" s="124"/>
      <c r="AH581" s="124"/>
      <c r="AI581" s="124"/>
      <c r="AJ581" s="124"/>
    </row>
    <row r="582" spans="1:36" x14ac:dyDescent="0.3">
      <c r="A582" s="124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  <c r="AA582" s="124"/>
      <c r="AB582" s="124"/>
      <c r="AC582" s="124"/>
      <c r="AD582" s="124"/>
      <c r="AE582" s="124"/>
      <c r="AF582" s="124"/>
      <c r="AG582" s="124"/>
      <c r="AH582" s="124"/>
      <c r="AI582" s="124"/>
      <c r="AJ582" s="124"/>
    </row>
    <row r="583" spans="1:36" x14ac:dyDescent="0.3">
      <c r="A583" s="124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24"/>
      <c r="AF583" s="124"/>
      <c r="AG583" s="124"/>
      <c r="AH583" s="124"/>
      <c r="AI583" s="124"/>
      <c r="AJ583" s="124"/>
    </row>
    <row r="584" spans="1:36" x14ac:dyDescent="0.3">
      <c r="A584" s="124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  <c r="AA584" s="124"/>
      <c r="AB584" s="124"/>
      <c r="AC584" s="124"/>
      <c r="AD584" s="124"/>
      <c r="AE584" s="124"/>
      <c r="AF584" s="124"/>
      <c r="AG584" s="124"/>
      <c r="AH584" s="124"/>
      <c r="AI584" s="124"/>
      <c r="AJ584" s="124"/>
    </row>
    <row r="585" spans="1:36" x14ac:dyDescent="0.3">
      <c r="A585" s="124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  <c r="AA585" s="124"/>
      <c r="AB585" s="124"/>
      <c r="AC585" s="124"/>
      <c r="AD585" s="124"/>
      <c r="AE585" s="124"/>
      <c r="AF585" s="124"/>
      <c r="AG585" s="124"/>
      <c r="AH585" s="124"/>
      <c r="AI585" s="124"/>
      <c r="AJ585" s="124"/>
    </row>
    <row r="586" spans="1:36" x14ac:dyDescent="0.3">
      <c r="A586" s="124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  <c r="AA586" s="124"/>
      <c r="AB586" s="124"/>
      <c r="AC586" s="124"/>
      <c r="AD586" s="124"/>
      <c r="AE586" s="124"/>
      <c r="AF586" s="124"/>
      <c r="AG586" s="124"/>
      <c r="AH586" s="124"/>
      <c r="AI586" s="124"/>
      <c r="AJ586" s="124"/>
    </row>
    <row r="587" spans="1:36" x14ac:dyDescent="0.3">
      <c r="A587" s="124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  <c r="AA587" s="124"/>
      <c r="AB587" s="124"/>
      <c r="AC587" s="124"/>
      <c r="AD587" s="124"/>
      <c r="AE587" s="124"/>
      <c r="AF587" s="124"/>
      <c r="AG587" s="124"/>
      <c r="AH587" s="124"/>
      <c r="AI587" s="124"/>
      <c r="AJ587" s="124"/>
    </row>
    <row r="588" spans="1:36" x14ac:dyDescent="0.3">
      <c r="A588" s="124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  <c r="AA588" s="124"/>
      <c r="AB588" s="124"/>
      <c r="AC588" s="124"/>
      <c r="AD588" s="124"/>
      <c r="AE588" s="124"/>
      <c r="AF588" s="124"/>
      <c r="AG588" s="124"/>
      <c r="AH588" s="124"/>
      <c r="AI588" s="124"/>
      <c r="AJ588" s="124"/>
    </row>
    <row r="589" spans="1:36" x14ac:dyDescent="0.3">
      <c r="A589" s="124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  <c r="AA589" s="124"/>
      <c r="AB589" s="124"/>
      <c r="AC589" s="124"/>
      <c r="AD589" s="124"/>
      <c r="AE589" s="124"/>
      <c r="AF589" s="124"/>
      <c r="AG589" s="124"/>
      <c r="AH589" s="124"/>
      <c r="AI589" s="124"/>
      <c r="AJ589" s="124"/>
    </row>
    <row r="590" spans="1:36" x14ac:dyDescent="0.3">
      <c r="A590" s="124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  <c r="AA590" s="124"/>
      <c r="AB590" s="124"/>
      <c r="AC590" s="124"/>
      <c r="AD590" s="124"/>
      <c r="AE590" s="124"/>
      <c r="AF590" s="124"/>
      <c r="AG590" s="124"/>
      <c r="AH590" s="124"/>
      <c r="AI590" s="124"/>
      <c r="AJ590" s="124"/>
    </row>
    <row r="591" spans="1:36" x14ac:dyDescent="0.3">
      <c r="A591" s="124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  <c r="AA591" s="124"/>
      <c r="AB591" s="124"/>
      <c r="AC591" s="124"/>
      <c r="AD591" s="124"/>
      <c r="AE591" s="124"/>
      <c r="AF591" s="124"/>
      <c r="AG591" s="124"/>
      <c r="AH591" s="124"/>
      <c r="AI591" s="124"/>
      <c r="AJ591" s="124"/>
    </row>
    <row r="592" spans="1:36" x14ac:dyDescent="0.3">
      <c r="A592" s="124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  <c r="AA592" s="124"/>
      <c r="AB592" s="124"/>
      <c r="AC592" s="124"/>
      <c r="AD592" s="124"/>
      <c r="AE592" s="124"/>
      <c r="AF592" s="124"/>
      <c r="AG592" s="124"/>
      <c r="AH592" s="124"/>
      <c r="AI592" s="124"/>
      <c r="AJ592" s="124"/>
    </row>
    <row r="593" spans="1:36" x14ac:dyDescent="0.3">
      <c r="A593" s="124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  <c r="AA593" s="124"/>
      <c r="AB593" s="124"/>
      <c r="AC593" s="124"/>
      <c r="AD593" s="124"/>
      <c r="AE593" s="124"/>
      <c r="AF593" s="124"/>
      <c r="AG593" s="124"/>
      <c r="AH593" s="124"/>
      <c r="AI593" s="124"/>
      <c r="AJ593" s="124"/>
    </row>
    <row r="594" spans="1:36" x14ac:dyDescent="0.3">
      <c r="A594" s="124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  <c r="AA594" s="124"/>
      <c r="AB594" s="124"/>
      <c r="AC594" s="124"/>
      <c r="AD594" s="124"/>
      <c r="AE594" s="124"/>
      <c r="AF594" s="124"/>
      <c r="AG594" s="124"/>
      <c r="AH594" s="124"/>
      <c r="AI594" s="124"/>
      <c r="AJ594" s="124"/>
    </row>
    <row r="595" spans="1:36" x14ac:dyDescent="0.3">
      <c r="A595" s="124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  <c r="AA595" s="124"/>
      <c r="AB595" s="124"/>
      <c r="AC595" s="124"/>
      <c r="AD595" s="124"/>
      <c r="AE595" s="124"/>
      <c r="AF595" s="124"/>
      <c r="AG595" s="124"/>
      <c r="AH595" s="124"/>
      <c r="AI595" s="124"/>
      <c r="AJ595" s="124"/>
    </row>
    <row r="596" spans="1:36" x14ac:dyDescent="0.3">
      <c r="A596" s="124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  <c r="AA596" s="124"/>
      <c r="AB596" s="124"/>
      <c r="AC596" s="124"/>
      <c r="AD596" s="124"/>
      <c r="AE596" s="124"/>
      <c r="AF596" s="124"/>
      <c r="AG596" s="124"/>
      <c r="AH596" s="124"/>
      <c r="AI596" s="124"/>
      <c r="AJ596" s="124"/>
    </row>
    <row r="597" spans="1:36" x14ac:dyDescent="0.3">
      <c r="A597" s="124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  <c r="AA597" s="124"/>
      <c r="AB597" s="124"/>
      <c r="AC597" s="124"/>
      <c r="AD597" s="124"/>
      <c r="AE597" s="124"/>
      <c r="AF597" s="124"/>
      <c r="AG597" s="124"/>
      <c r="AH597" s="124"/>
      <c r="AI597" s="124"/>
      <c r="AJ597" s="124"/>
    </row>
    <row r="598" spans="1:36" x14ac:dyDescent="0.3">
      <c r="A598" s="124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  <c r="AC598" s="124"/>
      <c r="AD598" s="124"/>
      <c r="AE598" s="124"/>
      <c r="AF598" s="124"/>
      <c r="AG598" s="124"/>
      <c r="AH598" s="124"/>
      <c r="AI598" s="124"/>
      <c r="AJ598" s="124"/>
    </row>
    <row r="599" spans="1:36" x14ac:dyDescent="0.3">
      <c r="A599" s="124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  <c r="AC599" s="124"/>
      <c r="AD599" s="124"/>
      <c r="AE599" s="124"/>
      <c r="AF599" s="124"/>
      <c r="AG599" s="124"/>
      <c r="AH599" s="124"/>
      <c r="AI599" s="124"/>
      <c r="AJ599" s="124"/>
    </row>
    <row r="600" spans="1:36" x14ac:dyDescent="0.3">
      <c r="A600" s="124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  <c r="AA600" s="124"/>
      <c r="AB600" s="124"/>
      <c r="AC600" s="124"/>
      <c r="AD600" s="124"/>
      <c r="AE600" s="124"/>
      <c r="AF600" s="124"/>
      <c r="AG600" s="124"/>
      <c r="AH600" s="124"/>
      <c r="AI600" s="124"/>
      <c r="AJ600" s="124"/>
    </row>
    <row r="601" spans="1:36" x14ac:dyDescent="0.3">
      <c r="A601" s="124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  <c r="AA601" s="124"/>
      <c r="AB601" s="124"/>
      <c r="AC601" s="124"/>
      <c r="AD601" s="124"/>
      <c r="AE601" s="124"/>
      <c r="AF601" s="124"/>
      <c r="AG601" s="124"/>
      <c r="AH601" s="124"/>
      <c r="AI601" s="124"/>
      <c r="AJ601" s="124"/>
    </row>
    <row r="602" spans="1:36" x14ac:dyDescent="0.3">
      <c r="A602" s="124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  <c r="AA602" s="124"/>
      <c r="AB602" s="124"/>
      <c r="AC602" s="124"/>
      <c r="AD602" s="124"/>
      <c r="AE602" s="124"/>
      <c r="AF602" s="124"/>
      <c r="AG602" s="124"/>
      <c r="AH602" s="124"/>
      <c r="AI602" s="124"/>
      <c r="AJ602" s="124"/>
    </row>
    <row r="603" spans="1:36" x14ac:dyDescent="0.3">
      <c r="A603" s="124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  <c r="AA603" s="124"/>
      <c r="AB603" s="124"/>
      <c r="AC603" s="124"/>
      <c r="AD603" s="124"/>
      <c r="AE603" s="124"/>
      <c r="AF603" s="124"/>
      <c r="AG603" s="124"/>
      <c r="AH603" s="124"/>
      <c r="AI603" s="124"/>
      <c r="AJ603" s="124"/>
    </row>
    <row r="604" spans="1:36" x14ac:dyDescent="0.3">
      <c r="A604" s="124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  <c r="AA604" s="124"/>
      <c r="AB604" s="124"/>
      <c r="AC604" s="124"/>
      <c r="AD604" s="124"/>
      <c r="AE604" s="124"/>
      <c r="AF604" s="124"/>
      <c r="AG604" s="124"/>
      <c r="AH604" s="124"/>
      <c r="AI604" s="124"/>
      <c r="AJ604" s="124"/>
    </row>
    <row r="605" spans="1:36" x14ac:dyDescent="0.3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  <c r="AA605" s="124"/>
      <c r="AB605" s="124"/>
      <c r="AC605" s="124"/>
      <c r="AD605" s="124"/>
      <c r="AE605" s="124"/>
      <c r="AF605" s="124"/>
      <c r="AG605" s="124"/>
      <c r="AH605" s="124"/>
      <c r="AI605" s="124"/>
      <c r="AJ605" s="124"/>
    </row>
    <row r="606" spans="1:36" x14ac:dyDescent="0.3">
      <c r="A606" s="124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  <c r="AA606" s="124"/>
      <c r="AB606" s="124"/>
      <c r="AC606" s="124"/>
      <c r="AD606" s="124"/>
      <c r="AE606" s="124"/>
      <c r="AF606" s="124"/>
      <c r="AG606" s="124"/>
      <c r="AH606" s="124"/>
      <c r="AI606" s="124"/>
      <c r="AJ606" s="124"/>
    </row>
    <row r="607" spans="1:36" x14ac:dyDescent="0.3">
      <c r="A607" s="124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  <c r="AA607" s="124"/>
      <c r="AB607" s="124"/>
      <c r="AC607" s="124"/>
      <c r="AD607" s="124"/>
      <c r="AE607" s="124"/>
      <c r="AF607" s="124"/>
      <c r="AG607" s="124"/>
      <c r="AH607" s="124"/>
      <c r="AI607" s="124"/>
      <c r="AJ607" s="124"/>
    </row>
    <row r="608" spans="1:36" x14ac:dyDescent="0.3">
      <c r="A608" s="124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  <c r="AA608" s="124"/>
      <c r="AB608" s="124"/>
      <c r="AC608" s="124"/>
      <c r="AD608" s="124"/>
      <c r="AE608" s="124"/>
      <c r="AF608" s="124"/>
      <c r="AG608" s="124"/>
      <c r="AH608" s="124"/>
      <c r="AI608" s="124"/>
      <c r="AJ608" s="124"/>
    </row>
    <row r="609" spans="1:36" x14ac:dyDescent="0.3">
      <c r="A609" s="124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  <c r="AA609" s="124"/>
      <c r="AB609" s="124"/>
      <c r="AC609" s="124"/>
      <c r="AD609" s="124"/>
      <c r="AE609" s="124"/>
      <c r="AF609" s="124"/>
      <c r="AG609" s="124"/>
      <c r="AH609" s="124"/>
      <c r="AI609" s="124"/>
      <c r="AJ609" s="124"/>
    </row>
    <row r="610" spans="1:36" x14ac:dyDescent="0.3">
      <c r="A610" s="124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  <c r="AA610" s="124"/>
      <c r="AB610" s="124"/>
      <c r="AC610" s="124"/>
      <c r="AD610" s="124"/>
      <c r="AE610" s="124"/>
      <c r="AF610" s="124"/>
      <c r="AG610" s="124"/>
      <c r="AH610" s="124"/>
      <c r="AI610" s="124"/>
      <c r="AJ610" s="124"/>
    </row>
    <row r="611" spans="1:36" x14ac:dyDescent="0.3">
      <c r="A611" s="124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  <c r="AA611" s="124"/>
      <c r="AB611" s="124"/>
      <c r="AC611" s="124"/>
      <c r="AD611" s="124"/>
      <c r="AE611" s="124"/>
      <c r="AF611" s="124"/>
      <c r="AG611" s="124"/>
      <c r="AH611" s="124"/>
      <c r="AI611" s="124"/>
      <c r="AJ611" s="124"/>
    </row>
    <row r="612" spans="1:36" x14ac:dyDescent="0.3">
      <c r="A612" s="124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  <c r="AA612" s="124"/>
      <c r="AB612" s="124"/>
      <c r="AC612" s="124"/>
      <c r="AD612" s="124"/>
      <c r="AE612" s="124"/>
      <c r="AF612" s="124"/>
      <c r="AG612" s="124"/>
      <c r="AH612" s="124"/>
      <c r="AI612" s="124"/>
      <c r="AJ612" s="124"/>
    </row>
    <row r="613" spans="1:36" x14ac:dyDescent="0.3">
      <c r="A613" s="124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  <c r="AA613" s="124"/>
      <c r="AB613" s="124"/>
      <c r="AC613" s="124"/>
      <c r="AD613" s="124"/>
      <c r="AE613" s="124"/>
      <c r="AF613" s="124"/>
      <c r="AG613" s="124"/>
      <c r="AH613" s="124"/>
      <c r="AI613" s="124"/>
      <c r="AJ613" s="124"/>
    </row>
    <row r="614" spans="1:36" x14ac:dyDescent="0.3">
      <c r="A614" s="124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  <c r="AC614" s="124"/>
      <c r="AD614" s="124"/>
      <c r="AE614" s="124"/>
      <c r="AF614" s="124"/>
      <c r="AG614" s="124"/>
      <c r="AH614" s="124"/>
      <c r="AI614" s="124"/>
      <c r="AJ614" s="124"/>
    </row>
    <row r="615" spans="1:36" x14ac:dyDescent="0.3">
      <c r="A615" s="124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  <c r="AA615" s="124"/>
      <c r="AB615" s="124"/>
      <c r="AC615" s="124"/>
      <c r="AD615" s="124"/>
      <c r="AE615" s="124"/>
      <c r="AF615" s="124"/>
      <c r="AG615" s="124"/>
      <c r="AH615" s="124"/>
      <c r="AI615" s="124"/>
      <c r="AJ615" s="124"/>
    </row>
    <row r="616" spans="1:36" x14ac:dyDescent="0.3">
      <c r="A616" s="124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  <c r="AA616" s="124"/>
      <c r="AB616" s="124"/>
      <c r="AC616" s="124"/>
      <c r="AD616" s="124"/>
      <c r="AE616" s="124"/>
      <c r="AF616" s="124"/>
      <c r="AG616" s="124"/>
      <c r="AH616" s="124"/>
      <c r="AI616" s="124"/>
      <c r="AJ616" s="124"/>
    </row>
    <row r="617" spans="1:36" x14ac:dyDescent="0.3">
      <c r="A617" s="124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  <c r="AA617" s="124"/>
      <c r="AB617" s="124"/>
      <c r="AC617" s="124"/>
      <c r="AD617" s="124"/>
      <c r="AE617" s="124"/>
      <c r="AF617" s="124"/>
      <c r="AG617" s="124"/>
      <c r="AH617" s="124"/>
      <c r="AI617" s="124"/>
      <c r="AJ617" s="124"/>
    </row>
    <row r="618" spans="1:36" x14ac:dyDescent="0.3">
      <c r="A618" s="124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  <c r="AA618" s="124"/>
      <c r="AB618" s="124"/>
      <c r="AC618" s="124"/>
      <c r="AD618" s="124"/>
      <c r="AE618" s="124"/>
      <c r="AF618" s="124"/>
      <c r="AG618" s="124"/>
      <c r="AH618" s="124"/>
      <c r="AI618" s="124"/>
      <c r="AJ618" s="124"/>
    </row>
    <row r="619" spans="1:36" x14ac:dyDescent="0.3">
      <c r="A619" s="124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  <c r="AA619" s="124"/>
      <c r="AB619" s="124"/>
      <c r="AC619" s="124"/>
      <c r="AD619" s="124"/>
      <c r="AE619" s="124"/>
      <c r="AF619" s="124"/>
      <c r="AG619" s="124"/>
      <c r="AH619" s="124"/>
      <c r="AI619" s="124"/>
      <c r="AJ619" s="124"/>
    </row>
    <row r="620" spans="1:36" x14ac:dyDescent="0.3">
      <c r="A620" s="124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  <c r="AA620" s="124"/>
      <c r="AB620" s="124"/>
      <c r="AC620" s="124"/>
      <c r="AD620" s="124"/>
      <c r="AE620" s="124"/>
      <c r="AF620" s="124"/>
      <c r="AG620" s="124"/>
      <c r="AH620" s="124"/>
      <c r="AI620" s="124"/>
      <c r="AJ620" s="124"/>
    </row>
    <row r="621" spans="1:36" x14ac:dyDescent="0.3">
      <c r="A621" s="124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  <c r="AA621" s="124"/>
      <c r="AB621" s="124"/>
      <c r="AC621" s="124"/>
      <c r="AD621" s="124"/>
      <c r="AE621" s="124"/>
      <c r="AF621" s="124"/>
      <c r="AG621" s="124"/>
      <c r="AH621" s="124"/>
      <c r="AI621" s="124"/>
      <c r="AJ621" s="124"/>
    </row>
    <row r="622" spans="1:36" x14ac:dyDescent="0.3">
      <c r="A622" s="124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  <c r="AA622" s="124"/>
      <c r="AB622" s="124"/>
      <c r="AC622" s="124"/>
      <c r="AD622" s="124"/>
      <c r="AE622" s="124"/>
      <c r="AF622" s="124"/>
      <c r="AG622" s="124"/>
      <c r="AH622" s="124"/>
      <c r="AI622" s="124"/>
      <c r="AJ622" s="124"/>
    </row>
    <row r="623" spans="1:36" x14ac:dyDescent="0.3">
      <c r="A623" s="124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  <c r="AA623" s="124"/>
      <c r="AB623" s="124"/>
      <c r="AC623" s="124"/>
      <c r="AD623" s="124"/>
      <c r="AE623" s="124"/>
      <c r="AF623" s="124"/>
      <c r="AG623" s="124"/>
      <c r="AH623" s="124"/>
      <c r="AI623" s="124"/>
      <c r="AJ623" s="124"/>
    </row>
    <row r="624" spans="1:36" x14ac:dyDescent="0.3">
      <c r="A624" s="124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  <c r="AC624" s="124"/>
      <c r="AD624" s="124"/>
      <c r="AE624" s="124"/>
      <c r="AF624" s="124"/>
      <c r="AG624" s="124"/>
      <c r="AH624" s="124"/>
      <c r="AI624" s="124"/>
      <c r="AJ624" s="124"/>
    </row>
    <row r="625" spans="1:36" x14ac:dyDescent="0.3">
      <c r="A625" s="124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  <c r="AA625" s="124"/>
      <c r="AB625" s="124"/>
      <c r="AC625" s="124"/>
      <c r="AD625" s="124"/>
      <c r="AE625" s="124"/>
      <c r="AF625" s="124"/>
      <c r="AG625" s="124"/>
      <c r="AH625" s="124"/>
      <c r="AI625" s="124"/>
      <c r="AJ625" s="124"/>
    </row>
    <row r="626" spans="1:36" x14ac:dyDescent="0.3">
      <c r="A626" s="124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  <c r="AA626" s="124"/>
      <c r="AB626" s="124"/>
      <c r="AC626" s="124"/>
      <c r="AD626" s="124"/>
      <c r="AE626" s="124"/>
      <c r="AF626" s="124"/>
      <c r="AG626" s="124"/>
      <c r="AH626" s="124"/>
      <c r="AI626" s="124"/>
      <c r="AJ626" s="124"/>
    </row>
    <row r="627" spans="1:36" x14ac:dyDescent="0.3">
      <c r="A627" s="124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  <c r="AC627" s="124"/>
      <c r="AD627" s="124"/>
      <c r="AE627" s="124"/>
      <c r="AF627" s="124"/>
      <c r="AG627" s="124"/>
      <c r="AH627" s="124"/>
      <c r="AI627" s="124"/>
      <c r="AJ627" s="124"/>
    </row>
    <row r="628" spans="1:36" x14ac:dyDescent="0.3">
      <c r="A628" s="124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  <c r="AA628" s="124"/>
      <c r="AB628" s="124"/>
      <c r="AC628" s="124"/>
      <c r="AD628" s="124"/>
      <c r="AE628" s="124"/>
      <c r="AF628" s="124"/>
      <c r="AG628" s="124"/>
      <c r="AH628" s="124"/>
      <c r="AI628" s="124"/>
      <c r="AJ628" s="124"/>
    </row>
    <row r="629" spans="1:36" x14ac:dyDescent="0.3">
      <c r="A629" s="124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  <c r="AA629" s="124"/>
      <c r="AB629" s="124"/>
      <c r="AC629" s="124"/>
      <c r="AD629" s="124"/>
      <c r="AE629" s="124"/>
      <c r="AF629" s="124"/>
      <c r="AG629" s="124"/>
      <c r="AH629" s="124"/>
      <c r="AI629" s="124"/>
      <c r="AJ629" s="124"/>
    </row>
    <row r="630" spans="1:36" x14ac:dyDescent="0.3">
      <c r="A630" s="124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  <c r="AA630" s="124"/>
      <c r="AB630" s="124"/>
      <c r="AC630" s="124"/>
      <c r="AD630" s="124"/>
      <c r="AE630" s="124"/>
      <c r="AF630" s="124"/>
      <c r="AG630" s="124"/>
      <c r="AH630" s="124"/>
      <c r="AI630" s="124"/>
      <c r="AJ630" s="124"/>
    </row>
    <row r="631" spans="1:36" x14ac:dyDescent="0.3">
      <c r="A631" s="124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  <c r="AA631" s="124"/>
      <c r="AB631" s="124"/>
      <c r="AC631" s="124"/>
      <c r="AD631" s="124"/>
      <c r="AE631" s="124"/>
      <c r="AF631" s="124"/>
      <c r="AG631" s="124"/>
      <c r="AH631" s="124"/>
      <c r="AI631" s="124"/>
      <c r="AJ631" s="124"/>
    </row>
    <row r="632" spans="1:36" x14ac:dyDescent="0.3">
      <c r="A632" s="124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  <c r="AA632" s="124"/>
      <c r="AB632" s="124"/>
      <c r="AC632" s="124"/>
      <c r="AD632" s="124"/>
      <c r="AE632" s="124"/>
      <c r="AF632" s="124"/>
      <c r="AG632" s="124"/>
      <c r="AH632" s="124"/>
      <c r="AI632" s="124"/>
      <c r="AJ632" s="124"/>
    </row>
    <row r="633" spans="1:36" x14ac:dyDescent="0.3">
      <c r="A633" s="124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  <c r="AA633" s="124"/>
      <c r="AB633" s="124"/>
      <c r="AC633" s="124"/>
      <c r="AD633" s="124"/>
      <c r="AE633" s="124"/>
      <c r="AF633" s="124"/>
      <c r="AG633" s="124"/>
      <c r="AH633" s="124"/>
      <c r="AI633" s="124"/>
      <c r="AJ633" s="124"/>
    </row>
    <row r="634" spans="1:36" x14ac:dyDescent="0.3">
      <c r="A634" s="124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  <c r="AA634" s="124"/>
      <c r="AB634" s="124"/>
      <c r="AC634" s="124"/>
      <c r="AD634" s="124"/>
      <c r="AE634" s="124"/>
      <c r="AF634" s="124"/>
      <c r="AG634" s="124"/>
      <c r="AH634" s="124"/>
      <c r="AI634" s="124"/>
      <c r="AJ634" s="124"/>
    </row>
    <row r="635" spans="1:36" x14ac:dyDescent="0.3">
      <c r="A635" s="124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  <c r="AA635" s="124"/>
      <c r="AB635" s="124"/>
      <c r="AC635" s="124"/>
      <c r="AD635" s="124"/>
      <c r="AE635" s="124"/>
      <c r="AF635" s="124"/>
      <c r="AG635" s="124"/>
      <c r="AH635" s="124"/>
      <c r="AI635" s="124"/>
      <c r="AJ635" s="124"/>
    </row>
    <row r="636" spans="1:36" x14ac:dyDescent="0.3">
      <c r="A636" s="124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  <c r="AA636" s="124"/>
      <c r="AB636" s="124"/>
      <c r="AC636" s="124"/>
      <c r="AD636" s="124"/>
      <c r="AE636" s="124"/>
      <c r="AF636" s="124"/>
      <c r="AG636" s="124"/>
      <c r="AH636" s="124"/>
      <c r="AI636" s="124"/>
      <c r="AJ636" s="124"/>
    </row>
    <row r="637" spans="1:36" x14ac:dyDescent="0.3">
      <c r="A637" s="124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  <c r="AA637" s="124"/>
      <c r="AB637" s="124"/>
      <c r="AC637" s="124"/>
      <c r="AD637" s="124"/>
      <c r="AE637" s="124"/>
      <c r="AF637" s="124"/>
      <c r="AG637" s="124"/>
      <c r="AH637" s="124"/>
      <c r="AI637" s="124"/>
      <c r="AJ637" s="124"/>
    </row>
    <row r="638" spans="1:36" x14ac:dyDescent="0.3">
      <c r="A638" s="124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  <c r="AA638" s="124"/>
      <c r="AB638" s="124"/>
      <c r="AC638" s="124"/>
      <c r="AD638" s="124"/>
      <c r="AE638" s="124"/>
      <c r="AF638" s="124"/>
      <c r="AG638" s="124"/>
      <c r="AH638" s="124"/>
      <c r="AI638" s="124"/>
      <c r="AJ638" s="124"/>
    </row>
    <row r="639" spans="1:36" x14ac:dyDescent="0.3">
      <c r="A639" s="124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  <c r="AA639" s="124"/>
      <c r="AB639" s="124"/>
      <c r="AC639" s="124"/>
      <c r="AD639" s="124"/>
      <c r="AE639" s="124"/>
      <c r="AF639" s="124"/>
      <c r="AG639" s="124"/>
      <c r="AH639" s="124"/>
      <c r="AI639" s="124"/>
      <c r="AJ639" s="124"/>
    </row>
    <row r="640" spans="1:36" x14ac:dyDescent="0.3">
      <c r="A640" s="124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  <c r="AA640" s="124"/>
      <c r="AB640" s="124"/>
      <c r="AC640" s="124"/>
      <c r="AD640" s="124"/>
      <c r="AE640" s="124"/>
      <c r="AF640" s="124"/>
      <c r="AG640" s="124"/>
      <c r="AH640" s="124"/>
      <c r="AI640" s="124"/>
      <c r="AJ640" s="124"/>
    </row>
    <row r="641" spans="1:36" x14ac:dyDescent="0.3">
      <c r="A641" s="124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  <c r="AA641" s="124"/>
      <c r="AB641" s="124"/>
      <c r="AC641" s="124"/>
      <c r="AD641" s="124"/>
      <c r="AE641" s="124"/>
      <c r="AF641" s="124"/>
      <c r="AG641" s="124"/>
      <c r="AH641" s="124"/>
      <c r="AI641" s="124"/>
      <c r="AJ641" s="124"/>
    </row>
    <row r="642" spans="1:36" x14ac:dyDescent="0.3">
      <c r="A642" s="124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  <c r="AA642" s="124"/>
      <c r="AB642" s="124"/>
      <c r="AC642" s="124"/>
      <c r="AD642" s="124"/>
      <c r="AE642" s="124"/>
      <c r="AF642" s="124"/>
      <c r="AG642" s="124"/>
      <c r="AH642" s="124"/>
      <c r="AI642" s="124"/>
      <c r="AJ642" s="124"/>
    </row>
    <row r="643" spans="1:36" x14ac:dyDescent="0.3">
      <c r="A643" s="124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  <c r="AA643" s="124"/>
      <c r="AB643" s="124"/>
      <c r="AC643" s="124"/>
      <c r="AD643" s="124"/>
      <c r="AE643" s="124"/>
      <c r="AF643" s="124"/>
      <c r="AG643" s="124"/>
      <c r="AH643" s="124"/>
      <c r="AI643" s="124"/>
      <c r="AJ643" s="124"/>
    </row>
    <row r="644" spans="1:36" x14ac:dyDescent="0.3">
      <c r="A644" s="124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  <c r="AA644" s="124"/>
      <c r="AB644" s="124"/>
      <c r="AC644" s="124"/>
      <c r="AD644" s="124"/>
      <c r="AE644" s="124"/>
      <c r="AF644" s="124"/>
      <c r="AG644" s="124"/>
      <c r="AH644" s="124"/>
      <c r="AI644" s="124"/>
      <c r="AJ644" s="124"/>
    </row>
    <row r="645" spans="1:36" x14ac:dyDescent="0.3">
      <c r="A645" s="124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  <c r="AA645" s="124"/>
      <c r="AB645" s="124"/>
      <c r="AC645" s="124"/>
      <c r="AD645" s="124"/>
      <c r="AE645" s="124"/>
      <c r="AF645" s="124"/>
      <c r="AG645" s="124"/>
      <c r="AH645" s="124"/>
      <c r="AI645" s="124"/>
      <c r="AJ645" s="124"/>
    </row>
    <row r="646" spans="1:36" x14ac:dyDescent="0.3">
      <c r="A646" s="124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  <c r="AA646" s="124"/>
      <c r="AB646" s="124"/>
      <c r="AC646" s="124"/>
      <c r="AD646" s="124"/>
      <c r="AE646" s="124"/>
      <c r="AF646" s="124"/>
      <c r="AG646" s="124"/>
      <c r="AH646" s="124"/>
      <c r="AI646" s="124"/>
      <c r="AJ646" s="124"/>
    </row>
    <row r="647" spans="1:36" x14ac:dyDescent="0.3">
      <c r="A647" s="124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  <c r="AA647" s="124"/>
      <c r="AB647" s="124"/>
      <c r="AC647" s="124"/>
      <c r="AD647" s="124"/>
      <c r="AE647" s="124"/>
      <c r="AF647" s="124"/>
      <c r="AG647" s="124"/>
      <c r="AH647" s="124"/>
      <c r="AI647" s="124"/>
      <c r="AJ647" s="124"/>
    </row>
    <row r="648" spans="1:36" x14ac:dyDescent="0.3">
      <c r="A648" s="124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  <c r="AA648" s="124"/>
      <c r="AB648" s="124"/>
      <c r="AC648" s="124"/>
      <c r="AD648" s="124"/>
      <c r="AE648" s="124"/>
      <c r="AF648" s="124"/>
      <c r="AG648" s="124"/>
      <c r="AH648" s="124"/>
      <c r="AI648" s="124"/>
      <c r="AJ648" s="124"/>
    </row>
    <row r="649" spans="1:36" x14ac:dyDescent="0.3">
      <c r="A649" s="124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  <c r="AA649" s="124"/>
      <c r="AB649" s="124"/>
      <c r="AC649" s="124"/>
      <c r="AD649" s="124"/>
      <c r="AE649" s="124"/>
      <c r="AF649" s="124"/>
      <c r="AG649" s="124"/>
      <c r="AH649" s="124"/>
      <c r="AI649" s="124"/>
      <c r="AJ649" s="124"/>
    </row>
    <row r="650" spans="1:36" x14ac:dyDescent="0.3">
      <c r="A650" s="124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  <c r="AA650" s="124"/>
      <c r="AB650" s="124"/>
      <c r="AC650" s="124"/>
      <c r="AD650" s="124"/>
      <c r="AE650" s="124"/>
      <c r="AF650" s="124"/>
      <c r="AG650" s="124"/>
      <c r="AH650" s="124"/>
      <c r="AI650" s="124"/>
      <c r="AJ650" s="124"/>
    </row>
    <row r="651" spans="1:36" x14ac:dyDescent="0.3">
      <c r="A651" s="124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  <c r="AA651" s="124"/>
      <c r="AB651" s="124"/>
      <c r="AC651" s="124"/>
      <c r="AD651" s="124"/>
      <c r="AE651" s="124"/>
      <c r="AF651" s="124"/>
      <c r="AG651" s="124"/>
      <c r="AH651" s="124"/>
      <c r="AI651" s="124"/>
      <c r="AJ651" s="124"/>
    </row>
    <row r="652" spans="1:36" x14ac:dyDescent="0.3">
      <c r="A652" s="124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  <c r="AA652" s="124"/>
      <c r="AB652" s="124"/>
      <c r="AC652" s="124"/>
      <c r="AD652" s="124"/>
      <c r="AE652" s="124"/>
      <c r="AF652" s="124"/>
      <c r="AG652" s="124"/>
      <c r="AH652" s="124"/>
      <c r="AI652" s="124"/>
      <c r="AJ652" s="124"/>
    </row>
    <row r="653" spans="1:36" x14ac:dyDescent="0.3">
      <c r="A653" s="124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  <c r="AA653" s="124"/>
      <c r="AB653" s="124"/>
      <c r="AC653" s="124"/>
      <c r="AD653" s="124"/>
      <c r="AE653" s="124"/>
      <c r="AF653" s="124"/>
      <c r="AG653" s="124"/>
      <c r="AH653" s="124"/>
      <c r="AI653" s="124"/>
      <c r="AJ653" s="124"/>
    </row>
    <row r="654" spans="1:36" x14ac:dyDescent="0.3">
      <c r="A654" s="124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  <c r="AA654" s="124"/>
      <c r="AB654" s="124"/>
      <c r="AC654" s="124"/>
      <c r="AD654" s="124"/>
      <c r="AE654" s="124"/>
      <c r="AF654" s="124"/>
      <c r="AG654" s="124"/>
      <c r="AH654" s="124"/>
      <c r="AI654" s="124"/>
      <c r="AJ654" s="124"/>
    </row>
    <row r="655" spans="1:36" x14ac:dyDescent="0.3">
      <c r="A655" s="124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  <c r="AA655" s="124"/>
      <c r="AB655" s="124"/>
      <c r="AC655" s="124"/>
      <c r="AD655" s="124"/>
      <c r="AE655" s="124"/>
      <c r="AF655" s="124"/>
      <c r="AG655" s="124"/>
      <c r="AH655" s="124"/>
      <c r="AI655" s="124"/>
      <c r="AJ655" s="124"/>
    </row>
    <row r="656" spans="1:36" x14ac:dyDescent="0.3">
      <c r="A656" s="124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  <c r="AA656" s="124"/>
      <c r="AB656" s="124"/>
      <c r="AC656" s="124"/>
      <c r="AD656" s="124"/>
      <c r="AE656" s="124"/>
      <c r="AF656" s="124"/>
      <c r="AG656" s="124"/>
      <c r="AH656" s="124"/>
      <c r="AI656" s="124"/>
      <c r="AJ656" s="124"/>
    </row>
    <row r="657" spans="1:36" x14ac:dyDescent="0.3">
      <c r="A657" s="124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  <c r="AA657" s="124"/>
      <c r="AB657" s="124"/>
      <c r="AC657" s="124"/>
      <c r="AD657" s="124"/>
      <c r="AE657" s="124"/>
      <c r="AF657" s="124"/>
      <c r="AG657" s="124"/>
      <c r="AH657" s="124"/>
      <c r="AI657" s="124"/>
      <c r="AJ657" s="124"/>
    </row>
    <row r="658" spans="1:36" x14ac:dyDescent="0.3">
      <c r="A658" s="124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  <c r="AA658" s="124"/>
      <c r="AB658" s="124"/>
      <c r="AC658" s="124"/>
      <c r="AD658" s="124"/>
      <c r="AE658" s="124"/>
      <c r="AF658" s="124"/>
      <c r="AG658" s="124"/>
      <c r="AH658" s="124"/>
      <c r="AI658" s="124"/>
      <c r="AJ658" s="124"/>
    </row>
    <row r="659" spans="1:36" x14ac:dyDescent="0.3">
      <c r="A659" s="124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  <c r="AA659" s="124"/>
      <c r="AB659" s="124"/>
      <c r="AC659" s="124"/>
      <c r="AD659" s="124"/>
      <c r="AE659" s="124"/>
      <c r="AF659" s="124"/>
      <c r="AG659" s="124"/>
      <c r="AH659" s="124"/>
      <c r="AI659" s="124"/>
      <c r="AJ659" s="124"/>
    </row>
    <row r="660" spans="1:36" x14ac:dyDescent="0.3">
      <c r="A660" s="124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  <c r="AA660" s="124"/>
      <c r="AB660" s="124"/>
      <c r="AC660" s="124"/>
      <c r="AD660" s="124"/>
      <c r="AE660" s="124"/>
      <c r="AF660" s="124"/>
      <c r="AG660" s="124"/>
      <c r="AH660" s="124"/>
      <c r="AI660" s="124"/>
      <c r="AJ660" s="124"/>
    </row>
    <row r="661" spans="1:36" x14ac:dyDescent="0.3">
      <c r="A661" s="124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  <c r="AA661" s="124"/>
      <c r="AB661" s="124"/>
      <c r="AC661" s="124"/>
      <c r="AD661" s="124"/>
      <c r="AE661" s="124"/>
      <c r="AF661" s="124"/>
      <c r="AG661" s="124"/>
      <c r="AH661" s="124"/>
      <c r="AI661" s="124"/>
      <c r="AJ661" s="124"/>
    </row>
    <row r="662" spans="1:36" x14ac:dyDescent="0.3">
      <c r="A662" s="124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  <c r="AA662" s="124"/>
      <c r="AB662" s="124"/>
      <c r="AC662" s="124"/>
      <c r="AD662" s="124"/>
      <c r="AE662" s="124"/>
      <c r="AF662" s="124"/>
      <c r="AG662" s="124"/>
      <c r="AH662" s="124"/>
      <c r="AI662" s="124"/>
      <c r="AJ662" s="124"/>
    </row>
    <row r="663" spans="1:36" x14ac:dyDescent="0.3">
      <c r="A663" s="124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  <c r="AA663" s="124"/>
      <c r="AB663" s="124"/>
      <c r="AC663" s="124"/>
      <c r="AD663" s="124"/>
      <c r="AE663" s="124"/>
      <c r="AF663" s="124"/>
      <c r="AG663" s="124"/>
      <c r="AH663" s="124"/>
      <c r="AI663" s="124"/>
      <c r="AJ663" s="124"/>
    </row>
    <row r="664" spans="1:36" x14ac:dyDescent="0.3">
      <c r="A664" s="124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  <c r="AA664" s="124"/>
      <c r="AB664" s="124"/>
      <c r="AC664" s="124"/>
      <c r="AD664" s="124"/>
      <c r="AE664" s="124"/>
      <c r="AF664" s="124"/>
      <c r="AG664" s="124"/>
      <c r="AH664" s="124"/>
      <c r="AI664" s="124"/>
      <c r="AJ664" s="124"/>
    </row>
    <row r="665" spans="1:36" x14ac:dyDescent="0.3">
      <c r="A665" s="124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  <c r="AA665" s="124"/>
      <c r="AB665" s="124"/>
      <c r="AC665" s="124"/>
      <c r="AD665" s="124"/>
      <c r="AE665" s="124"/>
      <c r="AF665" s="124"/>
      <c r="AG665" s="124"/>
      <c r="AH665" s="124"/>
      <c r="AI665" s="124"/>
      <c r="AJ665" s="124"/>
    </row>
    <row r="666" spans="1:36" x14ac:dyDescent="0.3">
      <c r="A666" s="124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  <c r="AA666" s="124"/>
      <c r="AB666" s="124"/>
      <c r="AC666" s="124"/>
      <c r="AD666" s="124"/>
      <c r="AE666" s="124"/>
      <c r="AF666" s="124"/>
      <c r="AG666" s="124"/>
      <c r="AH666" s="124"/>
      <c r="AI666" s="124"/>
      <c r="AJ666" s="124"/>
    </row>
    <row r="667" spans="1:36" x14ac:dyDescent="0.3">
      <c r="A667" s="124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  <c r="AA667" s="124"/>
      <c r="AB667" s="124"/>
      <c r="AC667" s="124"/>
      <c r="AD667" s="124"/>
      <c r="AE667" s="124"/>
      <c r="AF667" s="124"/>
      <c r="AG667" s="124"/>
      <c r="AH667" s="124"/>
      <c r="AI667" s="124"/>
      <c r="AJ667" s="124"/>
    </row>
    <row r="668" spans="1:36" x14ac:dyDescent="0.3">
      <c r="A668" s="124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  <c r="AA668" s="124"/>
      <c r="AB668" s="124"/>
      <c r="AC668" s="124"/>
      <c r="AD668" s="124"/>
      <c r="AE668" s="124"/>
      <c r="AF668" s="124"/>
      <c r="AG668" s="124"/>
      <c r="AH668" s="124"/>
      <c r="AI668" s="124"/>
      <c r="AJ668" s="124"/>
    </row>
    <row r="669" spans="1:36" x14ac:dyDescent="0.3">
      <c r="A669" s="124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  <c r="AA669" s="124"/>
      <c r="AB669" s="124"/>
      <c r="AC669" s="124"/>
      <c r="AD669" s="124"/>
      <c r="AE669" s="124"/>
      <c r="AF669" s="124"/>
      <c r="AG669" s="124"/>
      <c r="AH669" s="124"/>
      <c r="AI669" s="124"/>
      <c r="AJ669" s="124"/>
    </row>
    <row r="670" spans="1:36" x14ac:dyDescent="0.3">
      <c r="A670" s="124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  <c r="AA670" s="124"/>
      <c r="AB670" s="124"/>
      <c r="AC670" s="124"/>
      <c r="AD670" s="124"/>
      <c r="AE670" s="124"/>
      <c r="AF670" s="124"/>
      <c r="AG670" s="124"/>
      <c r="AH670" s="124"/>
      <c r="AI670" s="124"/>
      <c r="AJ670" s="124"/>
    </row>
    <row r="671" spans="1:36" x14ac:dyDescent="0.3">
      <c r="A671" s="124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  <c r="AA671" s="124"/>
      <c r="AB671" s="124"/>
      <c r="AC671" s="124"/>
      <c r="AD671" s="124"/>
      <c r="AE671" s="124"/>
      <c r="AF671" s="124"/>
      <c r="AG671" s="124"/>
      <c r="AH671" s="124"/>
      <c r="AI671" s="124"/>
      <c r="AJ671" s="124"/>
    </row>
    <row r="672" spans="1:36" x14ac:dyDescent="0.3">
      <c r="A672" s="124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  <c r="AA672" s="124"/>
      <c r="AB672" s="124"/>
      <c r="AC672" s="124"/>
      <c r="AD672" s="124"/>
      <c r="AE672" s="124"/>
      <c r="AF672" s="124"/>
      <c r="AG672" s="124"/>
      <c r="AH672" s="124"/>
      <c r="AI672" s="124"/>
      <c r="AJ672" s="124"/>
    </row>
    <row r="673" spans="1:36" x14ac:dyDescent="0.3">
      <c r="A673" s="124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  <c r="AA673" s="124"/>
      <c r="AB673" s="124"/>
      <c r="AC673" s="124"/>
      <c r="AD673" s="124"/>
      <c r="AE673" s="124"/>
      <c r="AF673" s="124"/>
      <c r="AG673" s="124"/>
      <c r="AH673" s="124"/>
      <c r="AI673" s="124"/>
      <c r="AJ673" s="124"/>
    </row>
    <row r="674" spans="1:36" x14ac:dyDescent="0.3">
      <c r="A674" s="124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  <c r="AA674" s="124"/>
      <c r="AB674" s="124"/>
      <c r="AC674" s="124"/>
      <c r="AD674" s="124"/>
      <c r="AE674" s="124"/>
      <c r="AF674" s="124"/>
      <c r="AG674" s="124"/>
      <c r="AH674" s="124"/>
      <c r="AI674" s="124"/>
      <c r="AJ674" s="124"/>
    </row>
    <row r="675" spans="1:36" x14ac:dyDescent="0.3">
      <c r="A675" s="124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  <c r="AA675" s="124"/>
      <c r="AB675" s="124"/>
      <c r="AC675" s="124"/>
      <c r="AD675" s="124"/>
      <c r="AE675" s="124"/>
      <c r="AF675" s="124"/>
      <c r="AG675" s="124"/>
      <c r="AH675" s="124"/>
      <c r="AI675" s="124"/>
      <c r="AJ675" s="124"/>
    </row>
    <row r="676" spans="1:36" x14ac:dyDescent="0.3">
      <c r="A676" s="124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  <c r="AA676" s="124"/>
      <c r="AB676" s="124"/>
      <c r="AC676" s="124"/>
      <c r="AD676" s="124"/>
      <c r="AE676" s="124"/>
      <c r="AF676" s="124"/>
      <c r="AG676" s="124"/>
      <c r="AH676" s="124"/>
      <c r="AI676" s="124"/>
      <c r="AJ676" s="124"/>
    </row>
    <row r="677" spans="1:36" x14ac:dyDescent="0.3">
      <c r="A677" s="124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  <c r="AA677" s="124"/>
      <c r="AB677" s="124"/>
      <c r="AC677" s="124"/>
      <c r="AD677" s="124"/>
      <c r="AE677" s="124"/>
      <c r="AF677" s="124"/>
      <c r="AG677" s="124"/>
      <c r="AH677" s="124"/>
      <c r="AI677" s="124"/>
      <c r="AJ677" s="124"/>
    </row>
    <row r="678" spans="1:36" x14ac:dyDescent="0.3">
      <c r="A678" s="124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  <c r="AA678" s="124"/>
      <c r="AB678" s="124"/>
      <c r="AC678" s="124"/>
      <c r="AD678" s="124"/>
      <c r="AE678" s="124"/>
      <c r="AF678" s="124"/>
      <c r="AG678" s="124"/>
      <c r="AH678" s="124"/>
      <c r="AI678" s="124"/>
      <c r="AJ678" s="124"/>
    </row>
    <row r="679" spans="1:36" x14ac:dyDescent="0.3">
      <c r="A679" s="124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  <c r="AA679" s="124"/>
      <c r="AB679" s="124"/>
      <c r="AC679" s="124"/>
      <c r="AD679" s="124"/>
      <c r="AE679" s="124"/>
      <c r="AF679" s="124"/>
      <c r="AG679" s="124"/>
      <c r="AH679" s="124"/>
      <c r="AI679" s="124"/>
      <c r="AJ679" s="124"/>
    </row>
    <row r="680" spans="1:36" x14ac:dyDescent="0.3">
      <c r="A680" s="124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  <c r="AC680" s="124"/>
      <c r="AD680" s="124"/>
      <c r="AE680" s="124"/>
      <c r="AF680" s="124"/>
      <c r="AG680" s="124"/>
      <c r="AH680" s="124"/>
      <c r="AI680" s="124"/>
      <c r="AJ680" s="124"/>
    </row>
    <row r="681" spans="1:36" x14ac:dyDescent="0.3">
      <c r="A681" s="124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  <c r="AA681" s="124"/>
      <c r="AB681" s="124"/>
      <c r="AC681" s="124"/>
      <c r="AD681" s="124"/>
      <c r="AE681" s="124"/>
      <c r="AF681" s="124"/>
      <c r="AG681" s="124"/>
      <c r="AH681" s="124"/>
      <c r="AI681" s="124"/>
      <c r="AJ681" s="124"/>
    </row>
    <row r="682" spans="1:36" x14ac:dyDescent="0.3">
      <c r="A682" s="124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  <c r="AA682" s="124"/>
      <c r="AB682" s="124"/>
      <c r="AC682" s="124"/>
      <c r="AD682" s="124"/>
      <c r="AE682" s="124"/>
      <c r="AF682" s="124"/>
      <c r="AG682" s="124"/>
      <c r="AH682" s="124"/>
      <c r="AI682" s="124"/>
      <c r="AJ682" s="124"/>
    </row>
    <row r="683" spans="1:36" x14ac:dyDescent="0.3">
      <c r="A683" s="124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  <c r="AA683" s="124"/>
      <c r="AB683" s="124"/>
      <c r="AC683" s="124"/>
      <c r="AD683" s="124"/>
      <c r="AE683" s="124"/>
      <c r="AF683" s="124"/>
      <c r="AG683" s="124"/>
      <c r="AH683" s="124"/>
      <c r="AI683" s="124"/>
      <c r="AJ683" s="124"/>
    </row>
    <row r="684" spans="1:36" x14ac:dyDescent="0.3">
      <c r="A684" s="124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  <c r="AA684" s="124"/>
      <c r="AB684" s="124"/>
      <c r="AC684" s="124"/>
      <c r="AD684" s="124"/>
      <c r="AE684" s="124"/>
      <c r="AF684" s="124"/>
      <c r="AG684" s="124"/>
      <c r="AH684" s="124"/>
      <c r="AI684" s="124"/>
      <c r="AJ684" s="124"/>
    </row>
    <row r="685" spans="1:36" x14ac:dyDescent="0.3">
      <c r="A685" s="124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  <c r="AA685" s="124"/>
      <c r="AB685" s="124"/>
      <c r="AC685" s="124"/>
      <c r="AD685" s="124"/>
      <c r="AE685" s="124"/>
      <c r="AF685" s="124"/>
      <c r="AG685" s="124"/>
      <c r="AH685" s="124"/>
      <c r="AI685" s="124"/>
      <c r="AJ685" s="124"/>
    </row>
    <row r="686" spans="1:36" x14ac:dyDescent="0.3">
      <c r="A686" s="124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  <c r="AA686" s="124"/>
      <c r="AB686" s="124"/>
      <c r="AC686" s="124"/>
      <c r="AD686" s="124"/>
      <c r="AE686" s="124"/>
      <c r="AF686" s="124"/>
      <c r="AG686" s="124"/>
      <c r="AH686" s="124"/>
      <c r="AI686" s="124"/>
      <c r="AJ686" s="124"/>
    </row>
    <row r="687" spans="1:36" x14ac:dyDescent="0.3">
      <c r="A687" s="124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  <c r="AC687" s="124"/>
      <c r="AD687" s="124"/>
      <c r="AE687" s="124"/>
      <c r="AF687" s="124"/>
      <c r="AG687" s="124"/>
      <c r="AH687" s="124"/>
      <c r="AI687" s="124"/>
      <c r="AJ687" s="124"/>
    </row>
    <row r="688" spans="1:36" x14ac:dyDescent="0.3">
      <c r="A688" s="124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  <c r="AC688" s="124"/>
      <c r="AD688" s="124"/>
      <c r="AE688" s="124"/>
      <c r="AF688" s="124"/>
      <c r="AG688" s="124"/>
      <c r="AH688" s="124"/>
      <c r="AI688" s="124"/>
      <c r="AJ688" s="124"/>
    </row>
    <row r="689" spans="1:36" x14ac:dyDescent="0.3">
      <c r="A689" s="124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  <c r="AC689" s="124"/>
      <c r="AD689" s="124"/>
      <c r="AE689" s="124"/>
      <c r="AF689" s="124"/>
      <c r="AG689" s="124"/>
      <c r="AH689" s="124"/>
      <c r="AI689" s="124"/>
      <c r="AJ689" s="124"/>
    </row>
    <row r="690" spans="1:36" x14ac:dyDescent="0.3">
      <c r="A690" s="124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  <c r="AC690" s="124"/>
      <c r="AD690" s="124"/>
      <c r="AE690" s="124"/>
      <c r="AF690" s="124"/>
      <c r="AG690" s="124"/>
      <c r="AH690" s="124"/>
      <c r="AI690" s="124"/>
      <c r="AJ690" s="124"/>
    </row>
    <row r="691" spans="1:36" x14ac:dyDescent="0.3">
      <c r="A691" s="124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  <c r="AC691" s="124"/>
      <c r="AD691" s="124"/>
      <c r="AE691" s="124"/>
      <c r="AF691" s="124"/>
      <c r="AG691" s="124"/>
      <c r="AH691" s="124"/>
      <c r="AI691" s="124"/>
      <c r="AJ691" s="124"/>
    </row>
    <row r="692" spans="1:36" x14ac:dyDescent="0.3">
      <c r="A692" s="124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  <c r="AC692" s="124"/>
      <c r="AD692" s="124"/>
      <c r="AE692" s="124"/>
      <c r="AF692" s="124"/>
      <c r="AG692" s="124"/>
      <c r="AH692" s="124"/>
      <c r="AI692" s="124"/>
      <c r="AJ692" s="124"/>
    </row>
    <row r="693" spans="1:36" x14ac:dyDescent="0.3">
      <c r="A693" s="124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  <c r="AA693" s="124"/>
      <c r="AB693" s="124"/>
      <c r="AC693" s="124"/>
      <c r="AD693" s="124"/>
      <c r="AE693" s="124"/>
      <c r="AF693" s="124"/>
      <c r="AG693" s="124"/>
      <c r="AH693" s="124"/>
      <c r="AI693" s="124"/>
      <c r="AJ693" s="124"/>
    </row>
    <row r="694" spans="1:36" x14ac:dyDescent="0.3">
      <c r="A694" s="124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  <c r="AC694" s="124"/>
      <c r="AD694" s="124"/>
      <c r="AE694" s="124"/>
      <c r="AF694" s="124"/>
      <c r="AG694" s="124"/>
      <c r="AH694" s="124"/>
      <c r="AI694" s="124"/>
      <c r="AJ694" s="124"/>
    </row>
    <row r="695" spans="1:36" x14ac:dyDescent="0.3">
      <c r="A695" s="124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  <c r="AC695" s="124"/>
      <c r="AD695" s="124"/>
      <c r="AE695" s="124"/>
      <c r="AF695" s="124"/>
      <c r="AG695" s="124"/>
      <c r="AH695" s="124"/>
      <c r="AI695" s="124"/>
      <c r="AJ695" s="124"/>
    </row>
    <row r="696" spans="1:36" x14ac:dyDescent="0.3">
      <c r="A696" s="124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  <c r="AC696" s="124"/>
      <c r="AD696" s="124"/>
      <c r="AE696" s="124"/>
      <c r="AF696" s="124"/>
      <c r="AG696" s="124"/>
      <c r="AH696" s="124"/>
      <c r="AI696" s="124"/>
      <c r="AJ696" s="124"/>
    </row>
    <row r="697" spans="1:36" x14ac:dyDescent="0.3">
      <c r="A697" s="124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  <c r="AC697" s="124"/>
      <c r="AD697" s="124"/>
      <c r="AE697" s="124"/>
      <c r="AF697" s="124"/>
      <c r="AG697" s="124"/>
      <c r="AH697" s="124"/>
      <c r="AI697" s="124"/>
      <c r="AJ697" s="124"/>
    </row>
    <row r="698" spans="1:36" x14ac:dyDescent="0.3">
      <c r="A698" s="124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  <c r="AC698" s="124"/>
      <c r="AD698" s="124"/>
      <c r="AE698" s="124"/>
      <c r="AF698" s="124"/>
      <c r="AG698" s="124"/>
      <c r="AH698" s="124"/>
      <c r="AI698" s="124"/>
      <c r="AJ698" s="124"/>
    </row>
    <row r="699" spans="1:36" x14ac:dyDescent="0.3">
      <c r="A699" s="124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  <c r="AA699" s="124"/>
      <c r="AB699" s="124"/>
      <c r="AC699" s="124"/>
      <c r="AD699" s="124"/>
      <c r="AE699" s="124"/>
      <c r="AF699" s="124"/>
      <c r="AG699" s="124"/>
      <c r="AH699" s="124"/>
      <c r="AI699" s="124"/>
      <c r="AJ699" s="124"/>
    </row>
    <row r="700" spans="1:36" x14ac:dyDescent="0.3">
      <c r="A700" s="124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  <c r="AC700" s="124"/>
      <c r="AD700" s="124"/>
      <c r="AE700" s="124"/>
      <c r="AF700" s="124"/>
      <c r="AG700" s="124"/>
      <c r="AH700" s="124"/>
      <c r="AI700" s="124"/>
      <c r="AJ700" s="124"/>
    </row>
    <row r="701" spans="1:36" x14ac:dyDescent="0.3">
      <c r="A701" s="124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  <c r="AC701" s="124"/>
      <c r="AD701" s="124"/>
      <c r="AE701" s="124"/>
      <c r="AF701" s="124"/>
      <c r="AG701" s="124"/>
      <c r="AH701" s="124"/>
      <c r="AI701" s="124"/>
      <c r="AJ701" s="124"/>
    </row>
    <row r="702" spans="1:36" x14ac:dyDescent="0.3">
      <c r="A702" s="124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  <c r="AC702" s="124"/>
      <c r="AD702" s="124"/>
      <c r="AE702" s="124"/>
      <c r="AF702" s="124"/>
      <c r="AG702" s="124"/>
      <c r="AH702" s="124"/>
      <c r="AI702" s="124"/>
      <c r="AJ702" s="124"/>
    </row>
    <row r="703" spans="1:36" x14ac:dyDescent="0.3">
      <c r="A703" s="124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  <c r="AE703" s="124"/>
      <c r="AF703" s="124"/>
      <c r="AG703" s="124"/>
      <c r="AH703" s="124"/>
      <c r="AI703" s="124"/>
      <c r="AJ703" s="124"/>
    </row>
    <row r="704" spans="1:36" x14ac:dyDescent="0.3">
      <c r="A704" s="124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  <c r="AC704" s="124"/>
      <c r="AD704" s="124"/>
      <c r="AE704" s="124"/>
      <c r="AF704" s="124"/>
      <c r="AG704" s="124"/>
      <c r="AH704" s="124"/>
      <c r="AI704" s="124"/>
      <c r="AJ704" s="124"/>
    </row>
    <row r="705" spans="1:36" x14ac:dyDescent="0.3">
      <c r="A705" s="124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  <c r="AC705" s="124"/>
      <c r="AD705" s="124"/>
      <c r="AE705" s="124"/>
      <c r="AF705" s="124"/>
      <c r="AG705" s="124"/>
      <c r="AH705" s="124"/>
      <c r="AI705" s="124"/>
      <c r="AJ705" s="124"/>
    </row>
    <row r="706" spans="1:36" x14ac:dyDescent="0.3">
      <c r="A706" s="124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  <c r="AC706" s="124"/>
      <c r="AD706" s="124"/>
      <c r="AE706" s="124"/>
      <c r="AF706" s="124"/>
      <c r="AG706" s="124"/>
      <c r="AH706" s="124"/>
      <c r="AI706" s="124"/>
      <c r="AJ706" s="124"/>
    </row>
    <row r="707" spans="1:36" x14ac:dyDescent="0.3">
      <c r="A707" s="124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4"/>
      <c r="AC707" s="124"/>
      <c r="AD707" s="124"/>
      <c r="AE707" s="124"/>
      <c r="AF707" s="124"/>
      <c r="AG707" s="124"/>
      <c r="AH707" s="124"/>
      <c r="AI707" s="124"/>
      <c r="AJ707" s="124"/>
    </row>
    <row r="708" spans="1:36" x14ac:dyDescent="0.3">
      <c r="A708" s="124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24"/>
      <c r="AC708" s="124"/>
      <c r="AD708" s="124"/>
      <c r="AE708" s="124"/>
      <c r="AF708" s="124"/>
      <c r="AG708" s="124"/>
      <c r="AH708" s="124"/>
      <c r="AI708" s="124"/>
      <c r="AJ708" s="124"/>
    </row>
    <row r="709" spans="1:36" x14ac:dyDescent="0.3">
      <c r="A709" s="124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24"/>
      <c r="AC709" s="124"/>
      <c r="AD709" s="124"/>
      <c r="AE709" s="124"/>
      <c r="AF709" s="124"/>
      <c r="AG709" s="124"/>
      <c r="AH709" s="124"/>
      <c r="AI709" s="124"/>
      <c r="AJ709" s="124"/>
    </row>
    <row r="710" spans="1:36" x14ac:dyDescent="0.3">
      <c r="A710" s="124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  <c r="AA710" s="124"/>
      <c r="AB710" s="124"/>
      <c r="AC710" s="124"/>
      <c r="AD710" s="124"/>
      <c r="AE710" s="124"/>
      <c r="AF710" s="124"/>
      <c r="AG710" s="124"/>
      <c r="AH710" s="124"/>
      <c r="AI710" s="124"/>
      <c r="AJ710" s="124"/>
    </row>
    <row r="711" spans="1:36" x14ac:dyDescent="0.3">
      <c r="A711" s="124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  <c r="AA711" s="124"/>
      <c r="AB711" s="124"/>
      <c r="AC711" s="124"/>
      <c r="AD711" s="124"/>
      <c r="AE711" s="124"/>
      <c r="AF711" s="124"/>
      <c r="AG711" s="124"/>
      <c r="AH711" s="124"/>
      <c r="AI711" s="124"/>
      <c r="AJ711" s="124"/>
    </row>
    <row r="712" spans="1:36" x14ac:dyDescent="0.3">
      <c r="A712" s="124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  <c r="AA712" s="124"/>
      <c r="AB712" s="124"/>
      <c r="AC712" s="124"/>
      <c r="AD712" s="124"/>
      <c r="AE712" s="124"/>
      <c r="AF712" s="124"/>
      <c r="AG712" s="124"/>
      <c r="AH712" s="124"/>
      <c r="AI712" s="124"/>
      <c r="AJ712" s="124"/>
    </row>
    <row r="713" spans="1:36" x14ac:dyDescent="0.3">
      <c r="A713" s="124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  <c r="AA713" s="124"/>
      <c r="AB713" s="124"/>
      <c r="AC713" s="124"/>
      <c r="AD713" s="124"/>
      <c r="AE713" s="124"/>
      <c r="AF713" s="124"/>
      <c r="AG713" s="124"/>
      <c r="AH713" s="124"/>
      <c r="AI713" s="124"/>
      <c r="AJ713" s="124"/>
    </row>
    <row r="714" spans="1:36" x14ac:dyDescent="0.3">
      <c r="A714" s="124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  <c r="AA714" s="124"/>
      <c r="AB714" s="124"/>
      <c r="AC714" s="124"/>
      <c r="AD714" s="124"/>
      <c r="AE714" s="124"/>
      <c r="AF714" s="124"/>
      <c r="AG714" s="124"/>
      <c r="AH714" s="124"/>
      <c r="AI714" s="124"/>
      <c r="AJ714" s="124"/>
    </row>
    <row r="715" spans="1:36" x14ac:dyDescent="0.3">
      <c r="A715" s="124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  <c r="AA715" s="124"/>
      <c r="AB715" s="124"/>
      <c r="AC715" s="124"/>
      <c r="AD715" s="124"/>
      <c r="AE715" s="124"/>
      <c r="AF715" s="124"/>
      <c r="AG715" s="124"/>
      <c r="AH715" s="124"/>
      <c r="AI715" s="124"/>
      <c r="AJ715" s="124"/>
    </row>
    <row r="716" spans="1:36" x14ac:dyDescent="0.3">
      <c r="A716" s="124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  <c r="AA716" s="124"/>
      <c r="AB716" s="124"/>
      <c r="AC716" s="124"/>
      <c r="AD716" s="124"/>
      <c r="AE716" s="124"/>
      <c r="AF716" s="124"/>
      <c r="AG716" s="124"/>
      <c r="AH716" s="124"/>
      <c r="AI716" s="124"/>
      <c r="AJ716" s="124"/>
    </row>
    <row r="717" spans="1:36" x14ac:dyDescent="0.3">
      <c r="A717" s="124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  <c r="AA717" s="124"/>
      <c r="AB717" s="124"/>
      <c r="AC717" s="124"/>
      <c r="AD717" s="124"/>
      <c r="AE717" s="124"/>
      <c r="AF717" s="124"/>
      <c r="AG717" s="124"/>
      <c r="AH717" s="124"/>
      <c r="AI717" s="124"/>
      <c r="AJ717" s="124"/>
    </row>
    <row r="718" spans="1:36" x14ac:dyDescent="0.3">
      <c r="A718" s="124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  <c r="AA718" s="124"/>
      <c r="AB718" s="124"/>
      <c r="AC718" s="124"/>
      <c r="AD718" s="124"/>
      <c r="AE718" s="124"/>
      <c r="AF718" s="124"/>
      <c r="AG718" s="124"/>
      <c r="AH718" s="124"/>
      <c r="AI718" s="124"/>
      <c r="AJ718" s="124"/>
    </row>
    <row r="719" spans="1:36" x14ac:dyDescent="0.3">
      <c r="A719" s="124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  <c r="AA719" s="124"/>
      <c r="AB719" s="124"/>
      <c r="AC719" s="124"/>
      <c r="AD719" s="124"/>
      <c r="AE719" s="124"/>
      <c r="AF719" s="124"/>
      <c r="AG719" s="124"/>
      <c r="AH719" s="124"/>
      <c r="AI719" s="124"/>
      <c r="AJ719" s="124"/>
    </row>
    <row r="720" spans="1:36" x14ac:dyDescent="0.3">
      <c r="A720" s="124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  <c r="AA720" s="124"/>
      <c r="AB720" s="124"/>
      <c r="AC720" s="124"/>
      <c r="AD720" s="124"/>
      <c r="AE720" s="124"/>
      <c r="AF720" s="124"/>
      <c r="AG720" s="124"/>
      <c r="AH720" s="124"/>
      <c r="AI720" s="124"/>
      <c r="AJ720" s="124"/>
    </row>
    <row r="721" spans="1:36" x14ac:dyDescent="0.3">
      <c r="A721" s="124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  <c r="AA721" s="124"/>
      <c r="AB721" s="124"/>
      <c r="AC721" s="124"/>
      <c r="AD721" s="124"/>
      <c r="AE721" s="124"/>
      <c r="AF721" s="124"/>
      <c r="AG721" s="124"/>
      <c r="AH721" s="124"/>
      <c r="AI721" s="124"/>
      <c r="AJ721" s="124"/>
    </row>
    <row r="722" spans="1:36" x14ac:dyDescent="0.3">
      <c r="A722" s="124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24"/>
      <c r="AC722" s="124"/>
      <c r="AD722" s="124"/>
      <c r="AE722" s="124"/>
      <c r="AF722" s="124"/>
      <c r="AG722" s="124"/>
      <c r="AH722" s="124"/>
      <c r="AI722" s="124"/>
      <c r="AJ722" s="124"/>
    </row>
    <row r="723" spans="1:36" x14ac:dyDescent="0.3">
      <c r="A723" s="124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  <c r="AA723" s="124"/>
      <c r="AB723" s="124"/>
      <c r="AC723" s="124"/>
      <c r="AD723" s="124"/>
      <c r="AE723" s="124"/>
      <c r="AF723" s="124"/>
      <c r="AG723" s="124"/>
      <c r="AH723" s="124"/>
      <c r="AI723" s="124"/>
      <c r="AJ723" s="124"/>
    </row>
    <row r="724" spans="1:36" x14ac:dyDescent="0.3">
      <c r="A724" s="124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4"/>
      <c r="AC724" s="124"/>
      <c r="AD724" s="124"/>
      <c r="AE724" s="124"/>
      <c r="AF724" s="124"/>
      <c r="AG724" s="124"/>
      <c r="AH724" s="124"/>
      <c r="AI724" s="124"/>
      <c r="AJ724" s="124"/>
    </row>
    <row r="725" spans="1:36" x14ac:dyDescent="0.3">
      <c r="A725" s="124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4"/>
      <c r="AC725" s="124"/>
      <c r="AD725" s="124"/>
      <c r="AE725" s="124"/>
      <c r="AF725" s="124"/>
      <c r="AG725" s="124"/>
      <c r="AH725" s="124"/>
      <c r="AI725" s="124"/>
      <c r="AJ725" s="124"/>
    </row>
    <row r="726" spans="1:36" x14ac:dyDescent="0.3">
      <c r="A726" s="124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  <c r="AC726" s="124"/>
      <c r="AD726" s="124"/>
      <c r="AE726" s="124"/>
      <c r="AF726" s="124"/>
      <c r="AG726" s="124"/>
      <c r="AH726" s="124"/>
      <c r="AI726" s="124"/>
      <c r="AJ726" s="124"/>
    </row>
    <row r="727" spans="1:36" x14ac:dyDescent="0.3">
      <c r="A727" s="124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  <c r="AC727" s="124"/>
      <c r="AD727" s="124"/>
      <c r="AE727" s="124"/>
      <c r="AF727" s="124"/>
      <c r="AG727" s="124"/>
      <c r="AH727" s="124"/>
      <c r="AI727" s="124"/>
      <c r="AJ727" s="124"/>
    </row>
    <row r="728" spans="1:36" x14ac:dyDescent="0.3">
      <c r="A728" s="124"/>
      <c r="B728" s="124"/>
      <c r="C728" s="124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4"/>
      <c r="AC728" s="124"/>
      <c r="AD728" s="124"/>
      <c r="AE728" s="124"/>
      <c r="AF728" s="124"/>
      <c r="AG728" s="124"/>
      <c r="AH728" s="124"/>
      <c r="AI728" s="124"/>
      <c r="AJ728" s="124"/>
    </row>
    <row r="729" spans="1:36" x14ac:dyDescent="0.3">
      <c r="A729" s="124"/>
      <c r="B729" s="124"/>
      <c r="C729" s="124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  <c r="AA729" s="124"/>
      <c r="AB729" s="124"/>
      <c r="AC729" s="124"/>
      <c r="AD729" s="124"/>
      <c r="AE729" s="124"/>
      <c r="AF729" s="124"/>
      <c r="AG729" s="124"/>
      <c r="AH729" s="124"/>
      <c r="AI729" s="124"/>
      <c r="AJ729" s="124"/>
    </row>
    <row r="730" spans="1:36" x14ac:dyDescent="0.3">
      <c r="A730" s="124"/>
      <c r="B730" s="124"/>
      <c r="C730" s="124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  <c r="AA730" s="124"/>
      <c r="AB730" s="124"/>
      <c r="AC730" s="124"/>
      <c r="AD730" s="124"/>
      <c r="AE730" s="124"/>
      <c r="AF730" s="124"/>
      <c r="AG730" s="124"/>
      <c r="AH730" s="124"/>
      <c r="AI730" s="124"/>
      <c r="AJ730" s="124"/>
    </row>
    <row r="731" spans="1:36" x14ac:dyDescent="0.3">
      <c r="A731" s="124"/>
      <c r="B731" s="124"/>
      <c r="C731" s="124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24"/>
      <c r="AC731" s="124"/>
      <c r="AD731" s="124"/>
      <c r="AE731" s="124"/>
      <c r="AF731" s="124"/>
      <c r="AG731" s="124"/>
      <c r="AH731" s="124"/>
      <c r="AI731" s="124"/>
      <c r="AJ731" s="124"/>
    </row>
    <row r="732" spans="1:36" x14ac:dyDescent="0.3">
      <c r="A732" s="124"/>
      <c r="B732" s="124"/>
      <c r="C732" s="124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  <c r="AA732" s="124"/>
      <c r="AB732" s="124"/>
      <c r="AC732" s="124"/>
      <c r="AD732" s="124"/>
      <c r="AE732" s="124"/>
      <c r="AF732" s="124"/>
      <c r="AG732" s="124"/>
      <c r="AH732" s="124"/>
      <c r="AI732" s="124"/>
      <c r="AJ732" s="124"/>
    </row>
    <row r="733" spans="1:36" x14ac:dyDescent="0.3">
      <c r="A733" s="124"/>
      <c r="B733" s="124"/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  <c r="AA733" s="124"/>
      <c r="AB733" s="124"/>
      <c r="AC733" s="124"/>
      <c r="AD733" s="124"/>
      <c r="AE733" s="124"/>
      <c r="AF733" s="124"/>
      <c r="AG733" s="124"/>
      <c r="AH733" s="124"/>
      <c r="AI733" s="124"/>
      <c r="AJ733" s="124"/>
    </row>
    <row r="734" spans="1:36" x14ac:dyDescent="0.3">
      <c r="A734" s="124"/>
      <c r="B734" s="124"/>
      <c r="C734" s="124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  <c r="AA734" s="124"/>
      <c r="AB734" s="124"/>
      <c r="AC734" s="124"/>
      <c r="AD734" s="124"/>
      <c r="AE734" s="124"/>
      <c r="AF734" s="124"/>
      <c r="AG734" s="124"/>
      <c r="AH734" s="124"/>
      <c r="AI734" s="124"/>
      <c r="AJ734" s="124"/>
    </row>
    <row r="735" spans="1:36" x14ac:dyDescent="0.3">
      <c r="A735" s="124"/>
      <c r="B735" s="124"/>
      <c r="C735" s="124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24"/>
      <c r="AC735" s="124"/>
      <c r="AD735" s="124"/>
      <c r="AE735" s="124"/>
      <c r="AF735" s="124"/>
      <c r="AG735" s="124"/>
      <c r="AH735" s="124"/>
      <c r="AI735" s="124"/>
      <c r="AJ735" s="124"/>
    </row>
    <row r="736" spans="1:36" x14ac:dyDescent="0.3">
      <c r="A736" s="124"/>
      <c r="B736" s="124"/>
      <c r="C736" s="124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24"/>
      <c r="AC736" s="124"/>
      <c r="AD736" s="124"/>
      <c r="AE736" s="124"/>
      <c r="AF736" s="124"/>
      <c r="AG736" s="124"/>
      <c r="AH736" s="124"/>
      <c r="AI736" s="124"/>
      <c r="AJ736" s="124"/>
    </row>
    <row r="737" spans="1:36" x14ac:dyDescent="0.3">
      <c r="A737" s="124"/>
      <c r="B737" s="124"/>
      <c r="C737" s="124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4"/>
      <c r="AC737" s="124"/>
      <c r="AD737" s="124"/>
      <c r="AE737" s="124"/>
      <c r="AF737" s="124"/>
      <c r="AG737" s="124"/>
      <c r="AH737" s="124"/>
      <c r="AI737" s="124"/>
      <c r="AJ737" s="124"/>
    </row>
    <row r="738" spans="1:36" x14ac:dyDescent="0.3">
      <c r="A738" s="124"/>
      <c r="B738" s="124"/>
      <c r="C738" s="124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4"/>
      <c r="AC738" s="124"/>
      <c r="AD738" s="124"/>
      <c r="AE738" s="124"/>
      <c r="AF738" s="124"/>
      <c r="AG738" s="124"/>
      <c r="AH738" s="124"/>
      <c r="AI738" s="124"/>
      <c r="AJ738" s="124"/>
    </row>
    <row r="739" spans="1:36" x14ac:dyDescent="0.3">
      <c r="A739" s="124"/>
      <c r="B739" s="124"/>
      <c r="C739" s="124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24"/>
      <c r="AC739" s="124"/>
      <c r="AD739" s="124"/>
      <c r="AE739" s="124"/>
      <c r="AF739" s="124"/>
      <c r="AG739" s="124"/>
      <c r="AH739" s="124"/>
      <c r="AI739" s="124"/>
      <c r="AJ739" s="124"/>
    </row>
    <row r="740" spans="1:36" x14ac:dyDescent="0.3">
      <c r="A740" s="124"/>
      <c r="B740" s="124"/>
      <c r="C740" s="124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24"/>
      <c r="AC740" s="124"/>
      <c r="AD740" s="124"/>
      <c r="AE740" s="124"/>
      <c r="AF740" s="124"/>
      <c r="AG740" s="124"/>
      <c r="AH740" s="124"/>
      <c r="AI740" s="124"/>
      <c r="AJ740" s="124"/>
    </row>
    <row r="741" spans="1:36" x14ac:dyDescent="0.3">
      <c r="A741" s="124"/>
      <c r="B741" s="124"/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4"/>
      <c r="AC741" s="124"/>
      <c r="AD741" s="124"/>
      <c r="AE741" s="124"/>
      <c r="AF741" s="124"/>
      <c r="AG741" s="124"/>
      <c r="AH741" s="124"/>
      <c r="AI741" s="124"/>
      <c r="AJ741" s="124"/>
    </row>
    <row r="742" spans="1:36" x14ac:dyDescent="0.3">
      <c r="A742" s="124"/>
      <c r="B742" s="124"/>
      <c r="C742" s="124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24"/>
      <c r="AC742" s="124"/>
      <c r="AD742" s="124"/>
      <c r="AE742" s="124"/>
      <c r="AF742" s="124"/>
      <c r="AG742" s="124"/>
      <c r="AH742" s="124"/>
      <c r="AI742" s="124"/>
      <c r="AJ742" s="124"/>
    </row>
    <row r="743" spans="1:36" x14ac:dyDescent="0.3">
      <c r="A743" s="124"/>
      <c r="B743" s="124"/>
      <c r="C743" s="124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  <c r="AA743" s="124"/>
      <c r="AB743" s="124"/>
      <c r="AC743" s="124"/>
      <c r="AD743" s="124"/>
      <c r="AE743" s="124"/>
      <c r="AF743" s="124"/>
      <c r="AG743" s="124"/>
      <c r="AH743" s="124"/>
      <c r="AI743" s="124"/>
      <c r="AJ743" s="124"/>
    </row>
    <row r="744" spans="1:36" x14ac:dyDescent="0.3">
      <c r="A744" s="124"/>
      <c r="B744" s="124"/>
      <c r="C744" s="124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  <c r="AA744" s="124"/>
      <c r="AB744" s="124"/>
      <c r="AC744" s="124"/>
      <c r="AD744" s="124"/>
      <c r="AE744" s="124"/>
      <c r="AF744" s="124"/>
      <c r="AG744" s="124"/>
      <c r="AH744" s="124"/>
      <c r="AI744" s="124"/>
      <c r="AJ744" s="124"/>
    </row>
    <row r="745" spans="1:36" x14ac:dyDescent="0.3">
      <c r="A745" s="124"/>
      <c r="B745" s="124"/>
      <c r="C745" s="124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  <c r="AA745" s="124"/>
      <c r="AB745" s="124"/>
      <c r="AC745" s="124"/>
      <c r="AD745" s="124"/>
      <c r="AE745" s="124"/>
      <c r="AF745" s="124"/>
      <c r="AG745" s="124"/>
      <c r="AH745" s="124"/>
      <c r="AI745" s="124"/>
      <c r="AJ745" s="124"/>
    </row>
    <row r="746" spans="1:36" x14ac:dyDescent="0.3">
      <c r="A746" s="124"/>
      <c r="B746" s="124"/>
      <c r="C746" s="124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  <c r="AA746" s="124"/>
      <c r="AB746" s="124"/>
      <c r="AC746" s="124"/>
      <c r="AD746" s="124"/>
      <c r="AE746" s="124"/>
      <c r="AF746" s="124"/>
      <c r="AG746" s="124"/>
      <c r="AH746" s="124"/>
      <c r="AI746" s="124"/>
      <c r="AJ746" s="124"/>
    </row>
    <row r="747" spans="1:36" x14ac:dyDescent="0.3">
      <c r="A747" s="124"/>
      <c r="B747" s="124"/>
      <c r="C747" s="124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  <c r="AA747" s="124"/>
      <c r="AB747" s="124"/>
      <c r="AC747" s="124"/>
      <c r="AD747" s="124"/>
      <c r="AE747" s="124"/>
      <c r="AF747" s="124"/>
      <c r="AG747" s="124"/>
      <c r="AH747" s="124"/>
      <c r="AI747" s="124"/>
      <c r="AJ747" s="124"/>
    </row>
    <row r="748" spans="1:36" x14ac:dyDescent="0.3">
      <c r="A748" s="124"/>
      <c r="B748" s="124"/>
      <c r="C748" s="124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  <c r="AA748" s="124"/>
      <c r="AB748" s="124"/>
      <c r="AC748" s="124"/>
      <c r="AD748" s="124"/>
      <c r="AE748" s="124"/>
      <c r="AF748" s="124"/>
      <c r="AG748" s="124"/>
      <c r="AH748" s="124"/>
      <c r="AI748" s="124"/>
      <c r="AJ748" s="124"/>
    </row>
    <row r="749" spans="1:36" x14ac:dyDescent="0.3">
      <c r="A749" s="124"/>
      <c r="B749" s="124"/>
      <c r="C749" s="124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  <c r="AA749" s="124"/>
      <c r="AB749" s="124"/>
      <c r="AC749" s="124"/>
      <c r="AD749" s="124"/>
      <c r="AE749" s="124"/>
      <c r="AF749" s="124"/>
      <c r="AG749" s="124"/>
      <c r="AH749" s="124"/>
      <c r="AI749" s="124"/>
      <c r="AJ749" s="124"/>
    </row>
    <row r="750" spans="1:36" x14ac:dyDescent="0.3">
      <c r="A750" s="124"/>
      <c r="B750" s="124"/>
      <c r="C750" s="124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  <c r="AA750" s="124"/>
      <c r="AB750" s="124"/>
      <c r="AC750" s="124"/>
      <c r="AD750" s="124"/>
      <c r="AE750" s="124"/>
      <c r="AF750" s="124"/>
      <c r="AG750" s="124"/>
      <c r="AH750" s="124"/>
      <c r="AI750" s="124"/>
      <c r="AJ750" s="124"/>
    </row>
    <row r="751" spans="1:36" x14ac:dyDescent="0.3">
      <c r="A751" s="124"/>
      <c r="B751" s="124"/>
      <c r="C751" s="124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  <c r="AA751" s="124"/>
      <c r="AB751" s="124"/>
      <c r="AC751" s="124"/>
      <c r="AD751" s="124"/>
      <c r="AE751" s="124"/>
      <c r="AF751" s="124"/>
      <c r="AG751" s="124"/>
      <c r="AH751" s="124"/>
      <c r="AI751" s="124"/>
      <c r="AJ751" s="124"/>
    </row>
    <row r="752" spans="1:36" x14ac:dyDescent="0.3">
      <c r="A752" s="124"/>
      <c r="B752" s="124"/>
      <c r="C752" s="124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  <c r="AA752" s="124"/>
      <c r="AB752" s="124"/>
      <c r="AC752" s="124"/>
      <c r="AD752" s="124"/>
      <c r="AE752" s="124"/>
      <c r="AF752" s="124"/>
      <c r="AG752" s="124"/>
      <c r="AH752" s="124"/>
      <c r="AI752" s="124"/>
      <c r="AJ752" s="124"/>
    </row>
    <row r="753" spans="1:36" x14ac:dyDescent="0.3">
      <c r="A753" s="124"/>
      <c r="B753" s="124"/>
      <c r="C753" s="124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  <c r="AA753" s="124"/>
      <c r="AB753" s="124"/>
      <c r="AC753" s="124"/>
      <c r="AD753" s="124"/>
      <c r="AE753" s="124"/>
      <c r="AF753" s="124"/>
      <c r="AG753" s="124"/>
      <c r="AH753" s="124"/>
      <c r="AI753" s="124"/>
      <c r="AJ753" s="124"/>
    </row>
    <row r="754" spans="1:36" x14ac:dyDescent="0.3">
      <c r="A754" s="124"/>
      <c r="B754" s="124"/>
      <c r="C754" s="124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  <c r="AA754" s="124"/>
      <c r="AB754" s="124"/>
      <c r="AC754" s="124"/>
      <c r="AD754" s="124"/>
      <c r="AE754" s="124"/>
      <c r="AF754" s="124"/>
      <c r="AG754" s="124"/>
      <c r="AH754" s="124"/>
      <c r="AI754" s="124"/>
      <c r="AJ754" s="124"/>
    </row>
    <row r="755" spans="1:36" x14ac:dyDescent="0.3">
      <c r="A755" s="124"/>
      <c r="B755" s="124"/>
      <c r="C755" s="124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  <c r="AA755" s="124"/>
      <c r="AB755" s="124"/>
      <c r="AC755" s="124"/>
      <c r="AD755" s="124"/>
      <c r="AE755" s="124"/>
      <c r="AF755" s="124"/>
      <c r="AG755" s="124"/>
      <c r="AH755" s="124"/>
      <c r="AI755" s="124"/>
      <c r="AJ755" s="124"/>
    </row>
    <row r="756" spans="1:36" x14ac:dyDescent="0.3">
      <c r="A756" s="124"/>
      <c r="B756" s="124"/>
      <c r="C756" s="124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  <c r="AA756" s="124"/>
      <c r="AB756" s="124"/>
      <c r="AC756" s="124"/>
      <c r="AD756" s="124"/>
      <c r="AE756" s="124"/>
      <c r="AF756" s="124"/>
      <c r="AG756" s="124"/>
      <c r="AH756" s="124"/>
      <c r="AI756" s="124"/>
      <c r="AJ756" s="124"/>
    </row>
    <row r="757" spans="1:36" x14ac:dyDescent="0.3">
      <c r="A757" s="124"/>
      <c r="B757" s="124"/>
      <c r="C757" s="124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  <c r="AA757" s="124"/>
      <c r="AB757" s="124"/>
      <c r="AC757" s="124"/>
      <c r="AD757" s="124"/>
      <c r="AE757" s="124"/>
      <c r="AF757" s="124"/>
      <c r="AG757" s="124"/>
      <c r="AH757" s="124"/>
      <c r="AI757" s="124"/>
      <c r="AJ757" s="124"/>
    </row>
    <row r="758" spans="1:36" x14ac:dyDescent="0.3">
      <c r="A758" s="124"/>
      <c r="B758" s="124"/>
      <c r="C758" s="124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  <c r="AA758" s="124"/>
      <c r="AB758" s="124"/>
      <c r="AC758" s="124"/>
      <c r="AD758" s="124"/>
      <c r="AE758" s="124"/>
      <c r="AF758" s="124"/>
      <c r="AG758" s="124"/>
      <c r="AH758" s="124"/>
      <c r="AI758" s="124"/>
      <c r="AJ758" s="124"/>
    </row>
    <row r="759" spans="1:36" x14ac:dyDescent="0.3">
      <c r="A759" s="124"/>
      <c r="B759" s="124"/>
      <c r="C759" s="124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24"/>
      <c r="AC759" s="124"/>
      <c r="AD759" s="124"/>
      <c r="AE759" s="124"/>
      <c r="AF759" s="124"/>
      <c r="AG759" s="124"/>
      <c r="AH759" s="124"/>
      <c r="AI759" s="124"/>
      <c r="AJ759" s="124"/>
    </row>
    <row r="760" spans="1:36" x14ac:dyDescent="0.3">
      <c r="A760" s="124"/>
      <c r="B760" s="124"/>
      <c r="C760" s="124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  <c r="AA760" s="124"/>
      <c r="AB760" s="124"/>
      <c r="AC760" s="124"/>
      <c r="AD760" s="124"/>
      <c r="AE760" s="124"/>
      <c r="AF760" s="124"/>
      <c r="AG760" s="124"/>
      <c r="AH760" s="124"/>
      <c r="AI760" s="124"/>
      <c r="AJ760" s="124"/>
    </row>
    <row r="761" spans="1:36" x14ac:dyDescent="0.3">
      <c r="A761" s="124"/>
      <c r="B761" s="124"/>
      <c r="C761" s="124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  <c r="AA761" s="124"/>
      <c r="AB761" s="124"/>
      <c r="AC761" s="124"/>
      <c r="AD761" s="124"/>
      <c r="AE761" s="124"/>
      <c r="AF761" s="124"/>
      <c r="AG761" s="124"/>
      <c r="AH761" s="124"/>
      <c r="AI761" s="124"/>
      <c r="AJ761" s="124"/>
    </row>
    <row r="762" spans="1:36" x14ac:dyDescent="0.3">
      <c r="A762" s="124"/>
      <c r="B762" s="124"/>
      <c r="C762" s="124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  <c r="AA762" s="124"/>
      <c r="AB762" s="124"/>
      <c r="AC762" s="124"/>
      <c r="AD762" s="124"/>
      <c r="AE762" s="124"/>
      <c r="AF762" s="124"/>
      <c r="AG762" s="124"/>
      <c r="AH762" s="124"/>
      <c r="AI762" s="124"/>
      <c r="AJ762" s="124"/>
    </row>
    <row r="763" spans="1:36" x14ac:dyDescent="0.3">
      <c r="A763" s="124"/>
      <c r="B763" s="124"/>
      <c r="C763" s="124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24"/>
      <c r="AC763" s="124"/>
      <c r="AD763" s="124"/>
      <c r="AE763" s="124"/>
      <c r="AF763" s="124"/>
      <c r="AG763" s="124"/>
      <c r="AH763" s="124"/>
      <c r="AI763" s="124"/>
      <c r="AJ763" s="124"/>
    </row>
    <row r="764" spans="1:36" x14ac:dyDescent="0.3">
      <c r="A764" s="124"/>
      <c r="B764" s="124"/>
      <c r="C764" s="124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24"/>
      <c r="AC764" s="124"/>
      <c r="AD764" s="124"/>
      <c r="AE764" s="124"/>
      <c r="AF764" s="124"/>
      <c r="AG764" s="124"/>
      <c r="AH764" s="124"/>
      <c r="AI764" s="124"/>
      <c r="AJ764" s="124"/>
    </row>
    <row r="765" spans="1:36" x14ac:dyDescent="0.3">
      <c r="A765" s="124"/>
      <c r="B765" s="124"/>
      <c r="C765" s="124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  <c r="AA765" s="124"/>
      <c r="AB765" s="124"/>
      <c r="AC765" s="124"/>
      <c r="AD765" s="124"/>
      <c r="AE765" s="124"/>
      <c r="AF765" s="124"/>
      <c r="AG765" s="124"/>
      <c r="AH765" s="124"/>
      <c r="AI765" s="124"/>
      <c r="AJ765" s="124"/>
    </row>
    <row r="766" spans="1:36" x14ac:dyDescent="0.3">
      <c r="A766" s="124"/>
      <c r="B766" s="124"/>
      <c r="C766" s="124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  <c r="AA766" s="124"/>
      <c r="AB766" s="124"/>
      <c r="AC766" s="124"/>
      <c r="AD766" s="124"/>
      <c r="AE766" s="124"/>
      <c r="AF766" s="124"/>
      <c r="AG766" s="124"/>
      <c r="AH766" s="124"/>
      <c r="AI766" s="124"/>
      <c r="AJ766" s="124"/>
    </row>
    <row r="767" spans="1:36" x14ac:dyDescent="0.3">
      <c r="A767" s="124"/>
      <c r="B767" s="124"/>
      <c r="C767" s="124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  <c r="AA767" s="124"/>
      <c r="AB767" s="124"/>
      <c r="AC767" s="124"/>
      <c r="AD767" s="124"/>
      <c r="AE767" s="124"/>
      <c r="AF767" s="124"/>
      <c r="AG767" s="124"/>
      <c r="AH767" s="124"/>
      <c r="AI767" s="124"/>
      <c r="AJ767" s="124"/>
    </row>
    <row r="768" spans="1:36" x14ac:dyDescent="0.3">
      <c r="A768" s="124"/>
      <c r="B768" s="124"/>
      <c r="C768" s="124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  <c r="AA768" s="124"/>
      <c r="AB768" s="124"/>
      <c r="AC768" s="124"/>
      <c r="AD768" s="124"/>
      <c r="AE768" s="124"/>
      <c r="AF768" s="124"/>
      <c r="AG768" s="124"/>
      <c r="AH768" s="124"/>
      <c r="AI768" s="124"/>
      <c r="AJ768" s="124"/>
    </row>
    <row r="769" spans="1:36" x14ac:dyDescent="0.3">
      <c r="A769" s="124"/>
      <c r="B769" s="124"/>
      <c r="C769" s="124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  <c r="AA769" s="124"/>
      <c r="AB769" s="124"/>
      <c r="AC769" s="124"/>
      <c r="AD769" s="124"/>
      <c r="AE769" s="124"/>
      <c r="AF769" s="124"/>
      <c r="AG769" s="124"/>
      <c r="AH769" s="124"/>
      <c r="AI769" s="124"/>
      <c r="AJ769" s="124"/>
    </row>
    <row r="770" spans="1:36" x14ac:dyDescent="0.3">
      <c r="A770" s="124"/>
      <c r="B770" s="124"/>
      <c r="C770" s="124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24"/>
      <c r="AC770" s="124"/>
      <c r="AD770" s="124"/>
      <c r="AE770" s="124"/>
      <c r="AF770" s="124"/>
      <c r="AG770" s="124"/>
      <c r="AH770" s="124"/>
      <c r="AI770" s="124"/>
      <c r="AJ770" s="124"/>
    </row>
    <row r="771" spans="1:36" x14ac:dyDescent="0.3">
      <c r="A771" s="124"/>
      <c r="B771" s="124"/>
      <c r="C771" s="124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  <c r="AA771" s="124"/>
      <c r="AB771" s="124"/>
      <c r="AC771" s="124"/>
      <c r="AD771" s="124"/>
      <c r="AE771" s="124"/>
      <c r="AF771" s="124"/>
      <c r="AG771" s="124"/>
      <c r="AH771" s="124"/>
      <c r="AI771" s="124"/>
      <c r="AJ771" s="124"/>
    </row>
    <row r="772" spans="1:36" x14ac:dyDescent="0.3">
      <c r="A772" s="124"/>
      <c r="B772" s="124"/>
      <c r="C772" s="124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  <c r="AA772" s="124"/>
      <c r="AB772" s="124"/>
      <c r="AC772" s="124"/>
      <c r="AD772" s="124"/>
      <c r="AE772" s="124"/>
      <c r="AF772" s="124"/>
      <c r="AG772" s="124"/>
      <c r="AH772" s="124"/>
      <c r="AI772" s="124"/>
      <c r="AJ772" s="124"/>
    </row>
    <row r="773" spans="1:36" x14ac:dyDescent="0.3">
      <c r="A773" s="124"/>
      <c r="B773" s="124"/>
      <c r="C773" s="124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  <c r="AA773" s="124"/>
      <c r="AB773" s="124"/>
      <c r="AC773" s="124"/>
      <c r="AD773" s="124"/>
      <c r="AE773" s="124"/>
      <c r="AF773" s="124"/>
      <c r="AG773" s="124"/>
      <c r="AH773" s="124"/>
      <c r="AI773" s="124"/>
      <c r="AJ773" s="124"/>
    </row>
    <row r="774" spans="1:36" x14ac:dyDescent="0.3">
      <c r="A774" s="124"/>
      <c r="B774" s="124"/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24"/>
      <c r="AC774" s="124"/>
      <c r="AD774" s="124"/>
      <c r="AE774" s="124"/>
      <c r="AF774" s="124"/>
      <c r="AG774" s="124"/>
      <c r="AH774" s="124"/>
      <c r="AI774" s="124"/>
      <c r="AJ774" s="124"/>
    </row>
    <row r="775" spans="1:36" x14ac:dyDescent="0.3">
      <c r="A775" s="124"/>
      <c r="B775" s="124"/>
      <c r="C775" s="124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  <c r="AA775" s="124"/>
      <c r="AB775" s="124"/>
      <c r="AC775" s="124"/>
      <c r="AD775" s="124"/>
      <c r="AE775" s="124"/>
      <c r="AF775" s="124"/>
      <c r="AG775" s="124"/>
      <c r="AH775" s="124"/>
      <c r="AI775" s="124"/>
      <c r="AJ775" s="124"/>
    </row>
    <row r="776" spans="1:36" x14ac:dyDescent="0.3">
      <c r="A776" s="124"/>
      <c r="B776" s="124"/>
      <c r="C776" s="124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  <c r="AA776" s="124"/>
      <c r="AB776" s="124"/>
      <c r="AC776" s="124"/>
      <c r="AD776" s="124"/>
      <c r="AE776" s="124"/>
      <c r="AF776" s="124"/>
      <c r="AG776" s="124"/>
      <c r="AH776" s="124"/>
      <c r="AI776" s="124"/>
      <c r="AJ776" s="124"/>
    </row>
    <row r="777" spans="1:36" x14ac:dyDescent="0.3">
      <c r="A777" s="124"/>
      <c r="B777" s="124"/>
      <c r="C777" s="124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  <c r="AA777" s="124"/>
      <c r="AB777" s="124"/>
      <c r="AC777" s="124"/>
      <c r="AD777" s="124"/>
      <c r="AE777" s="124"/>
      <c r="AF777" s="124"/>
      <c r="AG777" s="124"/>
      <c r="AH777" s="124"/>
      <c r="AI777" s="124"/>
      <c r="AJ777" s="124"/>
    </row>
    <row r="778" spans="1:36" x14ac:dyDescent="0.3">
      <c r="A778" s="124"/>
      <c r="B778" s="124"/>
      <c r="C778" s="124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  <c r="AA778" s="124"/>
      <c r="AB778" s="124"/>
      <c r="AC778" s="124"/>
      <c r="AD778" s="124"/>
      <c r="AE778" s="124"/>
      <c r="AF778" s="124"/>
      <c r="AG778" s="124"/>
      <c r="AH778" s="124"/>
      <c r="AI778" s="124"/>
      <c r="AJ778" s="124"/>
    </row>
    <row r="779" spans="1:36" x14ac:dyDescent="0.3">
      <c r="A779" s="124"/>
      <c r="B779" s="124"/>
      <c r="C779" s="124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  <c r="AA779" s="124"/>
      <c r="AB779" s="124"/>
      <c r="AC779" s="124"/>
      <c r="AD779" s="124"/>
      <c r="AE779" s="124"/>
      <c r="AF779" s="124"/>
      <c r="AG779" s="124"/>
      <c r="AH779" s="124"/>
      <c r="AI779" s="124"/>
      <c r="AJ779" s="124"/>
    </row>
    <row r="780" spans="1:36" x14ac:dyDescent="0.3">
      <c r="A780" s="124"/>
      <c r="B780" s="124"/>
      <c r="C780" s="124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  <c r="AA780" s="124"/>
      <c r="AB780" s="124"/>
      <c r="AC780" s="124"/>
      <c r="AD780" s="124"/>
      <c r="AE780" s="124"/>
      <c r="AF780" s="124"/>
      <c r="AG780" s="124"/>
      <c r="AH780" s="124"/>
      <c r="AI780" s="124"/>
      <c r="AJ780" s="124"/>
    </row>
    <row r="781" spans="1:36" x14ac:dyDescent="0.3">
      <c r="A781" s="124"/>
      <c r="B781" s="124"/>
      <c r="C781" s="124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  <c r="AA781" s="124"/>
      <c r="AB781" s="124"/>
      <c r="AC781" s="124"/>
      <c r="AD781" s="124"/>
      <c r="AE781" s="124"/>
      <c r="AF781" s="124"/>
      <c r="AG781" s="124"/>
      <c r="AH781" s="124"/>
      <c r="AI781" s="124"/>
      <c r="AJ781" s="124"/>
    </row>
    <row r="782" spans="1:36" x14ac:dyDescent="0.3">
      <c r="A782" s="124"/>
      <c r="B782" s="124"/>
      <c r="C782" s="124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  <c r="AA782" s="124"/>
      <c r="AB782" s="124"/>
      <c r="AC782" s="124"/>
      <c r="AD782" s="124"/>
      <c r="AE782" s="124"/>
      <c r="AF782" s="124"/>
      <c r="AG782" s="124"/>
      <c r="AH782" s="124"/>
      <c r="AI782" s="124"/>
      <c r="AJ782" s="124"/>
    </row>
    <row r="783" spans="1:36" x14ac:dyDescent="0.3">
      <c r="A783" s="124"/>
      <c r="B783" s="124"/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24"/>
      <c r="AC783" s="124"/>
      <c r="AD783" s="124"/>
      <c r="AE783" s="124"/>
      <c r="AF783" s="124"/>
      <c r="AG783" s="124"/>
      <c r="AH783" s="124"/>
      <c r="AI783" s="124"/>
      <c r="AJ783" s="124"/>
    </row>
    <row r="784" spans="1:36" x14ac:dyDescent="0.3">
      <c r="A784" s="124"/>
      <c r="B784" s="124"/>
      <c r="C784" s="124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  <c r="AA784" s="124"/>
      <c r="AB784" s="124"/>
      <c r="AC784" s="124"/>
      <c r="AD784" s="124"/>
      <c r="AE784" s="124"/>
      <c r="AF784" s="124"/>
      <c r="AG784" s="124"/>
      <c r="AH784" s="124"/>
      <c r="AI784" s="124"/>
      <c r="AJ784" s="124"/>
    </row>
    <row r="785" spans="1:36" x14ac:dyDescent="0.3">
      <c r="A785" s="124"/>
      <c r="B785" s="124"/>
      <c r="C785" s="124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  <c r="AA785" s="124"/>
      <c r="AB785" s="124"/>
      <c r="AC785" s="124"/>
      <c r="AD785" s="124"/>
      <c r="AE785" s="124"/>
      <c r="AF785" s="124"/>
      <c r="AG785" s="124"/>
      <c r="AH785" s="124"/>
      <c r="AI785" s="124"/>
      <c r="AJ785" s="124"/>
    </row>
    <row r="786" spans="1:36" x14ac:dyDescent="0.3">
      <c r="A786" s="124"/>
      <c r="B786" s="124"/>
      <c r="C786" s="124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  <c r="AA786" s="124"/>
      <c r="AB786" s="124"/>
      <c r="AC786" s="124"/>
      <c r="AD786" s="124"/>
      <c r="AE786" s="124"/>
      <c r="AF786" s="124"/>
      <c r="AG786" s="124"/>
      <c r="AH786" s="124"/>
      <c r="AI786" s="124"/>
      <c r="AJ786" s="124"/>
    </row>
    <row r="787" spans="1:36" x14ac:dyDescent="0.3">
      <c r="A787" s="124"/>
      <c r="B787" s="124"/>
      <c r="C787" s="124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  <c r="AA787" s="124"/>
      <c r="AB787" s="124"/>
      <c r="AC787" s="124"/>
      <c r="AD787" s="124"/>
      <c r="AE787" s="124"/>
      <c r="AF787" s="124"/>
      <c r="AG787" s="124"/>
      <c r="AH787" s="124"/>
      <c r="AI787" s="124"/>
      <c r="AJ787" s="124"/>
    </row>
    <row r="788" spans="1:36" x14ac:dyDescent="0.3">
      <c r="A788" s="124"/>
      <c r="B788" s="124"/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  <c r="AA788" s="124"/>
      <c r="AB788" s="124"/>
      <c r="AC788" s="124"/>
      <c r="AD788" s="124"/>
      <c r="AE788" s="124"/>
      <c r="AF788" s="124"/>
      <c r="AG788" s="124"/>
      <c r="AH788" s="124"/>
      <c r="AI788" s="124"/>
      <c r="AJ788" s="124"/>
    </row>
    <row r="789" spans="1:36" x14ac:dyDescent="0.3">
      <c r="A789" s="124"/>
      <c r="B789" s="124"/>
      <c r="C789" s="124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24"/>
      <c r="AC789" s="124"/>
      <c r="AD789" s="124"/>
      <c r="AE789" s="124"/>
      <c r="AF789" s="124"/>
      <c r="AG789" s="124"/>
      <c r="AH789" s="124"/>
      <c r="AI789" s="124"/>
      <c r="AJ789" s="124"/>
    </row>
    <row r="790" spans="1:36" x14ac:dyDescent="0.3">
      <c r="A790" s="124"/>
      <c r="B790" s="124"/>
      <c r="C790" s="124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  <c r="AA790" s="124"/>
      <c r="AB790" s="124"/>
      <c r="AC790" s="124"/>
      <c r="AD790" s="124"/>
      <c r="AE790" s="124"/>
      <c r="AF790" s="124"/>
      <c r="AG790" s="124"/>
      <c r="AH790" s="124"/>
      <c r="AI790" s="124"/>
      <c r="AJ790" s="124"/>
    </row>
    <row r="791" spans="1:36" x14ac:dyDescent="0.3">
      <c r="A791" s="124"/>
      <c r="B791" s="124"/>
      <c r="C791" s="124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  <c r="AA791" s="124"/>
      <c r="AB791" s="124"/>
      <c r="AC791" s="124"/>
      <c r="AD791" s="124"/>
      <c r="AE791" s="124"/>
      <c r="AF791" s="124"/>
      <c r="AG791" s="124"/>
      <c r="AH791" s="124"/>
      <c r="AI791" s="124"/>
      <c r="AJ791" s="124"/>
    </row>
    <row r="792" spans="1:36" x14ac:dyDescent="0.3">
      <c r="A792" s="124"/>
      <c r="B792" s="124"/>
      <c r="C792" s="124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  <c r="AA792" s="124"/>
      <c r="AB792" s="124"/>
      <c r="AC792" s="124"/>
      <c r="AD792" s="124"/>
      <c r="AE792" s="124"/>
      <c r="AF792" s="124"/>
      <c r="AG792" s="124"/>
      <c r="AH792" s="124"/>
      <c r="AI792" s="124"/>
      <c r="AJ792" s="124"/>
    </row>
    <row r="793" spans="1:36" x14ac:dyDescent="0.3">
      <c r="A793" s="124"/>
      <c r="B793" s="124"/>
      <c r="C793" s="124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  <c r="AA793" s="124"/>
      <c r="AB793" s="124"/>
      <c r="AC793" s="124"/>
      <c r="AD793" s="124"/>
      <c r="AE793" s="124"/>
      <c r="AF793" s="124"/>
      <c r="AG793" s="124"/>
      <c r="AH793" s="124"/>
      <c r="AI793" s="124"/>
      <c r="AJ793" s="124"/>
    </row>
    <row r="794" spans="1:36" x14ac:dyDescent="0.3">
      <c r="A794" s="124"/>
      <c r="B794" s="124"/>
      <c r="C794" s="124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  <c r="AA794" s="124"/>
      <c r="AB794" s="124"/>
      <c r="AC794" s="124"/>
      <c r="AD794" s="124"/>
      <c r="AE794" s="124"/>
      <c r="AF794" s="124"/>
      <c r="AG794" s="124"/>
      <c r="AH794" s="124"/>
      <c r="AI794" s="124"/>
      <c r="AJ794" s="124"/>
    </row>
    <row r="795" spans="1:36" x14ac:dyDescent="0.3">
      <c r="A795" s="124"/>
      <c r="B795" s="124"/>
      <c r="C795" s="124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  <c r="AA795" s="124"/>
      <c r="AB795" s="124"/>
      <c r="AC795" s="124"/>
      <c r="AD795" s="124"/>
      <c r="AE795" s="124"/>
      <c r="AF795" s="124"/>
      <c r="AG795" s="124"/>
      <c r="AH795" s="124"/>
      <c r="AI795" s="124"/>
      <c r="AJ795" s="124"/>
    </row>
    <row r="796" spans="1:36" x14ac:dyDescent="0.3">
      <c r="A796" s="124"/>
      <c r="B796" s="124"/>
      <c r="C796" s="124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  <c r="AA796" s="124"/>
      <c r="AB796" s="124"/>
      <c r="AC796" s="124"/>
      <c r="AD796" s="124"/>
      <c r="AE796" s="124"/>
      <c r="AF796" s="124"/>
      <c r="AG796" s="124"/>
      <c r="AH796" s="124"/>
      <c r="AI796" s="124"/>
      <c r="AJ796" s="124"/>
    </row>
    <row r="797" spans="1:36" x14ac:dyDescent="0.3">
      <c r="A797" s="124"/>
      <c r="B797" s="124"/>
      <c r="C797" s="124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  <c r="AA797" s="124"/>
      <c r="AB797" s="124"/>
      <c r="AC797" s="124"/>
      <c r="AD797" s="124"/>
      <c r="AE797" s="124"/>
      <c r="AF797" s="124"/>
      <c r="AG797" s="124"/>
      <c r="AH797" s="124"/>
      <c r="AI797" s="124"/>
      <c r="AJ797" s="124"/>
    </row>
    <row r="798" spans="1:36" x14ac:dyDescent="0.3">
      <c r="A798" s="124"/>
      <c r="B798" s="124"/>
      <c r="C798" s="124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  <c r="AA798" s="124"/>
      <c r="AB798" s="124"/>
      <c r="AC798" s="124"/>
      <c r="AD798" s="124"/>
      <c r="AE798" s="124"/>
      <c r="AF798" s="124"/>
      <c r="AG798" s="124"/>
      <c r="AH798" s="124"/>
      <c r="AI798" s="124"/>
      <c r="AJ798" s="124"/>
    </row>
    <row r="799" spans="1:36" x14ac:dyDescent="0.3">
      <c r="A799" s="124"/>
      <c r="B799" s="124"/>
      <c r="C799" s="124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  <c r="AA799" s="124"/>
      <c r="AB799" s="124"/>
      <c r="AC799" s="124"/>
      <c r="AD799" s="124"/>
      <c r="AE799" s="124"/>
      <c r="AF799" s="124"/>
      <c r="AG799" s="124"/>
      <c r="AH799" s="124"/>
      <c r="AI799" s="124"/>
      <c r="AJ799" s="124"/>
    </row>
    <row r="800" spans="1:36" x14ac:dyDescent="0.3">
      <c r="A800" s="124"/>
      <c r="B800" s="124"/>
      <c r="C800" s="124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  <c r="AA800" s="124"/>
      <c r="AB800" s="124"/>
      <c r="AC800" s="124"/>
      <c r="AD800" s="124"/>
      <c r="AE800" s="124"/>
      <c r="AF800" s="124"/>
      <c r="AG800" s="124"/>
      <c r="AH800" s="124"/>
      <c r="AI800" s="124"/>
      <c r="AJ800" s="124"/>
    </row>
    <row r="801" spans="1:36" x14ac:dyDescent="0.3">
      <c r="A801" s="124"/>
      <c r="B801" s="124"/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  <c r="AA801" s="124"/>
      <c r="AB801" s="124"/>
      <c r="AC801" s="124"/>
      <c r="AD801" s="124"/>
      <c r="AE801" s="124"/>
      <c r="AF801" s="124"/>
      <c r="AG801" s="124"/>
      <c r="AH801" s="124"/>
      <c r="AI801" s="124"/>
      <c r="AJ801" s="124"/>
    </row>
    <row r="802" spans="1:36" x14ac:dyDescent="0.3">
      <c r="A802" s="124"/>
      <c r="B802" s="124"/>
      <c r="C802" s="124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  <c r="AA802" s="124"/>
      <c r="AB802" s="124"/>
      <c r="AC802" s="124"/>
      <c r="AD802" s="124"/>
      <c r="AE802" s="124"/>
      <c r="AF802" s="124"/>
      <c r="AG802" s="124"/>
      <c r="AH802" s="124"/>
      <c r="AI802" s="124"/>
      <c r="AJ802" s="124"/>
    </row>
    <row r="803" spans="1:36" x14ac:dyDescent="0.3">
      <c r="A803" s="124"/>
      <c r="B803" s="124"/>
      <c r="C803" s="124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24"/>
      <c r="AC803" s="124"/>
      <c r="AD803" s="124"/>
      <c r="AE803" s="124"/>
      <c r="AF803" s="124"/>
      <c r="AG803" s="124"/>
      <c r="AH803" s="124"/>
      <c r="AI803" s="124"/>
      <c r="AJ803" s="124"/>
    </row>
    <row r="804" spans="1:36" x14ac:dyDescent="0.3">
      <c r="A804" s="124"/>
      <c r="B804" s="124"/>
      <c r="C804" s="124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  <c r="AA804" s="124"/>
      <c r="AB804" s="124"/>
      <c r="AC804" s="124"/>
      <c r="AD804" s="124"/>
      <c r="AE804" s="124"/>
      <c r="AF804" s="124"/>
      <c r="AG804" s="124"/>
      <c r="AH804" s="124"/>
      <c r="AI804" s="124"/>
      <c r="AJ804" s="124"/>
    </row>
    <row r="805" spans="1:36" x14ac:dyDescent="0.3">
      <c r="A805" s="124"/>
      <c r="B805" s="124"/>
      <c r="C805" s="124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  <c r="AA805" s="124"/>
      <c r="AB805" s="124"/>
      <c r="AC805" s="124"/>
      <c r="AD805" s="124"/>
      <c r="AE805" s="124"/>
      <c r="AF805" s="124"/>
      <c r="AG805" s="124"/>
      <c r="AH805" s="124"/>
      <c r="AI805" s="124"/>
      <c r="AJ805" s="124"/>
    </row>
    <row r="806" spans="1:36" x14ac:dyDescent="0.3">
      <c r="A806" s="124"/>
      <c r="B806" s="124"/>
      <c r="C806" s="124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  <c r="AA806" s="124"/>
      <c r="AB806" s="124"/>
      <c r="AC806" s="124"/>
      <c r="AD806" s="124"/>
      <c r="AE806" s="124"/>
      <c r="AF806" s="124"/>
      <c r="AG806" s="124"/>
      <c r="AH806" s="124"/>
      <c r="AI806" s="124"/>
      <c r="AJ806" s="124"/>
    </row>
    <row r="807" spans="1:36" x14ac:dyDescent="0.3">
      <c r="A807" s="124"/>
      <c r="B807" s="124"/>
      <c r="C807" s="124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  <c r="AA807" s="124"/>
      <c r="AB807" s="124"/>
      <c r="AC807" s="124"/>
      <c r="AD807" s="124"/>
      <c r="AE807" s="124"/>
      <c r="AF807" s="124"/>
      <c r="AG807" s="124"/>
      <c r="AH807" s="124"/>
      <c r="AI807" s="124"/>
      <c r="AJ807" s="124"/>
    </row>
    <row r="808" spans="1:36" x14ac:dyDescent="0.3">
      <c r="A808" s="124"/>
      <c r="B808" s="124"/>
      <c r="C808" s="124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  <c r="AA808" s="124"/>
      <c r="AB808" s="124"/>
      <c r="AC808" s="124"/>
      <c r="AD808" s="124"/>
      <c r="AE808" s="124"/>
      <c r="AF808" s="124"/>
      <c r="AG808" s="124"/>
      <c r="AH808" s="124"/>
      <c r="AI808" s="124"/>
      <c r="AJ808" s="124"/>
    </row>
    <row r="809" spans="1:36" x14ac:dyDescent="0.3">
      <c r="A809" s="124"/>
      <c r="B809" s="124"/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  <c r="AA809" s="124"/>
      <c r="AB809" s="124"/>
      <c r="AC809" s="124"/>
      <c r="AD809" s="124"/>
      <c r="AE809" s="124"/>
      <c r="AF809" s="124"/>
      <c r="AG809" s="124"/>
      <c r="AH809" s="124"/>
      <c r="AI809" s="124"/>
      <c r="AJ809" s="124"/>
    </row>
    <row r="810" spans="1:36" x14ac:dyDescent="0.3">
      <c r="A810" s="124"/>
      <c r="B810" s="124"/>
      <c r="C810" s="124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  <c r="AA810" s="124"/>
      <c r="AB810" s="124"/>
      <c r="AC810" s="124"/>
      <c r="AD810" s="124"/>
      <c r="AE810" s="124"/>
      <c r="AF810" s="124"/>
      <c r="AG810" s="124"/>
      <c r="AH810" s="124"/>
      <c r="AI810" s="124"/>
      <c r="AJ810" s="124"/>
    </row>
    <row r="811" spans="1:36" x14ac:dyDescent="0.3">
      <c r="A811" s="124"/>
      <c r="B811" s="124"/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24"/>
      <c r="AC811" s="124"/>
      <c r="AD811" s="124"/>
      <c r="AE811" s="124"/>
      <c r="AF811" s="124"/>
      <c r="AG811" s="124"/>
      <c r="AH811" s="124"/>
      <c r="AI811" s="124"/>
      <c r="AJ811" s="124"/>
    </row>
    <row r="812" spans="1:36" x14ac:dyDescent="0.3">
      <c r="A812" s="124"/>
      <c r="B812" s="124"/>
      <c r="C812" s="124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  <c r="AA812" s="124"/>
      <c r="AB812" s="124"/>
      <c r="AC812" s="124"/>
      <c r="AD812" s="124"/>
      <c r="AE812" s="124"/>
      <c r="AF812" s="124"/>
      <c r="AG812" s="124"/>
      <c r="AH812" s="124"/>
      <c r="AI812" s="124"/>
      <c r="AJ812" s="124"/>
    </row>
    <row r="813" spans="1:36" x14ac:dyDescent="0.3">
      <c r="A813" s="124"/>
      <c r="B813" s="124"/>
      <c r="C813" s="124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  <c r="AA813" s="124"/>
      <c r="AB813" s="124"/>
      <c r="AC813" s="124"/>
      <c r="AD813" s="124"/>
      <c r="AE813" s="124"/>
      <c r="AF813" s="124"/>
      <c r="AG813" s="124"/>
      <c r="AH813" s="124"/>
      <c r="AI813" s="124"/>
      <c r="AJ813" s="124"/>
    </row>
    <row r="814" spans="1:36" x14ac:dyDescent="0.3">
      <c r="A814" s="124"/>
      <c r="B814" s="124"/>
      <c r="C814" s="124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  <c r="AA814" s="124"/>
      <c r="AB814" s="124"/>
      <c r="AC814" s="124"/>
      <c r="AD814" s="124"/>
      <c r="AE814" s="124"/>
      <c r="AF814" s="124"/>
      <c r="AG814" s="124"/>
      <c r="AH814" s="124"/>
      <c r="AI814" s="124"/>
      <c r="AJ814" s="124"/>
    </row>
    <row r="815" spans="1:36" x14ac:dyDescent="0.3">
      <c r="A815" s="124"/>
      <c r="B815" s="124"/>
      <c r="C815" s="124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  <c r="AA815" s="124"/>
      <c r="AB815" s="124"/>
      <c r="AC815" s="124"/>
      <c r="AD815" s="124"/>
      <c r="AE815" s="124"/>
      <c r="AF815" s="124"/>
      <c r="AG815" s="124"/>
      <c r="AH815" s="124"/>
      <c r="AI815" s="124"/>
      <c r="AJ815" s="124"/>
    </row>
    <row r="816" spans="1:36" x14ac:dyDescent="0.3">
      <c r="A816" s="124"/>
      <c r="B816" s="124"/>
      <c r="C816" s="124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  <c r="AA816" s="124"/>
      <c r="AB816" s="124"/>
      <c r="AC816" s="124"/>
      <c r="AD816" s="124"/>
      <c r="AE816" s="124"/>
      <c r="AF816" s="124"/>
      <c r="AG816" s="124"/>
      <c r="AH816" s="124"/>
      <c r="AI816" s="124"/>
      <c r="AJ816" s="124"/>
    </row>
    <row r="817" spans="1:36" x14ac:dyDescent="0.3">
      <c r="A817" s="124"/>
      <c r="B817" s="124"/>
      <c r="C817" s="124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  <c r="AA817" s="124"/>
      <c r="AB817" s="124"/>
      <c r="AC817" s="124"/>
      <c r="AD817" s="124"/>
      <c r="AE817" s="124"/>
      <c r="AF817" s="124"/>
      <c r="AG817" s="124"/>
      <c r="AH817" s="124"/>
      <c r="AI817" s="124"/>
      <c r="AJ817" s="124"/>
    </row>
    <row r="818" spans="1:36" x14ac:dyDescent="0.3">
      <c r="A818" s="124"/>
      <c r="B818" s="124"/>
      <c r="C818" s="124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  <c r="AA818" s="124"/>
      <c r="AB818" s="124"/>
      <c r="AC818" s="124"/>
      <c r="AD818" s="124"/>
      <c r="AE818" s="124"/>
      <c r="AF818" s="124"/>
      <c r="AG818" s="124"/>
      <c r="AH818" s="124"/>
      <c r="AI818" s="124"/>
      <c r="AJ818" s="124"/>
    </row>
    <row r="819" spans="1:36" x14ac:dyDescent="0.3">
      <c r="A819" s="124"/>
      <c r="B819" s="124"/>
      <c r="C819" s="124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  <c r="AA819" s="124"/>
      <c r="AB819" s="124"/>
      <c r="AC819" s="124"/>
      <c r="AD819" s="124"/>
      <c r="AE819" s="124"/>
      <c r="AF819" s="124"/>
      <c r="AG819" s="124"/>
      <c r="AH819" s="124"/>
      <c r="AI819" s="124"/>
      <c r="AJ819" s="124"/>
    </row>
    <row r="820" spans="1:36" x14ac:dyDescent="0.3">
      <c r="A820" s="124"/>
      <c r="B820" s="124"/>
      <c r="C820" s="124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  <c r="AA820" s="124"/>
      <c r="AB820" s="124"/>
      <c r="AC820" s="124"/>
      <c r="AD820" s="124"/>
      <c r="AE820" s="124"/>
      <c r="AF820" s="124"/>
      <c r="AG820" s="124"/>
      <c r="AH820" s="124"/>
      <c r="AI820" s="124"/>
      <c r="AJ820" s="124"/>
    </row>
    <row r="821" spans="1:36" x14ac:dyDescent="0.3">
      <c r="A821" s="124"/>
      <c r="B821" s="124"/>
      <c r="C821" s="124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  <c r="AA821" s="124"/>
      <c r="AB821" s="124"/>
      <c r="AC821" s="124"/>
      <c r="AD821" s="124"/>
      <c r="AE821" s="124"/>
      <c r="AF821" s="124"/>
      <c r="AG821" s="124"/>
      <c r="AH821" s="124"/>
      <c r="AI821" s="124"/>
      <c r="AJ821" s="124"/>
    </row>
    <row r="822" spans="1:36" x14ac:dyDescent="0.3">
      <c r="A822" s="124"/>
      <c r="B822" s="124"/>
      <c r="C822" s="124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  <c r="AA822" s="124"/>
      <c r="AB822" s="124"/>
      <c r="AC822" s="124"/>
      <c r="AD822" s="124"/>
      <c r="AE822" s="124"/>
      <c r="AF822" s="124"/>
      <c r="AG822" s="124"/>
      <c r="AH822" s="124"/>
      <c r="AI822" s="124"/>
      <c r="AJ822" s="124"/>
    </row>
    <row r="823" spans="1:36" x14ac:dyDescent="0.3">
      <c r="A823" s="124"/>
      <c r="B823" s="124"/>
      <c r="C823" s="124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  <c r="AA823" s="124"/>
      <c r="AB823" s="124"/>
      <c r="AC823" s="124"/>
      <c r="AD823" s="124"/>
      <c r="AE823" s="124"/>
      <c r="AF823" s="124"/>
      <c r="AG823" s="124"/>
      <c r="AH823" s="124"/>
      <c r="AI823" s="124"/>
      <c r="AJ823" s="124"/>
    </row>
    <row r="824" spans="1:36" x14ac:dyDescent="0.3">
      <c r="A824" s="124"/>
      <c r="B824" s="124"/>
      <c r="C824" s="124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  <c r="AA824" s="124"/>
      <c r="AB824" s="124"/>
      <c r="AC824" s="124"/>
      <c r="AD824" s="124"/>
      <c r="AE824" s="124"/>
      <c r="AF824" s="124"/>
      <c r="AG824" s="124"/>
      <c r="AH824" s="124"/>
      <c r="AI824" s="124"/>
      <c r="AJ824" s="124"/>
    </row>
    <row r="825" spans="1:36" x14ac:dyDescent="0.3">
      <c r="A825" s="124"/>
      <c r="B825" s="124"/>
      <c r="C825" s="124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  <c r="AA825" s="124"/>
      <c r="AB825" s="124"/>
      <c r="AC825" s="124"/>
      <c r="AD825" s="124"/>
      <c r="AE825" s="124"/>
      <c r="AF825" s="124"/>
      <c r="AG825" s="124"/>
      <c r="AH825" s="124"/>
      <c r="AI825" s="124"/>
      <c r="AJ825" s="124"/>
    </row>
    <row r="826" spans="1:36" x14ac:dyDescent="0.3">
      <c r="A826" s="124"/>
      <c r="B826" s="124"/>
      <c r="C826" s="124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  <c r="AA826" s="124"/>
      <c r="AB826" s="124"/>
      <c r="AC826" s="124"/>
      <c r="AD826" s="124"/>
      <c r="AE826" s="124"/>
      <c r="AF826" s="124"/>
      <c r="AG826" s="124"/>
      <c r="AH826" s="124"/>
      <c r="AI826" s="124"/>
      <c r="AJ826" s="124"/>
    </row>
    <row r="827" spans="1:36" x14ac:dyDescent="0.3">
      <c r="A827" s="124"/>
      <c r="B827" s="124"/>
      <c r="C827" s="124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  <c r="AA827" s="124"/>
      <c r="AB827" s="124"/>
      <c r="AC827" s="124"/>
      <c r="AD827" s="124"/>
      <c r="AE827" s="124"/>
      <c r="AF827" s="124"/>
      <c r="AG827" s="124"/>
      <c r="AH827" s="124"/>
      <c r="AI827" s="124"/>
      <c r="AJ827" s="124"/>
    </row>
    <row r="828" spans="1:36" x14ac:dyDescent="0.3">
      <c r="A828" s="124"/>
      <c r="B828" s="124"/>
      <c r="C828" s="124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  <c r="AA828" s="124"/>
      <c r="AB828" s="124"/>
      <c r="AC828" s="124"/>
      <c r="AD828" s="124"/>
      <c r="AE828" s="124"/>
      <c r="AF828" s="124"/>
      <c r="AG828" s="124"/>
      <c r="AH828" s="124"/>
      <c r="AI828" s="124"/>
      <c r="AJ828" s="124"/>
    </row>
    <row r="829" spans="1:36" x14ac:dyDescent="0.3">
      <c r="A829" s="124"/>
      <c r="B829" s="124"/>
      <c r="C829" s="124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  <c r="AA829" s="124"/>
      <c r="AB829" s="124"/>
      <c r="AC829" s="124"/>
      <c r="AD829" s="124"/>
      <c r="AE829" s="124"/>
      <c r="AF829" s="124"/>
      <c r="AG829" s="124"/>
      <c r="AH829" s="124"/>
      <c r="AI829" s="124"/>
      <c r="AJ829" s="124"/>
    </row>
    <row r="830" spans="1:36" x14ac:dyDescent="0.3">
      <c r="A830" s="124"/>
      <c r="B830" s="124"/>
      <c r="C830" s="124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  <c r="AA830" s="124"/>
      <c r="AB830" s="124"/>
      <c r="AC830" s="124"/>
      <c r="AD830" s="124"/>
      <c r="AE830" s="124"/>
      <c r="AF830" s="124"/>
      <c r="AG830" s="124"/>
      <c r="AH830" s="124"/>
      <c r="AI830" s="124"/>
      <c r="AJ830" s="124"/>
    </row>
    <row r="831" spans="1:36" x14ac:dyDescent="0.3">
      <c r="A831" s="124"/>
      <c r="B831" s="124"/>
      <c r="C831" s="124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  <c r="AA831" s="124"/>
      <c r="AB831" s="124"/>
      <c r="AC831" s="124"/>
      <c r="AD831" s="124"/>
      <c r="AE831" s="124"/>
      <c r="AF831" s="124"/>
      <c r="AG831" s="124"/>
      <c r="AH831" s="124"/>
      <c r="AI831" s="124"/>
      <c r="AJ831" s="124"/>
    </row>
    <row r="832" spans="1:36" x14ac:dyDescent="0.3">
      <c r="A832" s="124"/>
      <c r="B832" s="124"/>
      <c r="C832" s="124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24"/>
      <c r="AC832" s="124"/>
      <c r="AD832" s="124"/>
      <c r="AE832" s="124"/>
      <c r="AF832" s="124"/>
      <c r="AG832" s="124"/>
      <c r="AH832" s="124"/>
      <c r="AI832" s="124"/>
      <c r="AJ832" s="124"/>
    </row>
    <row r="833" spans="1:36" x14ac:dyDescent="0.3">
      <c r="A833" s="124"/>
      <c r="B833" s="124"/>
      <c r="C833" s="124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  <c r="AA833" s="124"/>
      <c r="AB833" s="124"/>
      <c r="AC833" s="124"/>
      <c r="AD833" s="124"/>
      <c r="AE833" s="124"/>
      <c r="AF833" s="124"/>
      <c r="AG833" s="124"/>
      <c r="AH833" s="124"/>
      <c r="AI833" s="124"/>
      <c r="AJ833" s="124"/>
    </row>
    <row r="834" spans="1:36" x14ac:dyDescent="0.3">
      <c r="A834" s="124"/>
      <c r="B834" s="124"/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24"/>
      <c r="AC834" s="124"/>
      <c r="AD834" s="124"/>
      <c r="AE834" s="124"/>
      <c r="AF834" s="124"/>
      <c r="AG834" s="124"/>
      <c r="AH834" s="124"/>
      <c r="AI834" s="124"/>
      <c r="AJ834" s="124"/>
    </row>
    <row r="835" spans="1:36" x14ac:dyDescent="0.3">
      <c r="A835" s="124"/>
      <c r="B835" s="124"/>
      <c r="C835" s="124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  <c r="AA835" s="124"/>
      <c r="AB835" s="124"/>
      <c r="AC835" s="124"/>
      <c r="AD835" s="124"/>
      <c r="AE835" s="124"/>
      <c r="AF835" s="124"/>
      <c r="AG835" s="124"/>
      <c r="AH835" s="124"/>
      <c r="AI835" s="124"/>
      <c r="AJ835" s="124"/>
    </row>
    <row r="836" spans="1:36" x14ac:dyDescent="0.3">
      <c r="A836" s="124"/>
      <c r="B836" s="124"/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  <c r="AA836" s="124"/>
      <c r="AB836" s="124"/>
      <c r="AC836" s="124"/>
      <c r="AD836" s="124"/>
      <c r="AE836" s="124"/>
      <c r="AF836" s="124"/>
      <c r="AG836" s="124"/>
      <c r="AH836" s="124"/>
      <c r="AI836" s="124"/>
      <c r="AJ836" s="124"/>
    </row>
    <row r="837" spans="1:36" x14ac:dyDescent="0.3">
      <c r="A837" s="124"/>
      <c r="B837" s="124"/>
      <c r="C837" s="124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  <c r="AA837" s="124"/>
      <c r="AB837" s="124"/>
      <c r="AC837" s="124"/>
      <c r="AD837" s="124"/>
      <c r="AE837" s="124"/>
      <c r="AF837" s="124"/>
      <c r="AG837" s="124"/>
      <c r="AH837" s="124"/>
      <c r="AI837" s="124"/>
      <c r="AJ837" s="124"/>
    </row>
    <row r="838" spans="1:36" x14ac:dyDescent="0.3">
      <c r="A838" s="124"/>
      <c r="B838" s="124"/>
      <c r="C838" s="124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  <c r="AA838" s="124"/>
      <c r="AB838" s="124"/>
      <c r="AC838" s="124"/>
      <c r="AD838" s="124"/>
      <c r="AE838" s="124"/>
      <c r="AF838" s="124"/>
      <c r="AG838" s="124"/>
      <c r="AH838" s="124"/>
      <c r="AI838" s="124"/>
      <c r="AJ838" s="124"/>
    </row>
    <row r="839" spans="1:36" x14ac:dyDescent="0.3">
      <c r="A839" s="124"/>
      <c r="B839" s="124"/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  <c r="AA839" s="124"/>
      <c r="AB839" s="124"/>
      <c r="AC839" s="124"/>
      <c r="AD839" s="124"/>
      <c r="AE839" s="124"/>
      <c r="AF839" s="124"/>
      <c r="AG839" s="124"/>
      <c r="AH839" s="124"/>
      <c r="AI839" s="124"/>
      <c r="AJ839" s="124"/>
    </row>
    <row r="840" spans="1:36" x14ac:dyDescent="0.3">
      <c r="A840" s="124"/>
      <c r="B840" s="124"/>
      <c r="C840" s="124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  <c r="AA840" s="124"/>
      <c r="AB840" s="124"/>
      <c r="AC840" s="124"/>
      <c r="AD840" s="124"/>
      <c r="AE840" s="124"/>
      <c r="AF840" s="124"/>
      <c r="AG840" s="124"/>
      <c r="AH840" s="124"/>
      <c r="AI840" s="124"/>
      <c r="AJ840" s="124"/>
    </row>
    <row r="841" spans="1:36" x14ac:dyDescent="0.3">
      <c r="A841" s="124"/>
      <c r="B841" s="124"/>
      <c r="C841" s="124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  <c r="AA841" s="124"/>
      <c r="AB841" s="124"/>
      <c r="AC841" s="124"/>
      <c r="AD841" s="124"/>
      <c r="AE841" s="124"/>
      <c r="AF841" s="124"/>
      <c r="AG841" s="124"/>
      <c r="AH841" s="124"/>
      <c r="AI841" s="124"/>
      <c r="AJ841" s="124"/>
    </row>
    <row r="842" spans="1:36" x14ac:dyDescent="0.3">
      <c r="A842" s="124"/>
      <c r="B842" s="124"/>
      <c r="C842" s="124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  <c r="AA842" s="124"/>
      <c r="AB842" s="124"/>
      <c r="AC842" s="124"/>
      <c r="AD842" s="124"/>
      <c r="AE842" s="124"/>
      <c r="AF842" s="124"/>
      <c r="AG842" s="124"/>
      <c r="AH842" s="124"/>
      <c r="AI842" s="124"/>
      <c r="AJ842" s="124"/>
    </row>
    <row r="843" spans="1:36" x14ac:dyDescent="0.3">
      <c r="A843" s="124"/>
      <c r="B843" s="124"/>
      <c r="C843" s="124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  <c r="AA843" s="124"/>
      <c r="AB843" s="124"/>
      <c r="AC843" s="124"/>
      <c r="AD843" s="124"/>
      <c r="AE843" s="124"/>
      <c r="AF843" s="124"/>
      <c r="AG843" s="124"/>
      <c r="AH843" s="124"/>
      <c r="AI843" s="124"/>
      <c r="AJ843" s="124"/>
    </row>
    <row r="844" spans="1:36" x14ac:dyDescent="0.3">
      <c r="A844" s="124"/>
      <c r="B844" s="124"/>
      <c r="C844" s="124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  <c r="AA844" s="124"/>
      <c r="AB844" s="124"/>
      <c r="AC844" s="124"/>
      <c r="AD844" s="124"/>
      <c r="AE844" s="124"/>
      <c r="AF844" s="124"/>
      <c r="AG844" s="124"/>
      <c r="AH844" s="124"/>
      <c r="AI844" s="124"/>
      <c r="AJ844" s="124"/>
    </row>
    <row r="845" spans="1:36" x14ac:dyDescent="0.3">
      <c r="A845" s="124"/>
      <c r="B845" s="124"/>
      <c r="C845" s="124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  <c r="AA845" s="124"/>
      <c r="AB845" s="124"/>
      <c r="AC845" s="124"/>
      <c r="AD845" s="124"/>
      <c r="AE845" s="124"/>
      <c r="AF845" s="124"/>
      <c r="AG845" s="124"/>
      <c r="AH845" s="124"/>
      <c r="AI845" s="124"/>
      <c r="AJ845" s="124"/>
    </row>
    <row r="846" spans="1:36" x14ac:dyDescent="0.3">
      <c r="A846" s="124"/>
      <c r="B846" s="124"/>
      <c r="C846" s="124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  <c r="AA846" s="124"/>
      <c r="AB846" s="124"/>
      <c r="AC846" s="124"/>
      <c r="AD846" s="124"/>
      <c r="AE846" s="124"/>
      <c r="AF846" s="124"/>
      <c r="AG846" s="124"/>
      <c r="AH846" s="124"/>
      <c r="AI846" s="124"/>
      <c r="AJ846" s="124"/>
    </row>
    <row r="847" spans="1:36" x14ac:dyDescent="0.3">
      <c r="A847" s="124"/>
      <c r="B847" s="124"/>
      <c r="C847" s="124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  <c r="AA847" s="124"/>
      <c r="AB847" s="124"/>
      <c r="AC847" s="124"/>
      <c r="AD847" s="124"/>
      <c r="AE847" s="124"/>
      <c r="AF847" s="124"/>
      <c r="AG847" s="124"/>
      <c r="AH847" s="124"/>
      <c r="AI847" s="124"/>
      <c r="AJ847" s="124"/>
    </row>
    <row r="848" spans="1:36" x14ac:dyDescent="0.3">
      <c r="A848" s="124"/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24"/>
      <c r="AC848" s="124"/>
      <c r="AD848" s="124"/>
      <c r="AE848" s="124"/>
      <c r="AF848" s="124"/>
      <c r="AG848" s="124"/>
      <c r="AH848" s="124"/>
      <c r="AI848" s="124"/>
      <c r="AJ848" s="124"/>
    </row>
    <row r="849" spans="1:36" x14ac:dyDescent="0.3">
      <c r="A849" s="124"/>
      <c r="B849" s="124"/>
      <c r="C849" s="124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  <c r="AA849" s="124"/>
      <c r="AB849" s="124"/>
      <c r="AC849" s="124"/>
      <c r="AD849" s="124"/>
      <c r="AE849" s="124"/>
      <c r="AF849" s="124"/>
      <c r="AG849" s="124"/>
      <c r="AH849" s="124"/>
      <c r="AI849" s="124"/>
      <c r="AJ849" s="124"/>
    </row>
    <row r="850" spans="1:36" x14ac:dyDescent="0.3">
      <c r="A850" s="124"/>
      <c r="B850" s="124"/>
      <c r="C850" s="124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  <c r="AA850" s="124"/>
      <c r="AB850" s="124"/>
      <c r="AC850" s="124"/>
      <c r="AD850" s="124"/>
      <c r="AE850" s="124"/>
      <c r="AF850" s="124"/>
      <c r="AG850" s="124"/>
      <c r="AH850" s="124"/>
      <c r="AI850" s="124"/>
      <c r="AJ850" s="124"/>
    </row>
    <row r="851" spans="1:36" x14ac:dyDescent="0.3">
      <c r="A851" s="124"/>
      <c r="B851" s="124"/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  <c r="AA851" s="124"/>
      <c r="AB851" s="124"/>
      <c r="AC851" s="124"/>
      <c r="AD851" s="124"/>
      <c r="AE851" s="124"/>
      <c r="AF851" s="124"/>
      <c r="AG851" s="124"/>
      <c r="AH851" s="124"/>
      <c r="AI851" s="124"/>
      <c r="AJ851" s="124"/>
    </row>
    <row r="852" spans="1:36" x14ac:dyDescent="0.3">
      <c r="A852" s="124"/>
      <c r="B852" s="124"/>
      <c r="C852" s="124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  <c r="AA852" s="124"/>
      <c r="AB852" s="124"/>
      <c r="AC852" s="124"/>
      <c r="AD852" s="124"/>
      <c r="AE852" s="124"/>
      <c r="AF852" s="124"/>
      <c r="AG852" s="124"/>
      <c r="AH852" s="124"/>
      <c r="AI852" s="124"/>
      <c r="AJ852" s="124"/>
    </row>
    <row r="853" spans="1:36" x14ac:dyDescent="0.3">
      <c r="A853" s="124"/>
      <c r="B853" s="124"/>
      <c r="C853" s="124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  <c r="AA853" s="124"/>
      <c r="AB853" s="124"/>
      <c r="AC853" s="124"/>
      <c r="AD853" s="124"/>
      <c r="AE853" s="124"/>
      <c r="AF853" s="124"/>
      <c r="AG853" s="124"/>
      <c r="AH853" s="124"/>
      <c r="AI853" s="124"/>
      <c r="AJ853" s="124"/>
    </row>
    <row r="854" spans="1:36" x14ac:dyDescent="0.3">
      <c r="A854" s="124"/>
      <c r="B854" s="124"/>
      <c r="C854" s="124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  <c r="AA854" s="124"/>
      <c r="AB854" s="124"/>
      <c r="AC854" s="124"/>
      <c r="AD854" s="124"/>
      <c r="AE854" s="124"/>
      <c r="AF854" s="124"/>
      <c r="AG854" s="124"/>
      <c r="AH854" s="124"/>
      <c r="AI854" s="124"/>
      <c r="AJ854" s="124"/>
    </row>
    <row r="855" spans="1:36" x14ac:dyDescent="0.3">
      <c r="A855" s="124"/>
      <c r="B855" s="124"/>
      <c r="C855" s="124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  <c r="AA855" s="124"/>
      <c r="AB855" s="124"/>
      <c r="AC855" s="124"/>
      <c r="AD855" s="124"/>
      <c r="AE855" s="124"/>
      <c r="AF855" s="124"/>
      <c r="AG855" s="124"/>
      <c r="AH855" s="124"/>
      <c r="AI855" s="124"/>
      <c r="AJ855" s="124"/>
    </row>
    <row r="856" spans="1:36" x14ac:dyDescent="0.3">
      <c r="A856" s="124"/>
      <c r="B856" s="124"/>
      <c r="C856" s="124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  <c r="AA856" s="124"/>
      <c r="AB856" s="124"/>
      <c r="AC856" s="124"/>
      <c r="AD856" s="124"/>
      <c r="AE856" s="124"/>
      <c r="AF856" s="124"/>
      <c r="AG856" s="124"/>
      <c r="AH856" s="124"/>
      <c r="AI856" s="124"/>
      <c r="AJ856" s="124"/>
    </row>
    <row r="857" spans="1:36" x14ac:dyDescent="0.3">
      <c r="A857" s="124"/>
      <c r="B857" s="124"/>
      <c r="C857" s="124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  <c r="AA857" s="124"/>
      <c r="AB857" s="124"/>
      <c r="AC857" s="124"/>
      <c r="AD857" s="124"/>
      <c r="AE857" s="124"/>
      <c r="AF857" s="124"/>
      <c r="AG857" s="124"/>
      <c r="AH857" s="124"/>
      <c r="AI857" s="124"/>
      <c r="AJ857" s="124"/>
    </row>
    <row r="858" spans="1:36" x14ac:dyDescent="0.3">
      <c r="A858" s="124"/>
      <c r="B858" s="124"/>
      <c r="C858" s="124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24"/>
      <c r="AC858" s="124"/>
      <c r="AD858" s="124"/>
      <c r="AE858" s="124"/>
      <c r="AF858" s="124"/>
      <c r="AG858" s="124"/>
      <c r="AH858" s="124"/>
      <c r="AI858" s="124"/>
      <c r="AJ858" s="124"/>
    </row>
    <row r="859" spans="1:36" x14ac:dyDescent="0.3">
      <c r="A859" s="124"/>
      <c r="B859" s="124"/>
      <c r="C859" s="124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  <c r="AA859" s="124"/>
      <c r="AB859" s="124"/>
      <c r="AC859" s="124"/>
      <c r="AD859" s="124"/>
      <c r="AE859" s="124"/>
      <c r="AF859" s="124"/>
      <c r="AG859" s="124"/>
      <c r="AH859" s="124"/>
      <c r="AI859" s="124"/>
      <c r="AJ859" s="124"/>
    </row>
    <row r="860" spans="1:36" x14ac:dyDescent="0.3">
      <c r="A860" s="124"/>
      <c r="B860" s="124"/>
      <c r="C860" s="124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  <c r="AA860" s="124"/>
      <c r="AB860" s="124"/>
      <c r="AC860" s="124"/>
      <c r="AD860" s="124"/>
      <c r="AE860" s="124"/>
      <c r="AF860" s="124"/>
      <c r="AG860" s="124"/>
      <c r="AH860" s="124"/>
      <c r="AI860" s="124"/>
      <c r="AJ860" s="124"/>
    </row>
    <row r="861" spans="1:36" x14ac:dyDescent="0.3">
      <c r="A861" s="124"/>
      <c r="B861" s="124"/>
      <c r="C861" s="124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  <c r="AA861" s="124"/>
      <c r="AB861" s="124"/>
      <c r="AC861" s="124"/>
      <c r="AD861" s="124"/>
      <c r="AE861" s="124"/>
      <c r="AF861" s="124"/>
      <c r="AG861" s="124"/>
      <c r="AH861" s="124"/>
      <c r="AI861" s="124"/>
      <c r="AJ861" s="124"/>
    </row>
    <row r="862" spans="1:36" x14ac:dyDescent="0.3">
      <c r="A862" s="124"/>
      <c r="B862" s="124"/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  <c r="AA862" s="124"/>
      <c r="AB862" s="124"/>
      <c r="AC862" s="124"/>
      <c r="AD862" s="124"/>
      <c r="AE862" s="124"/>
      <c r="AF862" s="124"/>
      <c r="AG862" s="124"/>
      <c r="AH862" s="124"/>
      <c r="AI862" s="124"/>
      <c r="AJ862" s="124"/>
    </row>
    <row r="863" spans="1:36" x14ac:dyDescent="0.3">
      <c r="A863" s="124"/>
      <c r="B863" s="124"/>
      <c r="C863" s="124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  <c r="AA863" s="124"/>
      <c r="AB863" s="124"/>
      <c r="AC863" s="124"/>
      <c r="AD863" s="124"/>
      <c r="AE863" s="124"/>
      <c r="AF863" s="124"/>
      <c r="AG863" s="124"/>
      <c r="AH863" s="124"/>
      <c r="AI863" s="124"/>
      <c r="AJ863" s="124"/>
    </row>
    <row r="864" spans="1:36" x14ac:dyDescent="0.3">
      <c r="A864" s="124"/>
      <c r="B864" s="124"/>
      <c r="C864" s="124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  <c r="AA864" s="124"/>
      <c r="AB864" s="124"/>
      <c r="AC864" s="124"/>
      <c r="AD864" s="124"/>
      <c r="AE864" s="124"/>
      <c r="AF864" s="124"/>
      <c r="AG864" s="124"/>
      <c r="AH864" s="124"/>
      <c r="AI864" s="124"/>
      <c r="AJ864" s="124"/>
    </row>
    <row r="865" spans="1:36" x14ac:dyDescent="0.3">
      <c r="A865" s="124"/>
      <c r="B865" s="124"/>
      <c r="C865" s="124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  <c r="AA865" s="124"/>
      <c r="AB865" s="124"/>
      <c r="AC865" s="124"/>
      <c r="AD865" s="124"/>
      <c r="AE865" s="124"/>
      <c r="AF865" s="124"/>
      <c r="AG865" s="124"/>
      <c r="AH865" s="124"/>
      <c r="AI865" s="124"/>
      <c r="AJ865" s="124"/>
    </row>
    <row r="866" spans="1:36" x14ac:dyDescent="0.3">
      <c r="A866" s="124"/>
      <c r="B866" s="124"/>
      <c r="C866" s="124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  <c r="AA866" s="124"/>
      <c r="AB866" s="124"/>
      <c r="AC866" s="124"/>
      <c r="AD866" s="124"/>
      <c r="AE866" s="124"/>
      <c r="AF866" s="124"/>
      <c r="AG866" s="124"/>
      <c r="AH866" s="124"/>
      <c r="AI866" s="124"/>
      <c r="AJ866" s="124"/>
    </row>
    <row r="867" spans="1:36" x14ac:dyDescent="0.3">
      <c r="A867" s="124"/>
      <c r="B867" s="124"/>
      <c r="C867" s="124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  <c r="AA867" s="124"/>
      <c r="AB867" s="124"/>
      <c r="AC867" s="124"/>
      <c r="AD867" s="124"/>
      <c r="AE867" s="124"/>
      <c r="AF867" s="124"/>
      <c r="AG867" s="124"/>
      <c r="AH867" s="124"/>
      <c r="AI867" s="124"/>
      <c r="AJ867" s="124"/>
    </row>
    <row r="868" spans="1:36" x14ac:dyDescent="0.3">
      <c r="A868" s="124"/>
      <c r="B868" s="124"/>
      <c r="C868" s="124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24"/>
      <c r="AC868" s="124"/>
      <c r="AD868" s="124"/>
      <c r="AE868" s="124"/>
      <c r="AF868" s="124"/>
      <c r="AG868" s="124"/>
      <c r="AH868" s="124"/>
      <c r="AI868" s="124"/>
      <c r="AJ868" s="124"/>
    </row>
    <row r="869" spans="1:36" x14ac:dyDescent="0.3">
      <c r="A869" s="124"/>
      <c r="B869" s="124"/>
      <c r="C869" s="124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  <c r="AA869" s="124"/>
      <c r="AB869" s="124"/>
      <c r="AC869" s="124"/>
      <c r="AD869" s="124"/>
      <c r="AE869" s="124"/>
      <c r="AF869" s="124"/>
      <c r="AG869" s="124"/>
      <c r="AH869" s="124"/>
      <c r="AI869" s="124"/>
      <c r="AJ869" s="124"/>
    </row>
    <row r="870" spans="1:36" x14ac:dyDescent="0.3">
      <c r="A870" s="124"/>
      <c r="B870" s="124"/>
      <c r="C870" s="124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  <c r="AA870" s="124"/>
      <c r="AB870" s="124"/>
      <c r="AC870" s="124"/>
      <c r="AD870" s="124"/>
      <c r="AE870" s="124"/>
      <c r="AF870" s="124"/>
      <c r="AG870" s="124"/>
      <c r="AH870" s="124"/>
      <c r="AI870" s="124"/>
      <c r="AJ870" s="124"/>
    </row>
    <row r="871" spans="1:36" x14ac:dyDescent="0.3">
      <c r="A871" s="124"/>
      <c r="B871" s="124"/>
      <c r="C871" s="124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  <c r="AA871" s="124"/>
      <c r="AB871" s="124"/>
      <c r="AC871" s="124"/>
      <c r="AD871" s="124"/>
      <c r="AE871" s="124"/>
      <c r="AF871" s="124"/>
      <c r="AG871" s="124"/>
      <c r="AH871" s="124"/>
      <c r="AI871" s="124"/>
      <c r="AJ871" s="124"/>
    </row>
    <row r="872" spans="1:36" x14ac:dyDescent="0.3">
      <c r="A872" s="124"/>
      <c r="B872" s="124"/>
      <c r="C872" s="124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  <c r="AA872" s="124"/>
      <c r="AB872" s="124"/>
      <c r="AC872" s="124"/>
      <c r="AD872" s="124"/>
      <c r="AE872" s="124"/>
      <c r="AF872" s="124"/>
      <c r="AG872" s="124"/>
      <c r="AH872" s="124"/>
      <c r="AI872" s="124"/>
      <c r="AJ872" s="124"/>
    </row>
    <row r="873" spans="1:36" x14ac:dyDescent="0.3">
      <c r="A873" s="124"/>
      <c r="B873" s="124"/>
      <c r="C873" s="124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  <c r="AA873" s="124"/>
      <c r="AB873" s="124"/>
      <c r="AC873" s="124"/>
      <c r="AD873" s="124"/>
      <c r="AE873" s="124"/>
      <c r="AF873" s="124"/>
      <c r="AG873" s="124"/>
      <c r="AH873" s="124"/>
      <c r="AI873" s="124"/>
      <c r="AJ873" s="124"/>
    </row>
    <row r="874" spans="1:36" x14ac:dyDescent="0.3">
      <c r="A874" s="124"/>
      <c r="B874" s="124"/>
      <c r="C874" s="124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  <c r="AA874" s="124"/>
      <c r="AB874" s="124"/>
      <c r="AC874" s="124"/>
      <c r="AD874" s="124"/>
      <c r="AE874" s="124"/>
      <c r="AF874" s="124"/>
      <c r="AG874" s="124"/>
      <c r="AH874" s="124"/>
      <c r="AI874" s="124"/>
      <c r="AJ874" s="124"/>
    </row>
    <row r="875" spans="1:36" x14ac:dyDescent="0.3">
      <c r="A875" s="124"/>
      <c r="B875" s="124"/>
      <c r="C875" s="124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  <c r="AA875" s="124"/>
      <c r="AB875" s="124"/>
      <c r="AC875" s="124"/>
      <c r="AD875" s="124"/>
      <c r="AE875" s="124"/>
      <c r="AF875" s="124"/>
      <c r="AG875" s="124"/>
      <c r="AH875" s="124"/>
      <c r="AI875" s="124"/>
      <c r="AJ875" s="124"/>
    </row>
    <row r="876" spans="1:36" x14ac:dyDescent="0.3">
      <c r="A876" s="124"/>
      <c r="B876" s="124"/>
      <c r="C876" s="124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  <c r="AA876" s="124"/>
      <c r="AB876" s="124"/>
      <c r="AC876" s="124"/>
      <c r="AD876" s="124"/>
      <c r="AE876" s="124"/>
      <c r="AF876" s="124"/>
      <c r="AG876" s="124"/>
      <c r="AH876" s="124"/>
      <c r="AI876" s="124"/>
      <c r="AJ876" s="124"/>
    </row>
    <row r="877" spans="1:36" x14ac:dyDescent="0.3">
      <c r="A877" s="124"/>
      <c r="B877" s="124"/>
      <c r="C877" s="124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  <c r="AA877" s="124"/>
      <c r="AB877" s="124"/>
      <c r="AC877" s="124"/>
      <c r="AD877" s="124"/>
      <c r="AE877" s="124"/>
      <c r="AF877" s="124"/>
      <c r="AG877" s="124"/>
      <c r="AH877" s="124"/>
      <c r="AI877" s="124"/>
      <c r="AJ877" s="124"/>
    </row>
    <row r="878" spans="1:36" x14ac:dyDescent="0.3">
      <c r="A878" s="124"/>
      <c r="B878" s="124"/>
      <c r="C878" s="124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  <c r="AA878" s="124"/>
      <c r="AB878" s="124"/>
      <c r="AC878" s="124"/>
      <c r="AD878" s="124"/>
      <c r="AE878" s="124"/>
      <c r="AF878" s="124"/>
      <c r="AG878" s="124"/>
      <c r="AH878" s="124"/>
      <c r="AI878" s="124"/>
      <c r="AJ878" s="124"/>
    </row>
    <row r="879" spans="1:36" x14ac:dyDescent="0.3">
      <c r="A879" s="124"/>
      <c r="B879" s="124"/>
      <c r="C879" s="124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  <c r="AA879" s="124"/>
      <c r="AB879" s="124"/>
      <c r="AC879" s="124"/>
      <c r="AD879" s="124"/>
      <c r="AE879" s="124"/>
      <c r="AF879" s="124"/>
      <c r="AG879" s="124"/>
      <c r="AH879" s="124"/>
      <c r="AI879" s="124"/>
      <c r="AJ879" s="124"/>
    </row>
    <row r="880" spans="1:36" x14ac:dyDescent="0.3">
      <c r="A880" s="124"/>
      <c r="B880" s="124"/>
      <c r="C880" s="124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  <c r="AA880" s="124"/>
      <c r="AB880" s="124"/>
      <c r="AC880" s="124"/>
      <c r="AD880" s="124"/>
      <c r="AE880" s="124"/>
      <c r="AF880" s="124"/>
      <c r="AG880" s="124"/>
      <c r="AH880" s="124"/>
      <c r="AI880" s="124"/>
      <c r="AJ880" s="124"/>
    </row>
    <row r="881" spans="1:36" x14ac:dyDescent="0.3">
      <c r="A881" s="124"/>
      <c r="B881" s="124"/>
      <c r="C881" s="124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  <c r="AA881" s="124"/>
      <c r="AB881" s="124"/>
      <c r="AC881" s="124"/>
      <c r="AD881" s="124"/>
      <c r="AE881" s="124"/>
      <c r="AF881" s="124"/>
      <c r="AG881" s="124"/>
      <c r="AH881" s="124"/>
      <c r="AI881" s="124"/>
      <c r="AJ881" s="124"/>
    </row>
    <row r="882" spans="1:36" x14ac:dyDescent="0.3">
      <c r="A882" s="124"/>
      <c r="B882" s="124"/>
      <c r="C882" s="124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  <c r="AA882" s="124"/>
      <c r="AB882" s="124"/>
      <c r="AC882" s="124"/>
      <c r="AD882" s="124"/>
      <c r="AE882" s="124"/>
      <c r="AF882" s="124"/>
      <c r="AG882" s="124"/>
      <c r="AH882" s="124"/>
      <c r="AI882" s="124"/>
      <c r="AJ882" s="124"/>
    </row>
    <row r="883" spans="1:36" x14ac:dyDescent="0.3">
      <c r="A883" s="124"/>
      <c r="B883" s="124"/>
      <c r="C883" s="124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  <c r="AA883" s="124"/>
      <c r="AB883" s="124"/>
      <c r="AC883" s="124"/>
      <c r="AD883" s="124"/>
      <c r="AE883" s="124"/>
      <c r="AF883" s="124"/>
      <c r="AG883" s="124"/>
      <c r="AH883" s="124"/>
      <c r="AI883" s="124"/>
      <c r="AJ883" s="124"/>
    </row>
    <row r="884" spans="1:36" x14ac:dyDescent="0.3">
      <c r="A884" s="124"/>
      <c r="B884" s="124"/>
      <c r="C884" s="124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  <c r="AA884" s="124"/>
      <c r="AB884" s="124"/>
      <c r="AC884" s="124"/>
      <c r="AD884" s="124"/>
      <c r="AE884" s="124"/>
      <c r="AF884" s="124"/>
      <c r="AG884" s="124"/>
      <c r="AH884" s="124"/>
      <c r="AI884" s="124"/>
      <c r="AJ884" s="124"/>
    </row>
    <row r="885" spans="1:36" x14ac:dyDescent="0.3">
      <c r="A885" s="124"/>
      <c r="B885" s="124"/>
      <c r="C885" s="124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  <c r="AA885" s="124"/>
      <c r="AB885" s="124"/>
      <c r="AC885" s="124"/>
      <c r="AD885" s="124"/>
      <c r="AE885" s="124"/>
      <c r="AF885" s="124"/>
      <c r="AG885" s="124"/>
      <c r="AH885" s="124"/>
      <c r="AI885" s="124"/>
      <c r="AJ885" s="124"/>
    </row>
    <row r="886" spans="1:36" x14ac:dyDescent="0.3">
      <c r="A886" s="124"/>
      <c r="B886" s="124"/>
      <c r="C886" s="124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  <c r="AA886" s="124"/>
      <c r="AB886" s="124"/>
      <c r="AC886" s="124"/>
      <c r="AD886" s="124"/>
      <c r="AE886" s="124"/>
      <c r="AF886" s="124"/>
      <c r="AG886" s="124"/>
      <c r="AH886" s="124"/>
      <c r="AI886" s="124"/>
      <c r="AJ886" s="124"/>
    </row>
    <row r="887" spans="1:36" x14ac:dyDescent="0.3">
      <c r="A887" s="124"/>
      <c r="B887" s="124"/>
      <c r="C887" s="124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  <c r="AA887" s="124"/>
      <c r="AB887" s="124"/>
      <c r="AC887" s="124"/>
      <c r="AD887" s="124"/>
      <c r="AE887" s="124"/>
      <c r="AF887" s="124"/>
      <c r="AG887" s="124"/>
      <c r="AH887" s="124"/>
      <c r="AI887" s="124"/>
      <c r="AJ887" s="124"/>
    </row>
    <row r="888" spans="1:36" x14ac:dyDescent="0.3">
      <c r="A888" s="124"/>
      <c r="B888" s="124"/>
      <c r="C888" s="124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  <c r="AA888" s="124"/>
      <c r="AB888" s="124"/>
      <c r="AC888" s="124"/>
      <c r="AD888" s="124"/>
      <c r="AE888" s="124"/>
      <c r="AF888" s="124"/>
      <c r="AG888" s="124"/>
      <c r="AH888" s="124"/>
      <c r="AI888" s="124"/>
      <c r="AJ888" s="124"/>
    </row>
    <row r="889" spans="1:36" x14ac:dyDescent="0.3">
      <c r="A889" s="124"/>
      <c r="B889" s="124"/>
      <c r="C889" s="124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  <c r="AA889" s="124"/>
      <c r="AB889" s="124"/>
      <c r="AC889" s="124"/>
      <c r="AD889" s="124"/>
      <c r="AE889" s="124"/>
      <c r="AF889" s="124"/>
      <c r="AG889" s="124"/>
      <c r="AH889" s="124"/>
      <c r="AI889" s="124"/>
      <c r="AJ889" s="124"/>
    </row>
    <row r="890" spans="1:36" x14ac:dyDescent="0.3">
      <c r="A890" s="124"/>
      <c r="B890" s="124"/>
      <c r="C890" s="124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  <c r="AA890" s="124"/>
      <c r="AB890" s="124"/>
      <c r="AC890" s="124"/>
      <c r="AD890" s="124"/>
      <c r="AE890" s="124"/>
      <c r="AF890" s="124"/>
      <c r="AG890" s="124"/>
      <c r="AH890" s="124"/>
      <c r="AI890" s="124"/>
      <c r="AJ890" s="124"/>
    </row>
    <row r="891" spans="1:36" x14ac:dyDescent="0.3">
      <c r="A891" s="124"/>
      <c r="B891" s="124"/>
      <c r="C891" s="124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  <c r="AA891" s="124"/>
      <c r="AB891" s="124"/>
      <c r="AC891" s="124"/>
      <c r="AD891" s="124"/>
      <c r="AE891" s="124"/>
      <c r="AF891" s="124"/>
      <c r="AG891" s="124"/>
      <c r="AH891" s="124"/>
      <c r="AI891" s="124"/>
      <c r="AJ891" s="124"/>
    </row>
    <row r="892" spans="1:36" x14ac:dyDescent="0.3">
      <c r="A892" s="124"/>
      <c r="B892" s="124"/>
      <c r="C892" s="124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  <c r="AA892" s="124"/>
      <c r="AB892" s="124"/>
      <c r="AC892" s="124"/>
      <c r="AD892" s="124"/>
      <c r="AE892" s="124"/>
      <c r="AF892" s="124"/>
      <c r="AG892" s="124"/>
      <c r="AH892" s="124"/>
      <c r="AI892" s="124"/>
      <c r="AJ892" s="124"/>
    </row>
    <row r="893" spans="1:36" x14ac:dyDescent="0.3">
      <c r="A893" s="124"/>
      <c r="B893" s="124"/>
      <c r="C893" s="124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  <c r="AA893" s="124"/>
      <c r="AB893" s="124"/>
      <c r="AC893" s="124"/>
      <c r="AD893" s="124"/>
      <c r="AE893" s="124"/>
      <c r="AF893" s="124"/>
      <c r="AG893" s="124"/>
      <c r="AH893" s="124"/>
      <c r="AI893" s="124"/>
      <c r="AJ893" s="124"/>
    </row>
    <row r="894" spans="1:36" x14ac:dyDescent="0.3">
      <c r="A894" s="124"/>
      <c r="B894" s="124"/>
      <c r="C894" s="124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  <c r="AA894" s="124"/>
      <c r="AB894" s="124"/>
      <c r="AC894" s="124"/>
      <c r="AD894" s="124"/>
      <c r="AE894" s="124"/>
      <c r="AF894" s="124"/>
      <c r="AG894" s="124"/>
      <c r="AH894" s="124"/>
      <c r="AI894" s="124"/>
      <c r="AJ894" s="124"/>
    </row>
    <row r="895" spans="1:36" x14ac:dyDescent="0.3">
      <c r="A895" s="124"/>
      <c r="B895" s="124"/>
      <c r="C895" s="124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  <c r="AA895" s="124"/>
      <c r="AB895" s="124"/>
      <c r="AC895" s="124"/>
      <c r="AD895" s="124"/>
      <c r="AE895" s="124"/>
      <c r="AF895" s="124"/>
      <c r="AG895" s="124"/>
      <c r="AH895" s="124"/>
      <c r="AI895" s="124"/>
      <c r="AJ895" s="124"/>
    </row>
    <row r="896" spans="1:36" x14ac:dyDescent="0.3">
      <c r="A896" s="124"/>
      <c r="B896" s="124"/>
      <c r="C896" s="124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  <c r="AA896" s="124"/>
      <c r="AB896" s="124"/>
      <c r="AC896" s="124"/>
      <c r="AD896" s="124"/>
      <c r="AE896" s="124"/>
      <c r="AF896" s="124"/>
      <c r="AG896" s="124"/>
      <c r="AH896" s="124"/>
      <c r="AI896" s="124"/>
      <c r="AJ896" s="124"/>
    </row>
    <row r="897" spans="1:36" x14ac:dyDescent="0.3">
      <c r="A897" s="124"/>
      <c r="B897" s="124"/>
      <c r="C897" s="124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  <c r="AA897" s="124"/>
      <c r="AB897" s="124"/>
      <c r="AC897" s="124"/>
      <c r="AD897" s="124"/>
      <c r="AE897" s="124"/>
      <c r="AF897" s="124"/>
      <c r="AG897" s="124"/>
      <c r="AH897" s="124"/>
      <c r="AI897" s="124"/>
      <c r="AJ897" s="124"/>
    </row>
    <row r="898" spans="1:36" x14ac:dyDescent="0.3">
      <c r="A898" s="124"/>
      <c r="B898" s="124"/>
      <c r="C898" s="124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  <c r="AA898" s="124"/>
      <c r="AB898" s="124"/>
      <c r="AC898" s="124"/>
      <c r="AD898" s="124"/>
      <c r="AE898" s="124"/>
      <c r="AF898" s="124"/>
      <c r="AG898" s="124"/>
      <c r="AH898" s="124"/>
      <c r="AI898" s="124"/>
      <c r="AJ898" s="124"/>
    </row>
    <row r="899" spans="1:36" x14ac:dyDescent="0.3">
      <c r="A899" s="124"/>
      <c r="B899" s="124"/>
      <c r="C899" s="124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  <c r="AA899" s="124"/>
      <c r="AB899" s="124"/>
      <c r="AC899" s="124"/>
      <c r="AD899" s="124"/>
      <c r="AE899" s="124"/>
      <c r="AF899" s="124"/>
      <c r="AG899" s="124"/>
      <c r="AH899" s="124"/>
      <c r="AI899" s="124"/>
      <c r="AJ899" s="124"/>
    </row>
    <row r="900" spans="1:36" x14ac:dyDescent="0.3">
      <c r="A900" s="124"/>
      <c r="B900" s="124"/>
      <c r="C900" s="124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  <c r="AA900" s="124"/>
      <c r="AB900" s="124"/>
      <c r="AC900" s="124"/>
      <c r="AD900" s="124"/>
      <c r="AE900" s="124"/>
      <c r="AF900" s="124"/>
      <c r="AG900" s="124"/>
      <c r="AH900" s="124"/>
      <c r="AI900" s="124"/>
      <c r="AJ900" s="124"/>
    </row>
    <row r="901" spans="1:36" x14ac:dyDescent="0.3">
      <c r="A901" s="124"/>
      <c r="B901" s="124"/>
      <c r="C901" s="124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  <c r="AA901" s="124"/>
      <c r="AB901" s="124"/>
      <c r="AC901" s="124"/>
      <c r="AD901" s="124"/>
      <c r="AE901" s="124"/>
      <c r="AF901" s="124"/>
      <c r="AG901" s="124"/>
      <c r="AH901" s="124"/>
      <c r="AI901" s="124"/>
      <c r="AJ901" s="124"/>
    </row>
    <row r="902" spans="1:36" x14ac:dyDescent="0.3">
      <c r="A902" s="124"/>
      <c r="B902" s="124"/>
      <c r="C902" s="124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  <c r="AA902" s="124"/>
      <c r="AB902" s="124"/>
      <c r="AC902" s="124"/>
      <c r="AD902" s="124"/>
      <c r="AE902" s="124"/>
      <c r="AF902" s="124"/>
      <c r="AG902" s="124"/>
      <c r="AH902" s="124"/>
      <c r="AI902" s="124"/>
      <c r="AJ902" s="124"/>
    </row>
    <row r="903" spans="1:36" x14ac:dyDescent="0.3">
      <c r="A903" s="124"/>
      <c r="B903" s="124"/>
      <c r="C903" s="124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  <c r="AA903" s="124"/>
      <c r="AB903" s="124"/>
      <c r="AC903" s="124"/>
      <c r="AD903" s="124"/>
      <c r="AE903" s="124"/>
      <c r="AF903" s="124"/>
      <c r="AG903" s="124"/>
      <c r="AH903" s="124"/>
      <c r="AI903" s="124"/>
      <c r="AJ903" s="124"/>
    </row>
    <row r="904" spans="1:36" x14ac:dyDescent="0.3">
      <c r="A904" s="124"/>
      <c r="B904" s="124"/>
      <c r="C904" s="124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  <c r="AA904" s="124"/>
      <c r="AB904" s="124"/>
      <c r="AC904" s="124"/>
      <c r="AD904" s="124"/>
      <c r="AE904" s="124"/>
      <c r="AF904" s="124"/>
      <c r="AG904" s="124"/>
      <c r="AH904" s="124"/>
      <c r="AI904" s="124"/>
      <c r="AJ904" s="124"/>
    </row>
    <row r="905" spans="1:36" x14ac:dyDescent="0.3">
      <c r="A905" s="124"/>
      <c r="B905" s="124"/>
      <c r="C905" s="124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  <c r="AA905" s="124"/>
      <c r="AB905" s="124"/>
      <c r="AC905" s="124"/>
      <c r="AD905" s="124"/>
      <c r="AE905" s="124"/>
      <c r="AF905" s="124"/>
      <c r="AG905" s="124"/>
      <c r="AH905" s="124"/>
      <c r="AI905" s="124"/>
      <c r="AJ905" s="124"/>
    </row>
    <row r="906" spans="1:36" x14ac:dyDescent="0.3">
      <c r="A906" s="124"/>
      <c r="B906" s="124"/>
      <c r="C906" s="124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  <c r="AA906" s="124"/>
      <c r="AB906" s="124"/>
      <c r="AC906" s="124"/>
      <c r="AD906" s="124"/>
      <c r="AE906" s="124"/>
      <c r="AF906" s="124"/>
      <c r="AG906" s="124"/>
      <c r="AH906" s="124"/>
      <c r="AI906" s="124"/>
      <c r="AJ906" s="124"/>
    </row>
    <row r="907" spans="1:36" x14ac:dyDescent="0.3">
      <c r="A907" s="124"/>
      <c r="B907" s="124"/>
      <c r="C907" s="124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  <c r="AA907" s="124"/>
      <c r="AB907" s="124"/>
      <c r="AC907" s="124"/>
      <c r="AD907" s="124"/>
      <c r="AE907" s="124"/>
      <c r="AF907" s="124"/>
      <c r="AG907" s="124"/>
      <c r="AH907" s="124"/>
      <c r="AI907" s="124"/>
      <c r="AJ907" s="124"/>
    </row>
    <row r="908" spans="1:36" x14ac:dyDescent="0.3">
      <c r="A908" s="124"/>
      <c r="B908" s="124"/>
      <c r="C908" s="124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  <c r="AA908" s="124"/>
      <c r="AB908" s="124"/>
      <c r="AC908" s="124"/>
      <c r="AD908" s="124"/>
      <c r="AE908" s="124"/>
      <c r="AF908" s="124"/>
      <c r="AG908" s="124"/>
      <c r="AH908" s="124"/>
      <c r="AI908" s="124"/>
      <c r="AJ908" s="124"/>
    </row>
    <row r="909" spans="1:36" x14ac:dyDescent="0.3">
      <c r="A909" s="124"/>
      <c r="B909" s="124"/>
      <c r="C909" s="124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  <c r="AA909" s="124"/>
      <c r="AB909" s="124"/>
      <c r="AC909" s="124"/>
      <c r="AD909" s="124"/>
      <c r="AE909" s="124"/>
      <c r="AF909" s="124"/>
      <c r="AG909" s="124"/>
      <c r="AH909" s="124"/>
      <c r="AI909" s="124"/>
      <c r="AJ909" s="124"/>
    </row>
    <row r="910" spans="1:36" x14ac:dyDescent="0.3">
      <c r="A910" s="124"/>
      <c r="B910" s="124"/>
      <c r="C910" s="124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  <c r="AA910" s="124"/>
      <c r="AB910" s="124"/>
      <c r="AC910" s="124"/>
      <c r="AD910" s="124"/>
      <c r="AE910" s="124"/>
      <c r="AF910" s="124"/>
      <c r="AG910" s="124"/>
      <c r="AH910" s="124"/>
      <c r="AI910" s="124"/>
      <c r="AJ910" s="124"/>
    </row>
    <row r="911" spans="1:36" x14ac:dyDescent="0.3">
      <c r="A911" s="124"/>
      <c r="B911" s="124"/>
      <c r="C911" s="124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  <c r="AA911" s="124"/>
      <c r="AB911" s="124"/>
      <c r="AC911" s="124"/>
      <c r="AD911" s="124"/>
      <c r="AE911" s="124"/>
      <c r="AF911" s="124"/>
      <c r="AG911" s="124"/>
      <c r="AH911" s="124"/>
      <c r="AI911" s="124"/>
      <c r="AJ911" s="124"/>
    </row>
    <row r="912" spans="1:36" x14ac:dyDescent="0.3">
      <c r="A912" s="124"/>
      <c r="B912" s="124"/>
      <c r="C912" s="124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  <c r="AA912" s="124"/>
      <c r="AB912" s="124"/>
      <c r="AC912" s="124"/>
      <c r="AD912" s="124"/>
      <c r="AE912" s="124"/>
      <c r="AF912" s="124"/>
      <c r="AG912" s="124"/>
      <c r="AH912" s="124"/>
      <c r="AI912" s="124"/>
      <c r="AJ912" s="124"/>
    </row>
    <row r="913" spans="1:36" x14ac:dyDescent="0.3">
      <c r="A913" s="124"/>
      <c r="B913" s="124"/>
      <c r="C913" s="124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  <c r="AA913" s="124"/>
      <c r="AB913" s="124"/>
      <c r="AC913" s="124"/>
      <c r="AD913" s="124"/>
      <c r="AE913" s="124"/>
      <c r="AF913" s="124"/>
      <c r="AG913" s="124"/>
      <c r="AH913" s="124"/>
      <c r="AI913" s="124"/>
      <c r="AJ913" s="124"/>
    </row>
    <row r="914" spans="1:36" x14ac:dyDescent="0.3">
      <c r="A914" s="124"/>
      <c r="B914" s="124"/>
      <c r="C914" s="124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  <c r="AA914" s="124"/>
      <c r="AB914" s="124"/>
      <c r="AC914" s="124"/>
      <c r="AD914" s="124"/>
      <c r="AE914" s="124"/>
      <c r="AF914" s="124"/>
      <c r="AG914" s="124"/>
      <c r="AH914" s="124"/>
      <c r="AI914" s="124"/>
      <c r="AJ914" s="124"/>
    </row>
    <row r="915" spans="1:36" x14ac:dyDescent="0.3">
      <c r="A915" s="124"/>
      <c r="B915" s="124"/>
      <c r="C915" s="124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  <c r="AA915" s="124"/>
      <c r="AB915" s="124"/>
      <c r="AC915" s="124"/>
      <c r="AD915" s="124"/>
      <c r="AE915" s="124"/>
      <c r="AF915" s="124"/>
      <c r="AG915" s="124"/>
      <c r="AH915" s="124"/>
      <c r="AI915" s="124"/>
      <c r="AJ915" s="124"/>
    </row>
    <row r="916" spans="1:36" x14ac:dyDescent="0.3">
      <c r="A916" s="124"/>
      <c r="B916" s="124"/>
      <c r="C916" s="124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  <c r="AA916" s="124"/>
      <c r="AB916" s="124"/>
      <c r="AC916" s="124"/>
      <c r="AD916" s="124"/>
      <c r="AE916" s="124"/>
      <c r="AF916" s="124"/>
      <c r="AG916" s="124"/>
      <c r="AH916" s="124"/>
      <c r="AI916" s="124"/>
      <c r="AJ916" s="124"/>
    </row>
    <row r="917" spans="1:36" x14ac:dyDescent="0.3">
      <c r="A917" s="124"/>
      <c r="B917" s="124"/>
      <c r="C917" s="124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  <c r="AA917" s="124"/>
      <c r="AB917" s="124"/>
      <c r="AC917" s="124"/>
      <c r="AD917" s="124"/>
      <c r="AE917" s="124"/>
      <c r="AF917" s="124"/>
      <c r="AG917" s="124"/>
      <c r="AH917" s="124"/>
      <c r="AI917" s="124"/>
      <c r="AJ917" s="124"/>
    </row>
    <row r="918" spans="1:36" x14ac:dyDescent="0.3">
      <c r="A918" s="124"/>
      <c r="B918" s="124"/>
      <c r="C918" s="124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  <c r="AA918" s="124"/>
      <c r="AB918" s="124"/>
      <c r="AC918" s="124"/>
      <c r="AD918" s="124"/>
      <c r="AE918" s="124"/>
      <c r="AF918" s="124"/>
      <c r="AG918" s="124"/>
      <c r="AH918" s="124"/>
      <c r="AI918" s="124"/>
      <c r="AJ918" s="124"/>
    </row>
    <row r="919" spans="1:36" x14ac:dyDescent="0.3">
      <c r="A919" s="124"/>
      <c r="B919" s="124"/>
      <c r="C919" s="124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  <c r="AA919" s="124"/>
      <c r="AB919" s="124"/>
      <c r="AC919" s="124"/>
      <c r="AD919" s="124"/>
      <c r="AE919" s="124"/>
      <c r="AF919" s="124"/>
      <c r="AG919" s="124"/>
      <c r="AH919" s="124"/>
      <c r="AI919" s="124"/>
      <c r="AJ919" s="124"/>
    </row>
    <row r="920" spans="1:36" x14ac:dyDescent="0.3">
      <c r="A920" s="124"/>
      <c r="B920" s="124"/>
      <c r="C920" s="124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  <c r="AA920" s="124"/>
      <c r="AB920" s="124"/>
      <c r="AC920" s="124"/>
      <c r="AD920" s="124"/>
      <c r="AE920" s="124"/>
      <c r="AF920" s="124"/>
      <c r="AG920" s="124"/>
      <c r="AH920" s="124"/>
      <c r="AI920" s="124"/>
      <c r="AJ920" s="124"/>
    </row>
    <row r="921" spans="1:36" x14ac:dyDescent="0.3">
      <c r="A921" s="124"/>
      <c r="B921" s="124"/>
      <c r="C921" s="124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  <c r="AA921" s="124"/>
      <c r="AB921" s="124"/>
      <c r="AC921" s="124"/>
      <c r="AD921" s="124"/>
      <c r="AE921" s="124"/>
      <c r="AF921" s="124"/>
      <c r="AG921" s="124"/>
      <c r="AH921" s="124"/>
      <c r="AI921" s="124"/>
      <c r="AJ921" s="124"/>
    </row>
    <row r="922" spans="1:36" x14ac:dyDescent="0.3">
      <c r="A922" s="124"/>
      <c r="B922" s="124"/>
      <c r="C922" s="124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  <c r="AA922" s="124"/>
      <c r="AB922" s="124"/>
      <c r="AC922" s="124"/>
      <c r="AD922" s="124"/>
      <c r="AE922" s="124"/>
      <c r="AF922" s="124"/>
      <c r="AG922" s="124"/>
      <c r="AH922" s="124"/>
      <c r="AI922" s="124"/>
      <c r="AJ922" s="124"/>
    </row>
    <row r="923" spans="1:36" x14ac:dyDescent="0.3">
      <c r="A923" s="124"/>
      <c r="B923" s="124"/>
      <c r="C923" s="124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  <c r="AA923" s="124"/>
      <c r="AB923" s="124"/>
      <c r="AC923" s="124"/>
      <c r="AD923" s="124"/>
      <c r="AE923" s="124"/>
      <c r="AF923" s="124"/>
      <c r="AG923" s="124"/>
      <c r="AH923" s="124"/>
      <c r="AI923" s="124"/>
      <c r="AJ923" s="124"/>
    </row>
    <row r="924" spans="1:36" x14ac:dyDescent="0.3">
      <c r="A924" s="124"/>
      <c r="B924" s="124"/>
      <c r="C924" s="124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24"/>
      <c r="AC924" s="124"/>
      <c r="AD924" s="124"/>
      <c r="AE924" s="124"/>
      <c r="AF924" s="124"/>
      <c r="AG924" s="124"/>
      <c r="AH924" s="124"/>
      <c r="AI924" s="124"/>
      <c r="AJ924" s="124"/>
    </row>
    <row r="925" spans="1:36" x14ac:dyDescent="0.3">
      <c r="A925" s="124"/>
      <c r="B925" s="124"/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  <c r="AA925" s="124"/>
      <c r="AB925" s="124"/>
      <c r="AC925" s="124"/>
      <c r="AD925" s="124"/>
      <c r="AE925" s="124"/>
      <c r="AF925" s="124"/>
      <c r="AG925" s="124"/>
      <c r="AH925" s="124"/>
      <c r="AI925" s="124"/>
      <c r="AJ925" s="124"/>
    </row>
    <row r="926" spans="1:36" x14ac:dyDescent="0.3">
      <c r="A926" s="124"/>
      <c r="B926" s="124"/>
      <c r="C926" s="124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  <c r="AA926" s="124"/>
      <c r="AB926" s="124"/>
      <c r="AC926" s="124"/>
      <c r="AD926" s="124"/>
      <c r="AE926" s="124"/>
      <c r="AF926" s="124"/>
      <c r="AG926" s="124"/>
      <c r="AH926" s="124"/>
      <c r="AI926" s="124"/>
      <c r="AJ926" s="124"/>
    </row>
    <row r="927" spans="1:36" x14ac:dyDescent="0.3">
      <c r="A927" s="124"/>
      <c r="B927" s="124"/>
      <c r="C927" s="124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  <c r="AA927" s="124"/>
      <c r="AB927" s="124"/>
      <c r="AC927" s="124"/>
      <c r="AD927" s="124"/>
      <c r="AE927" s="124"/>
      <c r="AF927" s="124"/>
      <c r="AG927" s="124"/>
      <c r="AH927" s="124"/>
      <c r="AI927" s="124"/>
      <c r="AJ927" s="124"/>
    </row>
    <row r="928" spans="1:36" x14ac:dyDescent="0.3">
      <c r="A928" s="124"/>
      <c r="B928" s="124"/>
      <c r="C928" s="124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24"/>
      <c r="AC928" s="124"/>
      <c r="AD928" s="124"/>
      <c r="AE928" s="124"/>
      <c r="AF928" s="124"/>
      <c r="AG928" s="124"/>
      <c r="AH928" s="124"/>
      <c r="AI928" s="124"/>
      <c r="AJ928" s="124"/>
    </row>
    <row r="929" spans="1:36" x14ac:dyDescent="0.3">
      <c r="A929" s="124"/>
      <c r="B929" s="124"/>
      <c r="C929" s="124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  <c r="AA929" s="124"/>
      <c r="AB929" s="124"/>
      <c r="AC929" s="124"/>
      <c r="AD929" s="124"/>
      <c r="AE929" s="124"/>
      <c r="AF929" s="124"/>
      <c r="AG929" s="124"/>
      <c r="AH929" s="124"/>
      <c r="AI929" s="124"/>
      <c r="AJ929" s="124"/>
    </row>
    <row r="930" spans="1:36" x14ac:dyDescent="0.3">
      <c r="A930" s="124"/>
      <c r="B930" s="124"/>
      <c r="C930" s="124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  <c r="AA930" s="124"/>
      <c r="AB930" s="124"/>
      <c r="AC930" s="124"/>
      <c r="AD930" s="124"/>
      <c r="AE930" s="124"/>
      <c r="AF930" s="124"/>
      <c r="AG930" s="124"/>
      <c r="AH930" s="124"/>
      <c r="AI930" s="124"/>
      <c r="AJ930" s="124"/>
    </row>
    <row r="931" spans="1:36" x14ac:dyDescent="0.3">
      <c r="A931" s="124"/>
      <c r="B931" s="124"/>
      <c r="C931" s="124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  <c r="AA931" s="124"/>
      <c r="AB931" s="124"/>
      <c r="AC931" s="124"/>
      <c r="AD931" s="124"/>
      <c r="AE931" s="124"/>
      <c r="AF931" s="124"/>
      <c r="AG931" s="124"/>
      <c r="AH931" s="124"/>
      <c r="AI931" s="124"/>
      <c r="AJ931" s="124"/>
    </row>
    <row r="932" spans="1:36" x14ac:dyDescent="0.3">
      <c r="A932" s="124"/>
      <c r="B932" s="124"/>
      <c r="C932" s="124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  <c r="AA932" s="124"/>
      <c r="AB932" s="124"/>
      <c r="AC932" s="124"/>
      <c r="AD932" s="124"/>
      <c r="AE932" s="124"/>
      <c r="AF932" s="124"/>
      <c r="AG932" s="124"/>
      <c r="AH932" s="124"/>
      <c r="AI932" s="124"/>
      <c r="AJ932" s="124"/>
    </row>
    <row r="933" spans="1:36" x14ac:dyDescent="0.3">
      <c r="A933" s="124"/>
      <c r="B933" s="124"/>
      <c r="C933" s="124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  <c r="AA933" s="124"/>
      <c r="AB933" s="124"/>
      <c r="AC933" s="124"/>
      <c r="AD933" s="124"/>
      <c r="AE933" s="124"/>
      <c r="AF933" s="124"/>
      <c r="AG933" s="124"/>
      <c r="AH933" s="124"/>
      <c r="AI933" s="124"/>
      <c r="AJ933" s="124"/>
    </row>
    <row r="934" spans="1:36" x14ac:dyDescent="0.3">
      <c r="A934" s="124"/>
      <c r="B934" s="124"/>
      <c r="C934" s="124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  <c r="AA934" s="124"/>
      <c r="AB934" s="124"/>
      <c r="AC934" s="124"/>
      <c r="AD934" s="124"/>
      <c r="AE934" s="124"/>
      <c r="AF934" s="124"/>
      <c r="AG934" s="124"/>
      <c r="AH934" s="124"/>
      <c r="AI934" s="124"/>
      <c r="AJ934" s="124"/>
    </row>
    <row r="935" spans="1:36" x14ac:dyDescent="0.3">
      <c r="A935" s="124"/>
      <c r="B935" s="124"/>
      <c r="C935" s="124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  <c r="AA935" s="124"/>
      <c r="AB935" s="124"/>
      <c r="AC935" s="124"/>
      <c r="AD935" s="124"/>
      <c r="AE935" s="124"/>
      <c r="AF935" s="124"/>
      <c r="AG935" s="124"/>
      <c r="AH935" s="124"/>
      <c r="AI935" s="124"/>
      <c r="AJ935" s="124"/>
    </row>
    <row r="936" spans="1:36" x14ac:dyDescent="0.3">
      <c r="A936" s="124"/>
      <c r="B936" s="124"/>
      <c r="C936" s="124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  <c r="AA936" s="124"/>
      <c r="AB936" s="124"/>
      <c r="AC936" s="124"/>
      <c r="AD936" s="124"/>
      <c r="AE936" s="124"/>
      <c r="AF936" s="124"/>
      <c r="AG936" s="124"/>
      <c r="AH936" s="124"/>
      <c r="AI936" s="124"/>
      <c r="AJ936" s="124"/>
    </row>
    <row r="937" spans="1:36" x14ac:dyDescent="0.3">
      <c r="A937" s="124"/>
      <c r="B937" s="124"/>
      <c r="C937" s="124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  <c r="AA937" s="124"/>
      <c r="AB937" s="124"/>
      <c r="AC937" s="124"/>
      <c r="AD937" s="124"/>
      <c r="AE937" s="124"/>
      <c r="AF937" s="124"/>
      <c r="AG937" s="124"/>
      <c r="AH937" s="124"/>
      <c r="AI937" s="124"/>
      <c r="AJ937" s="124"/>
    </row>
    <row r="938" spans="1:36" x14ac:dyDescent="0.3">
      <c r="A938" s="124"/>
      <c r="B938" s="124"/>
      <c r="C938" s="124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  <c r="AA938" s="124"/>
      <c r="AB938" s="124"/>
      <c r="AC938" s="124"/>
      <c r="AD938" s="124"/>
      <c r="AE938" s="124"/>
      <c r="AF938" s="124"/>
      <c r="AG938" s="124"/>
      <c r="AH938" s="124"/>
      <c r="AI938" s="124"/>
      <c r="AJ938" s="124"/>
    </row>
    <row r="939" spans="1:36" x14ac:dyDescent="0.3">
      <c r="A939" s="124"/>
      <c r="B939" s="124"/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  <c r="AA939" s="124"/>
      <c r="AB939" s="124"/>
      <c r="AC939" s="124"/>
      <c r="AD939" s="124"/>
      <c r="AE939" s="124"/>
      <c r="AF939" s="124"/>
      <c r="AG939" s="124"/>
      <c r="AH939" s="124"/>
      <c r="AI939" s="124"/>
      <c r="AJ939" s="124"/>
    </row>
    <row r="940" spans="1:36" x14ac:dyDescent="0.3">
      <c r="A940" s="124"/>
      <c r="B940" s="124"/>
      <c r="C940" s="124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  <c r="AA940" s="124"/>
      <c r="AB940" s="124"/>
      <c r="AC940" s="124"/>
      <c r="AD940" s="124"/>
      <c r="AE940" s="124"/>
      <c r="AF940" s="124"/>
      <c r="AG940" s="124"/>
      <c r="AH940" s="124"/>
      <c r="AI940" s="124"/>
      <c r="AJ940" s="124"/>
    </row>
    <row r="941" spans="1:36" x14ac:dyDescent="0.3">
      <c r="A941" s="124"/>
      <c r="B941" s="124"/>
      <c r="C941" s="124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  <c r="AA941" s="124"/>
      <c r="AB941" s="124"/>
      <c r="AC941" s="124"/>
      <c r="AD941" s="124"/>
      <c r="AE941" s="124"/>
      <c r="AF941" s="124"/>
      <c r="AG941" s="124"/>
      <c r="AH941" s="124"/>
      <c r="AI941" s="124"/>
      <c r="AJ941" s="124"/>
    </row>
    <row r="942" spans="1:36" x14ac:dyDescent="0.3">
      <c r="A942" s="124"/>
      <c r="B942" s="124"/>
      <c r="C942" s="124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  <c r="AA942" s="124"/>
      <c r="AB942" s="124"/>
      <c r="AC942" s="124"/>
      <c r="AD942" s="124"/>
      <c r="AE942" s="124"/>
      <c r="AF942" s="124"/>
      <c r="AG942" s="124"/>
      <c r="AH942" s="124"/>
      <c r="AI942" s="124"/>
      <c r="AJ942" s="124"/>
    </row>
    <row r="943" spans="1:36" x14ac:dyDescent="0.3">
      <c r="A943" s="124"/>
      <c r="B943" s="124"/>
      <c r="C943" s="124"/>
      <c r="D943" s="124"/>
      <c r="E943" s="124"/>
      <c r="F943" s="124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  <c r="AA943" s="124"/>
      <c r="AB943" s="124"/>
      <c r="AC943" s="124"/>
      <c r="AD943" s="124"/>
      <c r="AE943" s="124"/>
      <c r="AF943" s="124"/>
      <c r="AG943" s="124"/>
      <c r="AH943" s="124"/>
      <c r="AI943" s="124"/>
      <c r="AJ943" s="124"/>
    </row>
    <row r="944" spans="1:36" x14ac:dyDescent="0.3">
      <c r="A944" s="124"/>
      <c r="B944" s="124"/>
      <c r="C944" s="124"/>
      <c r="D944" s="124"/>
      <c r="E944" s="124"/>
      <c r="F944" s="124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  <c r="AA944" s="124"/>
      <c r="AB944" s="124"/>
      <c r="AC944" s="124"/>
      <c r="AD944" s="124"/>
      <c r="AE944" s="124"/>
      <c r="AF944" s="124"/>
      <c r="AG944" s="124"/>
      <c r="AH944" s="124"/>
      <c r="AI944" s="124"/>
      <c r="AJ944" s="124"/>
    </row>
    <row r="945" spans="1:36" x14ac:dyDescent="0.3">
      <c r="A945" s="124"/>
      <c r="B945" s="124"/>
      <c r="C945" s="124"/>
      <c r="D945" s="124"/>
      <c r="E945" s="124"/>
      <c r="F945" s="124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  <c r="AA945" s="124"/>
      <c r="AB945" s="124"/>
      <c r="AC945" s="124"/>
      <c r="AD945" s="124"/>
      <c r="AE945" s="124"/>
      <c r="AF945" s="124"/>
      <c r="AG945" s="124"/>
      <c r="AH945" s="124"/>
      <c r="AI945" s="124"/>
      <c r="AJ945" s="124"/>
    </row>
    <row r="946" spans="1:36" x14ac:dyDescent="0.3">
      <c r="A946" s="124"/>
      <c r="B946" s="124"/>
      <c r="C946" s="124"/>
      <c r="D946" s="124"/>
      <c r="E946" s="124"/>
      <c r="F946" s="124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  <c r="AA946" s="124"/>
      <c r="AB946" s="124"/>
      <c r="AC946" s="124"/>
      <c r="AD946" s="124"/>
      <c r="AE946" s="124"/>
      <c r="AF946" s="124"/>
      <c r="AG946" s="124"/>
      <c r="AH946" s="124"/>
      <c r="AI946" s="124"/>
      <c r="AJ946" s="124"/>
    </row>
    <row r="947" spans="1:36" x14ac:dyDescent="0.3">
      <c r="A947" s="124"/>
      <c r="B947" s="124"/>
      <c r="C947" s="124"/>
      <c r="D947" s="124"/>
      <c r="E947" s="124"/>
      <c r="F947" s="124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  <c r="AA947" s="124"/>
      <c r="AB947" s="124"/>
      <c r="AC947" s="124"/>
      <c r="AD947" s="124"/>
      <c r="AE947" s="124"/>
      <c r="AF947" s="124"/>
      <c r="AG947" s="124"/>
      <c r="AH947" s="124"/>
      <c r="AI947" s="124"/>
      <c r="AJ947" s="124"/>
    </row>
    <row r="948" spans="1:36" x14ac:dyDescent="0.3">
      <c r="A948" s="124"/>
      <c r="B948" s="124"/>
      <c r="C948" s="124"/>
      <c r="D948" s="124"/>
      <c r="E948" s="124"/>
      <c r="F948" s="124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  <c r="AA948" s="124"/>
      <c r="AB948" s="124"/>
      <c r="AC948" s="124"/>
      <c r="AD948" s="124"/>
      <c r="AE948" s="124"/>
      <c r="AF948" s="124"/>
      <c r="AG948" s="124"/>
      <c r="AH948" s="124"/>
      <c r="AI948" s="124"/>
      <c r="AJ948" s="124"/>
    </row>
    <row r="949" spans="1:36" x14ac:dyDescent="0.3">
      <c r="A949" s="124"/>
      <c r="B949" s="124"/>
      <c r="C949" s="124"/>
      <c r="D949" s="124"/>
      <c r="E949" s="124"/>
      <c r="F949" s="124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  <c r="AA949" s="124"/>
      <c r="AB949" s="124"/>
      <c r="AC949" s="124"/>
      <c r="AD949" s="124"/>
      <c r="AE949" s="124"/>
      <c r="AF949" s="124"/>
      <c r="AG949" s="124"/>
      <c r="AH949" s="124"/>
      <c r="AI949" s="124"/>
      <c r="AJ949" s="124"/>
    </row>
    <row r="950" spans="1:36" x14ac:dyDescent="0.3">
      <c r="A950" s="124"/>
      <c r="B950" s="124"/>
      <c r="C950" s="124"/>
      <c r="D950" s="124"/>
      <c r="E950" s="124"/>
      <c r="F950" s="124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  <c r="AA950" s="124"/>
      <c r="AB950" s="124"/>
      <c r="AC950" s="124"/>
      <c r="AD950" s="124"/>
      <c r="AE950" s="124"/>
      <c r="AF950" s="124"/>
      <c r="AG950" s="124"/>
      <c r="AH950" s="124"/>
      <c r="AI950" s="124"/>
      <c r="AJ950" s="124"/>
    </row>
    <row r="951" spans="1:36" x14ac:dyDescent="0.3">
      <c r="A951" s="124"/>
      <c r="B951" s="124"/>
      <c r="C951" s="124"/>
      <c r="D951" s="124"/>
      <c r="E951" s="124"/>
      <c r="F951" s="124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  <c r="AA951" s="124"/>
      <c r="AB951" s="124"/>
      <c r="AC951" s="124"/>
      <c r="AD951" s="124"/>
      <c r="AE951" s="124"/>
      <c r="AF951" s="124"/>
      <c r="AG951" s="124"/>
      <c r="AH951" s="124"/>
      <c r="AI951" s="124"/>
      <c r="AJ951" s="124"/>
    </row>
    <row r="952" spans="1:36" x14ac:dyDescent="0.3">
      <c r="A952" s="124"/>
      <c r="B952" s="124"/>
      <c r="C952" s="124"/>
      <c r="D952" s="124"/>
      <c r="E952" s="124"/>
      <c r="F952" s="124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  <c r="AA952" s="124"/>
      <c r="AB952" s="124"/>
      <c r="AC952" s="124"/>
      <c r="AD952" s="124"/>
      <c r="AE952" s="124"/>
      <c r="AF952" s="124"/>
      <c r="AG952" s="124"/>
      <c r="AH952" s="124"/>
      <c r="AI952" s="124"/>
      <c r="AJ952" s="124"/>
    </row>
    <row r="953" spans="1:36" x14ac:dyDescent="0.3">
      <c r="A953" s="124"/>
      <c r="B953" s="124"/>
      <c r="C953" s="124"/>
      <c r="D953" s="124"/>
      <c r="E953" s="124"/>
      <c r="F953" s="124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  <c r="AA953" s="124"/>
      <c r="AB953" s="124"/>
      <c r="AC953" s="124"/>
      <c r="AD953" s="124"/>
      <c r="AE953" s="124"/>
      <c r="AF953" s="124"/>
      <c r="AG953" s="124"/>
      <c r="AH953" s="124"/>
      <c r="AI953" s="124"/>
      <c r="AJ953" s="124"/>
    </row>
    <row r="954" spans="1:36" x14ac:dyDescent="0.3">
      <c r="A954" s="124"/>
      <c r="B954" s="124"/>
      <c r="C954" s="124"/>
      <c r="D954" s="124"/>
      <c r="E954" s="124"/>
      <c r="F954" s="124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  <c r="AA954" s="124"/>
      <c r="AB954" s="124"/>
      <c r="AC954" s="124"/>
      <c r="AD954" s="124"/>
      <c r="AE954" s="124"/>
      <c r="AF954" s="124"/>
      <c r="AG954" s="124"/>
      <c r="AH954" s="124"/>
      <c r="AI954" s="124"/>
      <c r="AJ954" s="124"/>
    </row>
    <row r="955" spans="1:36" x14ac:dyDescent="0.3">
      <c r="A955" s="124"/>
      <c r="B955" s="124"/>
      <c r="C955" s="124"/>
      <c r="D955" s="124"/>
      <c r="E955" s="124"/>
      <c r="F955" s="124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  <c r="AA955" s="124"/>
      <c r="AB955" s="124"/>
      <c r="AC955" s="124"/>
      <c r="AD955" s="124"/>
      <c r="AE955" s="124"/>
      <c r="AF955" s="124"/>
      <c r="AG955" s="124"/>
      <c r="AH955" s="124"/>
      <c r="AI955" s="124"/>
      <c r="AJ955" s="124"/>
    </row>
    <row r="956" spans="1:36" x14ac:dyDescent="0.3">
      <c r="A956" s="124"/>
      <c r="B956" s="124"/>
      <c r="C956" s="124"/>
      <c r="D956" s="124"/>
      <c r="E956" s="124"/>
      <c r="F956" s="124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  <c r="AA956" s="124"/>
      <c r="AB956" s="124"/>
      <c r="AC956" s="124"/>
      <c r="AD956" s="124"/>
      <c r="AE956" s="124"/>
      <c r="AF956" s="124"/>
      <c r="AG956" s="124"/>
      <c r="AH956" s="124"/>
      <c r="AI956" s="124"/>
      <c r="AJ956" s="124"/>
    </row>
    <row r="957" spans="1:36" x14ac:dyDescent="0.3">
      <c r="A957" s="124"/>
      <c r="B957" s="124"/>
      <c r="C957" s="124"/>
      <c r="D957" s="124"/>
      <c r="E957" s="124"/>
      <c r="F957" s="124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  <c r="AA957" s="124"/>
      <c r="AB957" s="124"/>
      <c r="AC957" s="124"/>
      <c r="AD957" s="124"/>
      <c r="AE957" s="124"/>
      <c r="AF957" s="124"/>
      <c r="AG957" s="124"/>
      <c r="AH957" s="124"/>
      <c r="AI957" s="124"/>
      <c r="AJ957" s="124"/>
    </row>
    <row r="958" spans="1:36" x14ac:dyDescent="0.3">
      <c r="A958" s="124"/>
      <c r="B958" s="124"/>
      <c r="C958" s="124"/>
      <c r="D958" s="124"/>
      <c r="E958" s="124"/>
      <c r="F958" s="124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  <c r="AA958" s="124"/>
      <c r="AB958" s="124"/>
      <c r="AC958" s="124"/>
      <c r="AD958" s="124"/>
      <c r="AE958" s="124"/>
      <c r="AF958" s="124"/>
      <c r="AG958" s="124"/>
      <c r="AH958" s="124"/>
      <c r="AI958" s="124"/>
      <c r="AJ958" s="124"/>
    </row>
    <row r="959" spans="1:36" x14ac:dyDescent="0.3">
      <c r="A959" s="124"/>
      <c r="B959" s="124"/>
      <c r="C959" s="124"/>
      <c r="D959" s="124"/>
      <c r="E959" s="124"/>
      <c r="F959" s="124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  <c r="AA959" s="124"/>
      <c r="AB959" s="124"/>
      <c r="AC959" s="124"/>
      <c r="AD959" s="124"/>
      <c r="AE959" s="124"/>
      <c r="AF959" s="124"/>
      <c r="AG959" s="124"/>
      <c r="AH959" s="124"/>
      <c r="AI959" s="124"/>
      <c r="AJ959" s="124"/>
    </row>
    <row r="960" spans="1:36" x14ac:dyDescent="0.3">
      <c r="A960" s="124"/>
      <c r="B960" s="124"/>
      <c r="C960" s="124"/>
      <c r="D960" s="124"/>
      <c r="E960" s="124"/>
      <c r="F960" s="124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  <c r="AA960" s="124"/>
      <c r="AB960" s="124"/>
      <c r="AC960" s="124"/>
      <c r="AD960" s="124"/>
      <c r="AE960" s="124"/>
      <c r="AF960" s="124"/>
      <c r="AG960" s="124"/>
      <c r="AH960" s="124"/>
      <c r="AI960" s="124"/>
      <c r="AJ960" s="124"/>
    </row>
    <row r="961" spans="1:36" x14ac:dyDescent="0.3">
      <c r="A961" s="124"/>
      <c r="B961" s="124"/>
      <c r="C961" s="124"/>
      <c r="D961" s="124"/>
      <c r="E961" s="124"/>
      <c r="F961" s="124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  <c r="AA961" s="124"/>
      <c r="AB961" s="124"/>
      <c r="AC961" s="124"/>
      <c r="AD961" s="124"/>
      <c r="AE961" s="124"/>
      <c r="AF961" s="124"/>
      <c r="AG961" s="124"/>
      <c r="AH961" s="124"/>
      <c r="AI961" s="124"/>
      <c r="AJ961" s="124"/>
    </row>
    <row r="962" spans="1:36" x14ac:dyDescent="0.3">
      <c r="A962" s="124"/>
      <c r="B962" s="124"/>
      <c r="C962" s="124"/>
      <c r="D962" s="124"/>
      <c r="E962" s="124"/>
      <c r="F962" s="124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  <c r="AA962" s="124"/>
      <c r="AB962" s="124"/>
      <c r="AC962" s="124"/>
      <c r="AD962" s="124"/>
      <c r="AE962" s="124"/>
      <c r="AF962" s="124"/>
      <c r="AG962" s="124"/>
      <c r="AH962" s="124"/>
      <c r="AI962" s="124"/>
      <c r="AJ962" s="124"/>
    </row>
    <row r="963" spans="1:36" x14ac:dyDescent="0.3">
      <c r="A963" s="124"/>
      <c r="B963" s="124"/>
      <c r="C963" s="124"/>
      <c r="D963" s="124"/>
      <c r="E963" s="124"/>
      <c r="F963" s="124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  <c r="AA963" s="124"/>
      <c r="AB963" s="124"/>
      <c r="AC963" s="124"/>
      <c r="AD963" s="124"/>
      <c r="AE963" s="124"/>
      <c r="AF963" s="124"/>
      <c r="AG963" s="124"/>
      <c r="AH963" s="124"/>
      <c r="AI963" s="124"/>
      <c r="AJ963" s="124"/>
    </row>
    <row r="964" spans="1:36" x14ac:dyDescent="0.3">
      <c r="A964" s="124"/>
      <c r="B964" s="124"/>
      <c r="C964" s="124"/>
      <c r="D964" s="124"/>
      <c r="E964" s="124"/>
      <c r="F964" s="124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  <c r="AA964" s="124"/>
      <c r="AB964" s="124"/>
      <c r="AC964" s="124"/>
      <c r="AD964" s="124"/>
      <c r="AE964" s="124"/>
      <c r="AF964" s="124"/>
      <c r="AG964" s="124"/>
      <c r="AH964" s="124"/>
      <c r="AI964" s="124"/>
      <c r="AJ964" s="124"/>
    </row>
    <row r="965" spans="1:36" x14ac:dyDescent="0.3">
      <c r="A965" s="124"/>
      <c r="B965" s="124"/>
      <c r="C965" s="124"/>
      <c r="D965" s="124"/>
      <c r="E965" s="124"/>
      <c r="F965" s="124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  <c r="AA965" s="124"/>
      <c r="AB965" s="124"/>
      <c r="AC965" s="124"/>
      <c r="AD965" s="124"/>
      <c r="AE965" s="124"/>
      <c r="AF965" s="124"/>
      <c r="AG965" s="124"/>
      <c r="AH965" s="124"/>
      <c r="AI965" s="124"/>
      <c r="AJ965" s="124"/>
    </row>
    <row r="966" spans="1:36" x14ac:dyDescent="0.3">
      <c r="A966" s="124"/>
      <c r="B966" s="124"/>
      <c r="C966" s="124"/>
      <c r="D966" s="124"/>
      <c r="E966" s="124"/>
      <c r="F966" s="124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  <c r="AA966" s="124"/>
      <c r="AB966" s="124"/>
      <c r="AC966" s="124"/>
      <c r="AD966" s="124"/>
      <c r="AE966" s="124"/>
      <c r="AF966" s="124"/>
      <c r="AG966" s="124"/>
      <c r="AH966" s="124"/>
      <c r="AI966" s="124"/>
      <c r="AJ966" s="124"/>
    </row>
    <row r="967" spans="1:36" x14ac:dyDescent="0.3">
      <c r="A967" s="124"/>
      <c r="B967" s="124"/>
      <c r="C967" s="124"/>
      <c r="D967" s="124"/>
      <c r="E967" s="124"/>
      <c r="F967" s="124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24"/>
      <c r="AC967" s="124"/>
      <c r="AD967" s="124"/>
      <c r="AE967" s="124"/>
      <c r="AF967" s="124"/>
      <c r="AG967" s="124"/>
      <c r="AH967" s="124"/>
      <c r="AI967" s="124"/>
      <c r="AJ967" s="124"/>
    </row>
    <row r="968" spans="1:36" x14ac:dyDescent="0.3">
      <c r="A968" s="124"/>
      <c r="B968" s="124"/>
      <c r="C968" s="124"/>
      <c r="D968" s="124"/>
      <c r="E968" s="124"/>
      <c r="F968" s="124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  <c r="AA968" s="124"/>
      <c r="AB968" s="124"/>
      <c r="AC968" s="124"/>
      <c r="AD968" s="124"/>
      <c r="AE968" s="124"/>
      <c r="AF968" s="124"/>
      <c r="AG968" s="124"/>
      <c r="AH968" s="124"/>
      <c r="AI968" s="124"/>
      <c r="AJ968" s="124"/>
    </row>
    <row r="969" spans="1:36" x14ac:dyDescent="0.3">
      <c r="A969" s="124"/>
      <c r="B969" s="124"/>
      <c r="C969" s="124"/>
      <c r="D969" s="124"/>
      <c r="E969" s="124"/>
      <c r="F969" s="124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  <c r="AA969" s="124"/>
      <c r="AB969" s="124"/>
      <c r="AC969" s="124"/>
      <c r="AD969" s="124"/>
      <c r="AE969" s="124"/>
      <c r="AF969" s="124"/>
      <c r="AG969" s="124"/>
      <c r="AH969" s="124"/>
      <c r="AI969" s="124"/>
      <c r="AJ969" s="124"/>
    </row>
    <row r="970" spans="1:36" x14ac:dyDescent="0.3">
      <c r="A970" s="124"/>
      <c r="B970" s="124"/>
      <c r="C970" s="124"/>
      <c r="D970" s="124"/>
      <c r="E970" s="124"/>
      <c r="F970" s="124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  <c r="AA970" s="124"/>
      <c r="AB970" s="124"/>
      <c r="AC970" s="124"/>
      <c r="AD970" s="124"/>
      <c r="AE970" s="124"/>
      <c r="AF970" s="124"/>
      <c r="AG970" s="124"/>
      <c r="AH970" s="124"/>
      <c r="AI970" s="124"/>
      <c r="AJ970" s="124"/>
    </row>
    <row r="971" spans="1:36" x14ac:dyDescent="0.3">
      <c r="A971" s="124"/>
      <c r="B971" s="124"/>
      <c r="C971" s="124"/>
      <c r="D971" s="124"/>
      <c r="E971" s="124"/>
      <c r="F971" s="124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  <c r="AA971" s="124"/>
      <c r="AB971" s="124"/>
      <c r="AC971" s="124"/>
      <c r="AD971" s="124"/>
      <c r="AE971" s="124"/>
      <c r="AF971" s="124"/>
      <c r="AG971" s="124"/>
      <c r="AH971" s="124"/>
      <c r="AI971" s="124"/>
      <c r="AJ971" s="124"/>
    </row>
    <row r="972" spans="1:36" x14ac:dyDescent="0.3">
      <c r="A972" s="124"/>
      <c r="B972" s="124"/>
      <c r="C972" s="124"/>
      <c r="D972" s="124"/>
      <c r="E972" s="124"/>
      <c r="F972" s="124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  <c r="AA972" s="124"/>
      <c r="AB972" s="124"/>
      <c r="AC972" s="124"/>
      <c r="AD972" s="124"/>
      <c r="AE972" s="124"/>
      <c r="AF972" s="124"/>
      <c r="AG972" s="124"/>
      <c r="AH972" s="124"/>
      <c r="AI972" s="124"/>
      <c r="AJ972" s="124"/>
    </row>
    <row r="973" spans="1:36" x14ac:dyDescent="0.3">
      <c r="A973" s="124"/>
      <c r="B973" s="124"/>
      <c r="C973" s="124"/>
      <c r="D973" s="124"/>
      <c r="E973" s="124"/>
      <c r="F973" s="124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  <c r="AA973" s="124"/>
      <c r="AB973" s="124"/>
      <c r="AC973" s="124"/>
      <c r="AD973" s="124"/>
      <c r="AE973" s="124"/>
      <c r="AF973" s="124"/>
      <c r="AG973" s="124"/>
      <c r="AH973" s="124"/>
      <c r="AI973" s="124"/>
      <c r="AJ973" s="124"/>
    </row>
    <row r="974" spans="1:36" x14ac:dyDescent="0.3">
      <c r="A974" s="124"/>
      <c r="B974" s="124"/>
      <c r="C974" s="124"/>
      <c r="D974" s="124"/>
      <c r="E974" s="124"/>
      <c r="F974" s="124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  <c r="AA974" s="124"/>
      <c r="AB974" s="124"/>
      <c r="AC974" s="124"/>
      <c r="AD974" s="124"/>
      <c r="AE974" s="124"/>
      <c r="AF974" s="124"/>
      <c r="AG974" s="124"/>
      <c r="AH974" s="124"/>
      <c r="AI974" s="124"/>
      <c r="AJ974" s="124"/>
    </row>
    <row r="975" spans="1:36" x14ac:dyDescent="0.3">
      <c r="A975" s="124"/>
      <c r="B975" s="124"/>
      <c r="C975" s="124"/>
      <c r="D975" s="124"/>
      <c r="E975" s="124"/>
      <c r="F975" s="124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  <c r="AA975" s="124"/>
      <c r="AB975" s="124"/>
      <c r="AC975" s="124"/>
      <c r="AD975" s="124"/>
      <c r="AE975" s="124"/>
      <c r="AF975" s="124"/>
      <c r="AG975" s="124"/>
      <c r="AH975" s="124"/>
      <c r="AI975" s="124"/>
      <c r="AJ975" s="124"/>
    </row>
    <row r="976" spans="1:36" x14ac:dyDescent="0.3">
      <c r="A976" s="124"/>
      <c r="B976" s="124"/>
      <c r="C976" s="124"/>
      <c r="D976" s="124"/>
      <c r="E976" s="124"/>
      <c r="F976" s="124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  <c r="AA976" s="124"/>
      <c r="AB976" s="124"/>
      <c r="AC976" s="124"/>
      <c r="AD976" s="124"/>
      <c r="AE976" s="124"/>
      <c r="AF976" s="124"/>
      <c r="AG976" s="124"/>
      <c r="AH976" s="124"/>
      <c r="AI976" s="124"/>
      <c r="AJ976" s="124"/>
    </row>
    <row r="977" spans="1:36" x14ac:dyDescent="0.3">
      <c r="A977" s="124"/>
      <c r="B977" s="124"/>
      <c r="C977" s="124"/>
      <c r="D977" s="124"/>
      <c r="E977" s="124"/>
      <c r="F977" s="124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  <c r="AA977" s="124"/>
      <c r="AB977" s="124"/>
      <c r="AC977" s="124"/>
      <c r="AD977" s="124"/>
      <c r="AE977" s="124"/>
      <c r="AF977" s="124"/>
      <c r="AG977" s="124"/>
      <c r="AH977" s="124"/>
      <c r="AI977" s="124"/>
      <c r="AJ977" s="124"/>
    </row>
    <row r="978" spans="1:36" x14ac:dyDescent="0.3">
      <c r="A978" s="124"/>
      <c r="B978" s="124"/>
      <c r="C978" s="124"/>
      <c r="D978" s="124"/>
      <c r="E978" s="124"/>
      <c r="F978" s="124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  <c r="AA978" s="124"/>
      <c r="AB978" s="124"/>
      <c r="AC978" s="124"/>
      <c r="AD978" s="124"/>
      <c r="AE978" s="124"/>
      <c r="AF978" s="124"/>
      <c r="AG978" s="124"/>
      <c r="AH978" s="124"/>
      <c r="AI978" s="124"/>
      <c r="AJ978" s="124"/>
    </row>
    <row r="979" spans="1:36" x14ac:dyDescent="0.3">
      <c r="A979" s="124"/>
      <c r="B979" s="124"/>
      <c r="C979" s="124"/>
      <c r="D979" s="124"/>
      <c r="E979" s="124"/>
      <c r="F979" s="124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  <c r="AA979" s="124"/>
      <c r="AB979" s="124"/>
      <c r="AC979" s="124"/>
      <c r="AD979" s="124"/>
      <c r="AE979" s="124"/>
      <c r="AF979" s="124"/>
      <c r="AG979" s="124"/>
      <c r="AH979" s="124"/>
      <c r="AI979" s="124"/>
      <c r="AJ979" s="124"/>
    </row>
    <row r="980" spans="1:36" x14ac:dyDescent="0.3">
      <c r="A980" s="124"/>
      <c r="B980" s="124"/>
      <c r="C980" s="124"/>
      <c r="D980" s="124"/>
      <c r="E980" s="124"/>
      <c r="F980" s="124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  <c r="AA980" s="124"/>
      <c r="AB980" s="124"/>
      <c r="AC980" s="124"/>
      <c r="AD980" s="124"/>
      <c r="AE980" s="124"/>
      <c r="AF980" s="124"/>
      <c r="AG980" s="124"/>
      <c r="AH980" s="124"/>
      <c r="AI980" s="124"/>
      <c r="AJ980" s="124"/>
    </row>
    <row r="981" spans="1:36" x14ac:dyDescent="0.3">
      <c r="A981" s="124"/>
      <c r="B981" s="124"/>
      <c r="C981" s="124"/>
      <c r="D981" s="124"/>
      <c r="E981" s="124"/>
      <c r="F981" s="124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  <c r="AA981" s="124"/>
      <c r="AB981" s="124"/>
      <c r="AC981" s="124"/>
      <c r="AD981" s="124"/>
      <c r="AE981" s="124"/>
      <c r="AF981" s="124"/>
      <c r="AG981" s="124"/>
      <c r="AH981" s="124"/>
      <c r="AI981" s="124"/>
      <c r="AJ981" s="124"/>
    </row>
    <row r="982" spans="1:36" x14ac:dyDescent="0.3">
      <c r="A982" s="124"/>
      <c r="B982" s="124"/>
      <c r="C982" s="124"/>
      <c r="D982" s="124"/>
      <c r="E982" s="124"/>
      <c r="F982" s="124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  <c r="AA982" s="124"/>
      <c r="AB982" s="124"/>
      <c r="AC982" s="124"/>
      <c r="AD982" s="124"/>
      <c r="AE982" s="124"/>
      <c r="AF982" s="124"/>
      <c r="AG982" s="124"/>
      <c r="AH982" s="124"/>
      <c r="AI982" s="124"/>
      <c r="AJ982" s="124"/>
    </row>
    <row r="983" spans="1:36" x14ac:dyDescent="0.3">
      <c r="A983" s="124"/>
      <c r="B983" s="124"/>
      <c r="C983" s="124"/>
      <c r="D983" s="124"/>
      <c r="E983" s="124"/>
      <c r="F983" s="124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  <c r="AA983" s="124"/>
      <c r="AB983" s="124"/>
      <c r="AC983" s="124"/>
      <c r="AD983" s="124"/>
      <c r="AE983" s="124"/>
      <c r="AF983" s="124"/>
      <c r="AG983" s="124"/>
      <c r="AH983" s="124"/>
      <c r="AI983" s="124"/>
      <c r="AJ983" s="124"/>
    </row>
    <row r="984" spans="1:36" x14ac:dyDescent="0.3">
      <c r="A984" s="124"/>
      <c r="B984" s="124"/>
      <c r="C984" s="124"/>
      <c r="D984" s="124"/>
      <c r="E984" s="124"/>
      <c r="F984" s="124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  <c r="AA984" s="124"/>
      <c r="AB984" s="124"/>
      <c r="AC984" s="124"/>
      <c r="AD984" s="124"/>
      <c r="AE984" s="124"/>
      <c r="AF984" s="124"/>
      <c r="AG984" s="124"/>
      <c r="AH984" s="124"/>
      <c r="AI984" s="124"/>
      <c r="AJ984" s="124"/>
    </row>
    <row r="985" spans="1:36" x14ac:dyDescent="0.3">
      <c r="A985" s="124"/>
      <c r="B985" s="124"/>
      <c r="C985" s="124"/>
      <c r="D985" s="124"/>
      <c r="E985" s="124"/>
      <c r="F985" s="124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  <c r="AA985" s="124"/>
      <c r="AB985" s="124"/>
      <c r="AC985" s="124"/>
      <c r="AD985" s="124"/>
      <c r="AE985" s="124"/>
      <c r="AF985" s="124"/>
      <c r="AG985" s="124"/>
      <c r="AH985" s="124"/>
      <c r="AI985" s="124"/>
      <c r="AJ985" s="124"/>
    </row>
    <row r="986" spans="1:36" x14ac:dyDescent="0.3">
      <c r="A986" s="124"/>
      <c r="B986" s="124"/>
      <c r="C986" s="124"/>
      <c r="D986" s="124"/>
      <c r="E986" s="124"/>
      <c r="F986" s="124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  <c r="AA986" s="124"/>
      <c r="AB986" s="124"/>
      <c r="AC986" s="124"/>
      <c r="AD986" s="124"/>
      <c r="AE986" s="124"/>
      <c r="AF986" s="124"/>
      <c r="AG986" s="124"/>
      <c r="AH986" s="124"/>
      <c r="AI986" s="124"/>
      <c r="AJ986" s="124"/>
    </row>
    <row r="987" spans="1:36" x14ac:dyDescent="0.3">
      <c r="A987" s="124"/>
      <c r="B987" s="124"/>
      <c r="C987" s="124"/>
      <c r="D987" s="124"/>
      <c r="E987" s="124"/>
      <c r="F987" s="124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  <c r="AA987" s="124"/>
      <c r="AB987" s="124"/>
      <c r="AC987" s="124"/>
      <c r="AD987" s="124"/>
      <c r="AE987" s="124"/>
      <c r="AF987" s="124"/>
      <c r="AG987" s="124"/>
      <c r="AH987" s="124"/>
      <c r="AI987" s="124"/>
      <c r="AJ987" s="124"/>
    </row>
    <row r="988" spans="1:36" x14ac:dyDescent="0.3">
      <c r="A988" s="124"/>
      <c r="B988" s="124"/>
      <c r="C988" s="124"/>
      <c r="D988" s="124"/>
      <c r="E988" s="124"/>
      <c r="F988" s="124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  <c r="AA988" s="124"/>
      <c r="AB988" s="124"/>
      <c r="AC988" s="124"/>
      <c r="AD988" s="124"/>
      <c r="AE988" s="124"/>
      <c r="AF988" s="124"/>
      <c r="AG988" s="124"/>
      <c r="AH988" s="124"/>
      <c r="AI988" s="124"/>
      <c r="AJ988" s="124"/>
    </row>
    <row r="989" spans="1:36" x14ac:dyDescent="0.3">
      <c r="A989" s="124"/>
      <c r="B989" s="124"/>
      <c r="C989" s="124"/>
      <c r="D989" s="124"/>
      <c r="E989" s="124"/>
      <c r="F989" s="124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  <c r="AA989" s="124"/>
      <c r="AB989" s="124"/>
      <c r="AC989" s="124"/>
      <c r="AD989" s="124"/>
      <c r="AE989" s="124"/>
      <c r="AF989" s="124"/>
      <c r="AG989" s="124"/>
      <c r="AH989" s="124"/>
      <c r="AI989" s="124"/>
      <c r="AJ989" s="124"/>
    </row>
    <row r="990" spans="1:36" x14ac:dyDescent="0.3">
      <c r="A990" s="124"/>
      <c r="B990" s="124"/>
      <c r="C990" s="124"/>
      <c r="D990" s="124"/>
      <c r="E990" s="124"/>
      <c r="F990" s="124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  <c r="AA990" s="124"/>
      <c r="AB990" s="124"/>
      <c r="AC990" s="124"/>
      <c r="AD990" s="124"/>
      <c r="AE990" s="124"/>
      <c r="AF990" s="124"/>
      <c r="AG990" s="124"/>
      <c r="AH990" s="124"/>
      <c r="AI990" s="124"/>
      <c r="AJ990" s="124"/>
    </row>
    <row r="991" spans="1:36" x14ac:dyDescent="0.3">
      <c r="A991" s="124"/>
      <c r="B991" s="124"/>
      <c r="C991" s="124"/>
      <c r="D991" s="124"/>
      <c r="E991" s="124"/>
      <c r="F991" s="124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  <c r="AA991" s="124"/>
      <c r="AB991" s="124"/>
      <c r="AC991" s="124"/>
      <c r="AD991" s="124"/>
      <c r="AE991" s="124"/>
      <c r="AF991" s="124"/>
      <c r="AG991" s="124"/>
      <c r="AH991" s="124"/>
      <c r="AI991" s="124"/>
      <c r="AJ991" s="124"/>
    </row>
    <row r="992" spans="1:36" x14ac:dyDescent="0.3">
      <c r="A992" s="124"/>
      <c r="B992" s="124"/>
      <c r="C992" s="124"/>
      <c r="D992" s="124"/>
      <c r="E992" s="124"/>
      <c r="F992" s="124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  <c r="AA992" s="124"/>
      <c r="AB992" s="124"/>
      <c r="AC992" s="124"/>
      <c r="AD992" s="124"/>
      <c r="AE992" s="124"/>
      <c r="AF992" s="124"/>
      <c r="AG992" s="124"/>
      <c r="AH992" s="124"/>
      <c r="AI992" s="124"/>
      <c r="AJ992" s="124"/>
    </row>
    <row r="993" spans="1:36" x14ac:dyDescent="0.3">
      <c r="A993" s="124"/>
      <c r="B993" s="124"/>
      <c r="C993" s="124"/>
      <c r="D993" s="124"/>
      <c r="E993" s="124"/>
      <c r="F993" s="124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  <c r="AA993" s="124"/>
      <c r="AB993" s="124"/>
      <c r="AC993" s="124"/>
      <c r="AD993" s="124"/>
      <c r="AE993" s="124"/>
      <c r="AF993" s="124"/>
      <c r="AG993" s="124"/>
      <c r="AH993" s="124"/>
      <c r="AI993" s="124"/>
      <c r="AJ993" s="124"/>
    </row>
    <row r="994" spans="1:36" x14ac:dyDescent="0.3">
      <c r="A994" s="124"/>
      <c r="B994" s="124"/>
      <c r="C994" s="124"/>
      <c r="D994" s="124"/>
      <c r="E994" s="124"/>
      <c r="F994" s="124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  <c r="AA994" s="124"/>
      <c r="AB994" s="124"/>
      <c r="AC994" s="124"/>
      <c r="AD994" s="124"/>
      <c r="AE994" s="124"/>
      <c r="AF994" s="124"/>
      <c r="AG994" s="124"/>
      <c r="AH994" s="124"/>
      <c r="AI994" s="124"/>
      <c r="AJ994" s="124"/>
    </row>
    <row r="995" spans="1:36" x14ac:dyDescent="0.3">
      <c r="A995" s="124"/>
      <c r="B995" s="124"/>
      <c r="C995" s="124"/>
      <c r="D995" s="124"/>
      <c r="E995" s="124"/>
      <c r="F995" s="124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  <c r="AA995" s="124"/>
      <c r="AB995" s="124"/>
      <c r="AC995" s="124"/>
      <c r="AD995" s="124"/>
      <c r="AE995" s="124"/>
      <c r="AF995" s="124"/>
      <c r="AG995" s="124"/>
      <c r="AH995" s="124"/>
      <c r="AI995" s="124"/>
      <c r="AJ995" s="124"/>
    </row>
    <row r="996" spans="1:36" x14ac:dyDescent="0.3">
      <c r="A996" s="124"/>
      <c r="B996" s="124"/>
      <c r="C996" s="124"/>
      <c r="D996" s="124"/>
      <c r="E996" s="124"/>
      <c r="F996" s="124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  <c r="AA996" s="124"/>
      <c r="AB996" s="124"/>
      <c r="AC996" s="124"/>
      <c r="AD996" s="124"/>
      <c r="AE996" s="124"/>
      <c r="AF996" s="124"/>
      <c r="AG996" s="124"/>
      <c r="AH996" s="124"/>
      <c r="AI996" s="124"/>
      <c r="AJ996" s="124"/>
    </row>
    <row r="997" spans="1:36" x14ac:dyDescent="0.3">
      <c r="A997" s="124"/>
      <c r="B997" s="124"/>
      <c r="C997" s="124"/>
      <c r="D997" s="124"/>
      <c r="E997" s="124"/>
      <c r="F997" s="124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  <c r="AA997" s="124"/>
      <c r="AB997" s="124"/>
      <c r="AC997" s="124"/>
      <c r="AD997" s="124"/>
      <c r="AE997" s="124"/>
      <c r="AF997" s="124"/>
      <c r="AG997" s="124"/>
      <c r="AH997" s="124"/>
      <c r="AI997" s="124"/>
      <c r="AJ997" s="124"/>
    </row>
    <row r="998" spans="1:36" x14ac:dyDescent="0.3">
      <c r="A998" s="124"/>
      <c r="B998" s="124"/>
      <c r="C998" s="124"/>
      <c r="D998" s="124"/>
      <c r="E998" s="124"/>
      <c r="F998" s="124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4"/>
      <c r="V998" s="124"/>
      <c r="W998" s="124"/>
      <c r="X998" s="124"/>
      <c r="Y998" s="124"/>
      <c r="Z998" s="124"/>
      <c r="AA998" s="124"/>
      <c r="AB998" s="124"/>
      <c r="AC998" s="124"/>
      <c r="AD998" s="124"/>
      <c r="AE998" s="124"/>
      <c r="AF998" s="124"/>
      <c r="AG998" s="124"/>
      <c r="AH998" s="124"/>
      <c r="AI998" s="124"/>
      <c r="AJ998" s="124"/>
    </row>
    <row r="999" spans="1:36" x14ac:dyDescent="0.3">
      <c r="A999" s="124"/>
      <c r="B999" s="124"/>
      <c r="C999" s="124"/>
      <c r="D999" s="124"/>
      <c r="E999" s="124"/>
      <c r="F999" s="124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4"/>
      <c r="V999" s="124"/>
      <c r="W999" s="124"/>
      <c r="X999" s="124"/>
      <c r="Y999" s="124"/>
      <c r="Z999" s="124"/>
      <c r="AA999" s="124"/>
      <c r="AB999" s="124"/>
      <c r="AC999" s="124"/>
      <c r="AD999" s="124"/>
      <c r="AE999" s="124"/>
      <c r="AF999" s="124"/>
      <c r="AG999" s="124"/>
      <c r="AH999" s="124"/>
      <c r="AI999" s="124"/>
      <c r="AJ999" s="124"/>
    </row>
    <row r="1000" spans="1:36" x14ac:dyDescent="0.3">
      <c r="A1000" s="124"/>
      <c r="B1000" s="124"/>
      <c r="C1000" s="124"/>
      <c r="D1000" s="124"/>
      <c r="E1000" s="124"/>
      <c r="F1000" s="124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4"/>
      <c r="V1000" s="124"/>
      <c r="W1000" s="124"/>
      <c r="X1000" s="124"/>
      <c r="Y1000" s="124"/>
      <c r="Z1000" s="124"/>
      <c r="AA1000" s="124"/>
      <c r="AB1000" s="124"/>
      <c r="AC1000" s="124"/>
      <c r="AD1000" s="124"/>
      <c r="AE1000" s="124"/>
      <c r="AF1000" s="124"/>
      <c r="AG1000" s="124"/>
      <c r="AH1000" s="124"/>
      <c r="AI1000" s="124"/>
      <c r="AJ1000" s="124"/>
    </row>
    <row r="1001" spans="1:36" x14ac:dyDescent="0.3">
      <c r="A1001" s="124"/>
      <c r="B1001" s="124"/>
      <c r="C1001" s="124"/>
      <c r="D1001" s="124"/>
      <c r="E1001" s="124"/>
      <c r="F1001" s="124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4"/>
      <c r="V1001" s="124"/>
      <c r="W1001" s="124"/>
      <c r="X1001" s="124"/>
      <c r="Y1001" s="124"/>
      <c r="Z1001" s="124"/>
      <c r="AA1001" s="124"/>
      <c r="AB1001" s="124"/>
      <c r="AC1001" s="124"/>
      <c r="AD1001" s="124"/>
      <c r="AE1001" s="124"/>
      <c r="AF1001" s="124"/>
      <c r="AG1001" s="124"/>
      <c r="AH1001" s="124"/>
      <c r="AI1001" s="124"/>
      <c r="AJ1001" s="124"/>
    </row>
    <row r="1002" spans="1:36" x14ac:dyDescent="0.3">
      <c r="A1002" s="124"/>
      <c r="B1002" s="124"/>
      <c r="C1002" s="124"/>
      <c r="D1002" s="124"/>
      <c r="E1002" s="124"/>
      <c r="F1002" s="124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4"/>
      <c r="V1002" s="124"/>
      <c r="W1002" s="124"/>
      <c r="X1002" s="124"/>
      <c r="Y1002" s="124"/>
      <c r="Z1002" s="124"/>
      <c r="AA1002" s="124"/>
      <c r="AB1002" s="124"/>
      <c r="AC1002" s="124"/>
      <c r="AD1002" s="124"/>
      <c r="AE1002" s="124"/>
      <c r="AF1002" s="124"/>
      <c r="AG1002" s="124"/>
      <c r="AH1002" s="124"/>
      <c r="AI1002" s="124"/>
      <c r="AJ1002" s="124"/>
    </row>
    <row r="1003" spans="1:36" x14ac:dyDescent="0.3">
      <c r="A1003" s="124"/>
      <c r="B1003" s="124"/>
      <c r="C1003" s="124"/>
      <c r="D1003" s="124"/>
      <c r="E1003" s="124"/>
      <c r="F1003" s="124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4"/>
      <c r="V1003" s="124"/>
      <c r="W1003" s="124"/>
      <c r="X1003" s="124"/>
      <c r="Y1003" s="124"/>
      <c r="Z1003" s="124"/>
      <c r="AA1003" s="124"/>
      <c r="AB1003" s="124"/>
      <c r="AC1003" s="124"/>
      <c r="AD1003" s="124"/>
      <c r="AE1003" s="124"/>
      <c r="AF1003" s="124"/>
      <c r="AG1003" s="124"/>
      <c r="AH1003" s="124"/>
      <c r="AI1003" s="124"/>
      <c r="AJ1003" s="124"/>
    </row>
    <row r="1004" spans="1:36" x14ac:dyDescent="0.3">
      <c r="A1004" s="124"/>
      <c r="B1004" s="124"/>
      <c r="C1004" s="124"/>
      <c r="D1004" s="124"/>
      <c r="E1004" s="124"/>
      <c r="F1004" s="124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4"/>
      <c r="V1004" s="124"/>
      <c r="W1004" s="124"/>
      <c r="X1004" s="124"/>
      <c r="Y1004" s="124"/>
      <c r="Z1004" s="124"/>
      <c r="AA1004" s="124"/>
      <c r="AB1004" s="124"/>
      <c r="AC1004" s="124"/>
      <c r="AD1004" s="124"/>
      <c r="AE1004" s="124"/>
      <c r="AF1004" s="124"/>
      <c r="AG1004" s="124"/>
      <c r="AH1004" s="124"/>
      <c r="AI1004" s="124"/>
      <c r="AJ1004" s="124"/>
    </row>
    <row r="1005" spans="1:36" x14ac:dyDescent="0.3">
      <c r="A1005" s="124"/>
      <c r="B1005" s="124"/>
      <c r="C1005" s="124"/>
      <c r="D1005" s="124"/>
      <c r="E1005" s="124"/>
      <c r="F1005" s="124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4"/>
      <c r="V1005" s="124"/>
      <c r="W1005" s="124"/>
      <c r="X1005" s="124"/>
      <c r="Y1005" s="124"/>
      <c r="Z1005" s="124"/>
      <c r="AA1005" s="124"/>
      <c r="AB1005" s="124"/>
      <c r="AC1005" s="124"/>
      <c r="AD1005" s="124"/>
      <c r="AE1005" s="124"/>
      <c r="AF1005" s="124"/>
      <c r="AG1005" s="124"/>
      <c r="AH1005" s="124"/>
      <c r="AI1005" s="124"/>
      <c r="AJ1005" s="124"/>
    </row>
    <row r="1006" spans="1:36" x14ac:dyDescent="0.3">
      <c r="A1006" s="124"/>
      <c r="B1006" s="124"/>
      <c r="C1006" s="124"/>
      <c r="D1006" s="124"/>
      <c r="E1006" s="124"/>
      <c r="F1006" s="124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4"/>
      <c r="V1006" s="124"/>
      <c r="W1006" s="124"/>
      <c r="X1006" s="124"/>
      <c r="Y1006" s="124"/>
      <c r="Z1006" s="124"/>
      <c r="AA1006" s="124"/>
      <c r="AB1006" s="124"/>
      <c r="AC1006" s="124"/>
      <c r="AD1006" s="124"/>
      <c r="AE1006" s="124"/>
      <c r="AF1006" s="124"/>
      <c r="AG1006" s="124"/>
      <c r="AH1006" s="124"/>
      <c r="AI1006" s="124"/>
      <c r="AJ1006" s="124"/>
    </row>
    <row r="1007" spans="1:36" x14ac:dyDescent="0.3">
      <c r="A1007" s="124"/>
      <c r="B1007" s="124"/>
      <c r="C1007" s="124"/>
      <c r="D1007" s="124"/>
      <c r="E1007" s="124"/>
      <c r="F1007" s="124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4"/>
      <c r="V1007" s="124"/>
      <c r="W1007" s="124"/>
      <c r="X1007" s="124"/>
      <c r="Y1007" s="124"/>
      <c r="Z1007" s="124"/>
      <c r="AA1007" s="124"/>
      <c r="AB1007" s="124"/>
      <c r="AC1007" s="124"/>
      <c r="AD1007" s="124"/>
      <c r="AE1007" s="124"/>
      <c r="AF1007" s="124"/>
      <c r="AG1007" s="124"/>
      <c r="AH1007" s="124"/>
      <c r="AI1007" s="124"/>
      <c r="AJ1007" s="124"/>
    </row>
    <row r="1008" spans="1:36" x14ac:dyDescent="0.3">
      <c r="A1008" s="124"/>
      <c r="B1008" s="124"/>
      <c r="C1008" s="124"/>
      <c r="D1008" s="124"/>
      <c r="E1008" s="124"/>
      <c r="F1008" s="124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4"/>
      <c r="V1008" s="124"/>
      <c r="W1008" s="124"/>
      <c r="X1008" s="124"/>
      <c r="Y1008" s="124"/>
      <c r="Z1008" s="124"/>
      <c r="AA1008" s="124"/>
      <c r="AB1008" s="124"/>
      <c r="AC1008" s="124"/>
      <c r="AD1008" s="124"/>
      <c r="AE1008" s="124"/>
      <c r="AF1008" s="124"/>
      <c r="AG1008" s="124"/>
      <c r="AH1008" s="124"/>
      <c r="AI1008" s="124"/>
      <c r="AJ1008" s="124"/>
    </row>
    <row r="1009" spans="1:36" x14ac:dyDescent="0.3">
      <c r="A1009" s="124"/>
      <c r="B1009" s="124"/>
      <c r="C1009" s="124"/>
      <c r="D1009" s="124"/>
      <c r="E1009" s="124"/>
      <c r="F1009" s="124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4"/>
      <c r="V1009" s="124"/>
      <c r="W1009" s="124"/>
      <c r="X1009" s="124"/>
      <c r="Y1009" s="124"/>
      <c r="Z1009" s="124"/>
      <c r="AA1009" s="124"/>
      <c r="AB1009" s="124"/>
      <c r="AC1009" s="124"/>
      <c r="AD1009" s="124"/>
      <c r="AE1009" s="124"/>
      <c r="AF1009" s="124"/>
      <c r="AG1009" s="124"/>
      <c r="AH1009" s="124"/>
      <c r="AI1009" s="124"/>
      <c r="AJ1009" s="124"/>
    </row>
    <row r="1010" spans="1:36" x14ac:dyDescent="0.3">
      <c r="A1010" s="124"/>
      <c r="B1010" s="124"/>
      <c r="C1010" s="124"/>
      <c r="D1010" s="124"/>
      <c r="E1010" s="124"/>
      <c r="F1010" s="124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4"/>
      <c r="V1010" s="124"/>
      <c r="W1010" s="124"/>
      <c r="X1010" s="124"/>
      <c r="Y1010" s="124"/>
      <c r="Z1010" s="124"/>
      <c r="AA1010" s="124"/>
      <c r="AB1010" s="124"/>
      <c r="AC1010" s="124"/>
      <c r="AD1010" s="124"/>
      <c r="AE1010" s="124"/>
      <c r="AF1010" s="124"/>
      <c r="AG1010" s="124"/>
      <c r="AH1010" s="124"/>
      <c r="AI1010" s="124"/>
      <c r="AJ1010" s="124"/>
    </row>
    <row r="1011" spans="1:36" x14ac:dyDescent="0.3">
      <c r="A1011" s="124"/>
      <c r="B1011" s="124"/>
      <c r="C1011" s="124"/>
      <c r="D1011" s="124"/>
      <c r="E1011" s="124"/>
      <c r="F1011" s="124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4"/>
      <c r="V1011" s="124"/>
      <c r="W1011" s="124"/>
      <c r="X1011" s="124"/>
      <c r="Y1011" s="124"/>
      <c r="Z1011" s="124"/>
      <c r="AA1011" s="124"/>
      <c r="AB1011" s="124"/>
      <c r="AC1011" s="124"/>
      <c r="AD1011" s="124"/>
      <c r="AE1011" s="124"/>
      <c r="AF1011" s="124"/>
      <c r="AG1011" s="124"/>
      <c r="AH1011" s="124"/>
      <c r="AI1011" s="124"/>
      <c r="AJ1011" s="124"/>
    </row>
    <row r="1012" spans="1:36" x14ac:dyDescent="0.3">
      <c r="A1012" s="124"/>
      <c r="B1012" s="124"/>
      <c r="C1012" s="124"/>
      <c r="D1012" s="124"/>
      <c r="E1012" s="124"/>
      <c r="F1012" s="124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4"/>
      <c r="V1012" s="124"/>
      <c r="W1012" s="124"/>
      <c r="X1012" s="124"/>
      <c r="Y1012" s="124"/>
      <c r="Z1012" s="124"/>
      <c r="AA1012" s="124"/>
      <c r="AB1012" s="124"/>
      <c r="AC1012" s="124"/>
      <c r="AD1012" s="124"/>
      <c r="AE1012" s="124"/>
      <c r="AF1012" s="124"/>
      <c r="AG1012" s="124"/>
      <c r="AH1012" s="124"/>
      <c r="AI1012" s="124"/>
      <c r="AJ1012" s="124"/>
    </row>
    <row r="1013" spans="1:36" x14ac:dyDescent="0.3">
      <c r="A1013" s="124"/>
      <c r="B1013" s="124"/>
      <c r="C1013" s="124"/>
      <c r="D1013" s="124"/>
      <c r="E1013" s="124"/>
      <c r="F1013" s="124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4"/>
      <c r="V1013" s="124"/>
      <c r="W1013" s="124"/>
      <c r="X1013" s="124"/>
      <c r="Y1013" s="124"/>
      <c r="Z1013" s="124"/>
      <c r="AA1013" s="124"/>
      <c r="AB1013" s="124"/>
      <c r="AC1013" s="124"/>
      <c r="AD1013" s="124"/>
      <c r="AE1013" s="124"/>
      <c r="AF1013" s="124"/>
      <c r="AG1013" s="124"/>
      <c r="AH1013" s="124"/>
      <c r="AI1013" s="124"/>
      <c r="AJ1013" s="124"/>
    </row>
    <row r="1014" spans="1:36" x14ac:dyDescent="0.3">
      <c r="A1014" s="124"/>
      <c r="B1014" s="124"/>
      <c r="C1014" s="124"/>
      <c r="D1014" s="124"/>
      <c r="E1014" s="124"/>
      <c r="F1014" s="124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4"/>
      <c r="V1014" s="124"/>
      <c r="W1014" s="124"/>
      <c r="X1014" s="124"/>
      <c r="Y1014" s="124"/>
      <c r="Z1014" s="124"/>
      <c r="AA1014" s="124"/>
      <c r="AB1014" s="124"/>
      <c r="AC1014" s="124"/>
      <c r="AD1014" s="124"/>
      <c r="AE1014" s="124"/>
      <c r="AF1014" s="124"/>
      <c r="AG1014" s="124"/>
      <c r="AH1014" s="124"/>
      <c r="AI1014" s="124"/>
      <c r="AJ1014" s="124"/>
    </row>
    <row r="1015" spans="1:36" x14ac:dyDescent="0.3">
      <c r="A1015" s="124"/>
      <c r="B1015" s="124"/>
      <c r="C1015" s="124"/>
      <c r="D1015" s="124"/>
      <c r="E1015" s="124"/>
      <c r="F1015" s="124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4"/>
      <c r="V1015" s="124"/>
      <c r="W1015" s="124"/>
      <c r="X1015" s="124"/>
      <c r="Y1015" s="124"/>
      <c r="Z1015" s="124"/>
      <c r="AA1015" s="124"/>
      <c r="AB1015" s="124"/>
      <c r="AC1015" s="124"/>
      <c r="AD1015" s="124"/>
      <c r="AE1015" s="124"/>
      <c r="AF1015" s="124"/>
      <c r="AG1015" s="124"/>
      <c r="AH1015" s="124"/>
      <c r="AI1015" s="124"/>
      <c r="AJ1015" s="124"/>
    </row>
    <row r="1016" spans="1:36" x14ac:dyDescent="0.3">
      <c r="A1016" s="124"/>
      <c r="B1016" s="124"/>
      <c r="C1016" s="124"/>
      <c r="D1016" s="124"/>
      <c r="E1016" s="124"/>
      <c r="F1016" s="124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4"/>
      <c r="V1016" s="124"/>
      <c r="W1016" s="124"/>
      <c r="X1016" s="124"/>
      <c r="Y1016" s="124"/>
      <c r="Z1016" s="124"/>
      <c r="AA1016" s="124"/>
      <c r="AB1016" s="124"/>
      <c r="AC1016" s="124"/>
      <c r="AD1016" s="124"/>
      <c r="AE1016" s="124"/>
      <c r="AF1016" s="124"/>
      <c r="AG1016" s="124"/>
      <c r="AH1016" s="124"/>
      <c r="AI1016" s="124"/>
      <c r="AJ1016" s="124"/>
    </row>
    <row r="1017" spans="1:36" x14ac:dyDescent="0.3">
      <c r="A1017" s="124"/>
      <c r="B1017" s="124"/>
      <c r="C1017" s="124"/>
      <c r="D1017" s="124"/>
      <c r="E1017" s="124"/>
      <c r="F1017" s="124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4"/>
      <c r="V1017" s="124"/>
      <c r="W1017" s="124"/>
      <c r="X1017" s="124"/>
      <c r="Y1017" s="124"/>
      <c r="Z1017" s="124"/>
      <c r="AA1017" s="124"/>
      <c r="AB1017" s="124"/>
      <c r="AC1017" s="124"/>
      <c r="AD1017" s="124"/>
      <c r="AE1017" s="124"/>
      <c r="AF1017" s="124"/>
      <c r="AG1017" s="124"/>
      <c r="AH1017" s="124"/>
      <c r="AI1017" s="124"/>
      <c r="AJ1017" s="124"/>
    </row>
    <row r="1018" spans="1:36" x14ac:dyDescent="0.3">
      <c r="A1018" s="124"/>
      <c r="B1018" s="124"/>
      <c r="C1018" s="124"/>
      <c r="D1018" s="124"/>
      <c r="E1018" s="124"/>
      <c r="F1018" s="124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4"/>
      <c r="V1018" s="124"/>
      <c r="W1018" s="124"/>
      <c r="X1018" s="124"/>
      <c r="Y1018" s="124"/>
      <c r="Z1018" s="124"/>
      <c r="AA1018" s="124"/>
      <c r="AB1018" s="124"/>
      <c r="AC1018" s="124"/>
      <c r="AD1018" s="124"/>
      <c r="AE1018" s="124"/>
      <c r="AF1018" s="124"/>
      <c r="AG1018" s="124"/>
      <c r="AH1018" s="124"/>
      <c r="AI1018" s="124"/>
      <c r="AJ1018" s="124"/>
    </row>
    <row r="1019" spans="1:36" x14ac:dyDescent="0.3">
      <c r="A1019" s="124"/>
      <c r="B1019" s="124"/>
      <c r="C1019" s="124"/>
      <c r="D1019" s="124"/>
      <c r="E1019" s="124"/>
      <c r="F1019" s="124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4"/>
      <c r="V1019" s="124"/>
      <c r="W1019" s="124"/>
      <c r="X1019" s="124"/>
      <c r="Y1019" s="124"/>
      <c r="Z1019" s="124"/>
      <c r="AA1019" s="124"/>
      <c r="AB1019" s="124"/>
      <c r="AC1019" s="124"/>
      <c r="AD1019" s="124"/>
      <c r="AE1019" s="124"/>
      <c r="AF1019" s="124"/>
      <c r="AG1019" s="124"/>
      <c r="AH1019" s="124"/>
      <c r="AI1019" s="124"/>
      <c r="AJ1019" s="124"/>
    </row>
    <row r="1020" spans="1:36" x14ac:dyDescent="0.3">
      <c r="A1020" s="124"/>
      <c r="B1020" s="124"/>
      <c r="C1020" s="124"/>
      <c r="D1020" s="124"/>
      <c r="E1020" s="124"/>
      <c r="F1020" s="124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4"/>
      <c r="V1020" s="124"/>
      <c r="W1020" s="124"/>
      <c r="X1020" s="124"/>
      <c r="Y1020" s="124"/>
      <c r="Z1020" s="124"/>
      <c r="AA1020" s="124"/>
      <c r="AB1020" s="124"/>
      <c r="AC1020" s="124"/>
      <c r="AD1020" s="124"/>
      <c r="AE1020" s="124"/>
      <c r="AF1020" s="124"/>
      <c r="AG1020" s="124"/>
      <c r="AH1020" s="124"/>
      <c r="AI1020" s="124"/>
      <c r="AJ1020" s="124"/>
    </row>
    <row r="1021" spans="1:36" x14ac:dyDescent="0.3">
      <c r="A1021" s="124"/>
      <c r="B1021" s="124"/>
      <c r="C1021" s="124"/>
      <c r="D1021" s="124"/>
      <c r="E1021" s="124"/>
      <c r="F1021" s="124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4"/>
      <c r="V1021" s="124"/>
      <c r="W1021" s="124"/>
      <c r="X1021" s="124"/>
      <c r="Y1021" s="124"/>
      <c r="Z1021" s="124"/>
      <c r="AA1021" s="124"/>
      <c r="AB1021" s="124"/>
      <c r="AC1021" s="124"/>
      <c r="AD1021" s="124"/>
      <c r="AE1021" s="124"/>
      <c r="AF1021" s="124"/>
      <c r="AG1021" s="124"/>
      <c r="AH1021" s="124"/>
      <c r="AI1021" s="124"/>
      <c r="AJ1021" s="124"/>
    </row>
    <row r="1022" spans="1:36" x14ac:dyDescent="0.3">
      <c r="A1022" s="124"/>
      <c r="B1022" s="124"/>
      <c r="C1022" s="124"/>
      <c r="D1022" s="124"/>
      <c r="E1022" s="124"/>
      <c r="F1022" s="124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4"/>
      <c r="V1022" s="124"/>
      <c r="W1022" s="124"/>
      <c r="X1022" s="124"/>
      <c r="Y1022" s="124"/>
      <c r="Z1022" s="124"/>
      <c r="AA1022" s="124"/>
      <c r="AB1022" s="124"/>
      <c r="AC1022" s="124"/>
      <c r="AD1022" s="124"/>
      <c r="AE1022" s="124"/>
      <c r="AF1022" s="124"/>
      <c r="AG1022" s="124"/>
      <c r="AH1022" s="124"/>
      <c r="AI1022" s="124"/>
      <c r="AJ1022" s="124"/>
    </row>
    <row r="1023" spans="1:36" x14ac:dyDescent="0.3">
      <c r="A1023" s="124"/>
      <c r="B1023" s="124"/>
      <c r="C1023" s="124"/>
      <c r="D1023" s="124"/>
      <c r="E1023" s="124"/>
      <c r="F1023" s="124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4"/>
      <c r="V1023" s="124"/>
      <c r="W1023" s="124"/>
      <c r="X1023" s="124"/>
      <c r="Y1023" s="124"/>
      <c r="Z1023" s="124"/>
      <c r="AA1023" s="124"/>
      <c r="AB1023" s="124"/>
      <c r="AC1023" s="124"/>
      <c r="AD1023" s="124"/>
      <c r="AE1023" s="124"/>
      <c r="AF1023" s="124"/>
      <c r="AG1023" s="124"/>
      <c r="AH1023" s="124"/>
      <c r="AI1023" s="124"/>
      <c r="AJ1023" s="124"/>
    </row>
    <row r="1024" spans="1:36" x14ac:dyDescent="0.3">
      <c r="A1024" s="124"/>
      <c r="B1024" s="124"/>
      <c r="C1024" s="124"/>
      <c r="D1024" s="124"/>
      <c r="E1024" s="124"/>
      <c r="F1024" s="124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4"/>
      <c r="V1024" s="124"/>
      <c r="W1024" s="124"/>
      <c r="X1024" s="124"/>
      <c r="Y1024" s="124"/>
      <c r="Z1024" s="124"/>
      <c r="AA1024" s="124"/>
      <c r="AB1024" s="124"/>
      <c r="AC1024" s="124"/>
      <c r="AD1024" s="124"/>
      <c r="AE1024" s="124"/>
      <c r="AF1024" s="124"/>
      <c r="AG1024" s="124"/>
      <c r="AH1024" s="124"/>
      <c r="AI1024" s="124"/>
      <c r="AJ1024" s="124"/>
    </row>
    <row r="1025" spans="1:36" x14ac:dyDescent="0.3">
      <c r="A1025" s="124"/>
      <c r="B1025" s="124"/>
      <c r="C1025" s="124"/>
      <c r="D1025" s="124"/>
      <c r="E1025" s="124"/>
      <c r="F1025" s="124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4"/>
      <c r="V1025" s="124"/>
      <c r="W1025" s="124"/>
      <c r="X1025" s="124"/>
      <c r="Y1025" s="124"/>
      <c r="Z1025" s="124"/>
      <c r="AA1025" s="124"/>
      <c r="AB1025" s="124"/>
      <c r="AC1025" s="124"/>
      <c r="AD1025" s="124"/>
      <c r="AE1025" s="124"/>
      <c r="AF1025" s="124"/>
      <c r="AG1025" s="124"/>
      <c r="AH1025" s="124"/>
      <c r="AI1025" s="124"/>
      <c r="AJ1025" s="124"/>
    </row>
    <row r="1026" spans="1:36" x14ac:dyDescent="0.3">
      <c r="A1026" s="124"/>
      <c r="B1026" s="124"/>
      <c r="C1026" s="124"/>
      <c r="D1026" s="124"/>
      <c r="E1026" s="124"/>
      <c r="F1026" s="124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4"/>
      <c r="V1026" s="124"/>
      <c r="W1026" s="124"/>
      <c r="X1026" s="124"/>
      <c r="Y1026" s="124"/>
      <c r="Z1026" s="124"/>
      <c r="AA1026" s="124"/>
      <c r="AB1026" s="124"/>
      <c r="AC1026" s="124"/>
      <c r="AD1026" s="124"/>
      <c r="AE1026" s="124"/>
      <c r="AF1026" s="124"/>
      <c r="AG1026" s="124"/>
      <c r="AH1026" s="124"/>
      <c r="AI1026" s="124"/>
      <c r="AJ1026" s="124"/>
    </row>
    <row r="1027" spans="1:36" x14ac:dyDescent="0.3">
      <c r="A1027" s="124"/>
      <c r="B1027" s="124"/>
      <c r="C1027" s="124"/>
      <c r="D1027" s="124"/>
      <c r="E1027" s="124"/>
      <c r="F1027" s="124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4"/>
      <c r="V1027" s="124"/>
      <c r="W1027" s="124"/>
      <c r="X1027" s="124"/>
      <c r="Y1027" s="124"/>
      <c r="Z1027" s="124"/>
      <c r="AA1027" s="124"/>
      <c r="AB1027" s="124"/>
      <c r="AC1027" s="124"/>
      <c r="AD1027" s="124"/>
      <c r="AE1027" s="124"/>
      <c r="AF1027" s="124"/>
      <c r="AG1027" s="124"/>
      <c r="AH1027" s="124"/>
      <c r="AI1027" s="124"/>
      <c r="AJ1027" s="124"/>
    </row>
    <row r="1028" spans="1:36" x14ac:dyDescent="0.3">
      <c r="A1028" s="124"/>
      <c r="B1028" s="124"/>
      <c r="C1028" s="124"/>
      <c r="D1028" s="124"/>
      <c r="E1028" s="124"/>
      <c r="F1028" s="124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4"/>
      <c r="V1028" s="124"/>
      <c r="W1028" s="124"/>
      <c r="X1028" s="124"/>
      <c r="Y1028" s="124"/>
      <c r="Z1028" s="124"/>
      <c r="AA1028" s="124"/>
      <c r="AB1028" s="124"/>
      <c r="AC1028" s="124"/>
      <c r="AD1028" s="124"/>
      <c r="AE1028" s="124"/>
      <c r="AF1028" s="124"/>
      <c r="AG1028" s="124"/>
      <c r="AH1028" s="124"/>
      <c r="AI1028" s="124"/>
      <c r="AJ1028" s="124"/>
    </row>
    <row r="1029" spans="1:36" x14ac:dyDescent="0.3">
      <c r="A1029" s="124"/>
      <c r="B1029" s="124"/>
      <c r="C1029" s="124"/>
      <c r="D1029" s="124"/>
      <c r="E1029" s="124"/>
      <c r="F1029" s="124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4"/>
      <c r="V1029" s="124"/>
      <c r="W1029" s="124"/>
      <c r="X1029" s="124"/>
      <c r="Y1029" s="124"/>
      <c r="Z1029" s="124"/>
      <c r="AA1029" s="124"/>
      <c r="AB1029" s="124"/>
      <c r="AC1029" s="124"/>
      <c r="AD1029" s="124"/>
      <c r="AE1029" s="124"/>
      <c r="AF1029" s="124"/>
      <c r="AG1029" s="124"/>
      <c r="AH1029" s="124"/>
      <c r="AI1029" s="124"/>
      <c r="AJ1029" s="124"/>
    </row>
    <row r="1030" spans="1:36" x14ac:dyDescent="0.3">
      <c r="A1030" s="124"/>
      <c r="B1030" s="124"/>
      <c r="C1030" s="124"/>
      <c r="D1030" s="124"/>
      <c r="E1030" s="124"/>
      <c r="F1030" s="124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4"/>
      <c r="V1030" s="124"/>
      <c r="W1030" s="124"/>
      <c r="X1030" s="124"/>
      <c r="Y1030" s="124"/>
      <c r="Z1030" s="124"/>
      <c r="AA1030" s="124"/>
      <c r="AB1030" s="124"/>
      <c r="AC1030" s="124"/>
      <c r="AD1030" s="124"/>
      <c r="AE1030" s="124"/>
      <c r="AF1030" s="124"/>
      <c r="AG1030" s="124"/>
      <c r="AH1030" s="124"/>
      <c r="AI1030" s="124"/>
      <c r="AJ1030" s="124"/>
    </row>
    <row r="1031" spans="1:36" x14ac:dyDescent="0.3">
      <c r="A1031" s="124"/>
      <c r="B1031" s="124"/>
      <c r="C1031" s="124"/>
      <c r="D1031" s="124"/>
      <c r="E1031" s="124"/>
      <c r="F1031" s="124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4"/>
      <c r="V1031" s="124"/>
      <c r="W1031" s="124"/>
      <c r="X1031" s="124"/>
      <c r="Y1031" s="124"/>
      <c r="Z1031" s="124"/>
      <c r="AA1031" s="124"/>
      <c r="AB1031" s="124"/>
      <c r="AC1031" s="124"/>
      <c r="AD1031" s="124"/>
      <c r="AE1031" s="124"/>
      <c r="AF1031" s="124"/>
      <c r="AG1031" s="124"/>
      <c r="AH1031" s="124"/>
      <c r="AI1031" s="124"/>
      <c r="AJ1031" s="124"/>
    </row>
    <row r="1032" spans="1:36" x14ac:dyDescent="0.3">
      <c r="A1032" s="124"/>
      <c r="B1032" s="124"/>
      <c r="C1032" s="124"/>
      <c r="D1032" s="124"/>
      <c r="E1032" s="124"/>
      <c r="F1032" s="124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4"/>
      <c r="V1032" s="124"/>
      <c r="W1032" s="124"/>
      <c r="X1032" s="124"/>
      <c r="Y1032" s="124"/>
      <c r="Z1032" s="124"/>
      <c r="AA1032" s="124"/>
      <c r="AB1032" s="124"/>
      <c r="AC1032" s="124"/>
      <c r="AD1032" s="124"/>
      <c r="AE1032" s="124"/>
      <c r="AF1032" s="124"/>
      <c r="AG1032" s="124"/>
      <c r="AH1032" s="124"/>
      <c r="AI1032" s="124"/>
      <c r="AJ1032" s="124"/>
    </row>
    <row r="1033" spans="1:36" x14ac:dyDescent="0.3">
      <c r="A1033" s="124"/>
      <c r="B1033" s="124"/>
      <c r="C1033" s="124"/>
      <c r="D1033" s="124"/>
      <c r="E1033" s="124"/>
      <c r="F1033" s="124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4"/>
      <c r="V1033" s="124"/>
      <c r="W1033" s="124"/>
      <c r="X1033" s="124"/>
      <c r="Y1033" s="124"/>
      <c r="Z1033" s="124"/>
      <c r="AA1033" s="124"/>
      <c r="AB1033" s="124"/>
      <c r="AC1033" s="124"/>
      <c r="AD1033" s="124"/>
      <c r="AE1033" s="124"/>
      <c r="AF1033" s="124"/>
      <c r="AG1033" s="124"/>
      <c r="AH1033" s="124"/>
      <c r="AI1033" s="124"/>
      <c r="AJ1033" s="124"/>
    </row>
    <row r="1034" spans="1:36" x14ac:dyDescent="0.3">
      <c r="A1034" s="124"/>
      <c r="B1034" s="124"/>
      <c r="C1034" s="124"/>
      <c r="D1034" s="124"/>
      <c r="E1034" s="124"/>
      <c r="F1034" s="124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4"/>
      <c r="V1034" s="124"/>
      <c r="W1034" s="124"/>
      <c r="X1034" s="124"/>
      <c r="Y1034" s="124"/>
      <c r="Z1034" s="124"/>
      <c r="AA1034" s="124"/>
      <c r="AB1034" s="124"/>
      <c r="AC1034" s="124"/>
      <c r="AD1034" s="124"/>
      <c r="AE1034" s="124"/>
      <c r="AF1034" s="124"/>
      <c r="AG1034" s="124"/>
      <c r="AH1034" s="124"/>
      <c r="AI1034" s="124"/>
      <c r="AJ1034" s="124"/>
    </row>
    <row r="1035" spans="1:36" x14ac:dyDescent="0.3">
      <c r="A1035" s="124"/>
      <c r="B1035" s="124"/>
      <c r="C1035" s="124"/>
      <c r="D1035" s="124"/>
      <c r="E1035" s="124"/>
      <c r="F1035" s="124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4"/>
      <c r="V1035" s="124"/>
      <c r="W1035" s="124"/>
      <c r="X1035" s="124"/>
      <c r="Y1035" s="124"/>
      <c r="Z1035" s="124"/>
      <c r="AA1035" s="124"/>
      <c r="AB1035" s="124"/>
      <c r="AC1035" s="124"/>
      <c r="AD1035" s="124"/>
      <c r="AE1035" s="124"/>
      <c r="AF1035" s="124"/>
      <c r="AG1035" s="124"/>
      <c r="AH1035" s="124"/>
      <c r="AI1035" s="124"/>
      <c r="AJ1035" s="124"/>
    </row>
    <row r="1036" spans="1:36" x14ac:dyDescent="0.3">
      <c r="A1036" s="124"/>
      <c r="B1036" s="124"/>
      <c r="C1036" s="124"/>
      <c r="D1036" s="124"/>
      <c r="E1036" s="124"/>
      <c r="F1036" s="124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4"/>
      <c r="V1036" s="124"/>
      <c r="W1036" s="124"/>
      <c r="X1036" s="124"/>
      <c r="Y1036" s="124"/>
      <c r="Z1036" s="124"/>
      <c r="AA1036" s="124"/>
      <c r="AB1036" s="124"/>
      <c r="AC1036" s="124"/>
      <c r="AD1036" s="124"/>
      <c r="AE1036" s="124"/>
      <c r="AF1036" s="124"/>
      <c r="AG1036" s="124"/>
      <c r="AH1036" s="124"/>
      <c r="AI1036" s="124"/>
      <c r="AJ1036" s="124"/>
    </row>
    <row r="1037" spans="1:36" x14ac:dyDescent="0.3">
      <c r="A1037" s="124"/>
      <c r="B1037" s="124"/>
      <c r="C1037" s="124"/>
      <c r="D1037" s="124"/>
      <c r="E1037" s="124"/>
      <c r="F1037" s="124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4"/>
      <c r="V1037" s="124"/>
      <c r="W1037" s="124"/>
      <c r="X1037" s="124"/>
      <c r="Y1037" s="124"/>
      <c r="Z1037" s="124"/>
      <c r="AA1037" s="124"/>
      <c r="AB1037" s="124"/>
      <c r="AC1037" s="124"/>
      <c r="AD1037" s="124"/>
      <c r="AE1037" s="124"/>
      <c r="AF1037" s="124"/>
      <c r="AG1037" s="124"/>
      <c r="AH1037" s="124"/>
      <c r="AI1037" s="124"/>
      <c r="AJ1037" s="124"/>
    </row>
    <row r="1038" spans="1:36" x14ac:dyDescent="0.3">
      <c r="A1038" s="124"/>
      <c r="B1038" s="124"/>
      <c r="C1038" s="124"/>
      <c r="D1038" s="124"/>
      <c r="E1038" s="124"/>
      <c r="F1038" s="124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4"/>
      <c r="V1038" s="124"/>
      <c r="W1038" s="124"/>
      <c r="X1038" s="124"/>
      <c r="Y1038" s="124"/>
      <c r="Z1038" s="124"/>
      <c r="AA1038" s="124"/>
      <c r="AB1038" s="124"/>
      <c r="AC1038" s="124"/>
      <c r="AD1038" s="124"/>
      <c r="AE1038" s="124"/>
      <c r="AF1038" s="124"/>
      <c r="AG1038" s="124"/>
      <c r="AH1038" s="124"/>
      <c r="AI1038" s="124"/>
      <c r="AJ1038" s="124"/>
    </row>
    <row r="1039" spans="1:36" x14ac:dyDescent="0.3">
      <c r="A1039" s="124"/>
      <c r="B1039" s="124"/>
      <c r="C1039" s="124"/>
      <c r="D1039" s="124"/>
      <c r="E1039" s="124"/>
      <c r="F1039" s="124"/>
      <c r="G1039" s="124"/>
      <c r="H1039" s="124"/>
      <c r="I1039" s="124"/>
      <c r="J1039" s="124"/>
      <c r="K1039" s="124"/>
      <c r="L1039" s="124"/>
      <c r="M1039" s="124"/>
      <c r="N1039" s="124"/>
      <c r="O1039" s="124"/>
      <c r="P1039" s="124"/>
      <c r="Q1039" s="124"/>
      <c r="R1039" s="124"/>
      <c r="S1039" s="124"/>
      <c r="T1039" s="124"/>
      <c r="U1039" s="124"/>
      <c r="V1039" s="124"/>
      <c r="W1039" s="124"/>
      <c r="X1039" s="124"/>
      <c r="Y1039" s="124"/>
      <c r="Z1039" s="124"/>
      <c r="AA1039" s="124"/>
      <c r="AB1039" s="124"/>
      <c r="AC1039" s="124"/>
      <c r="AD1039" s="124"/>
      <c r="AE1039" s="124"/>
      <c r="AF1039" s="124"/>
      <c r="AG1039" s="124"/>
      <c r="AH1039" s="124"/>
      <c r="AI1039" s="124"/>
      <c r="AJ1039" s="124"/>
    </row>
    <row r="1040" spans="1:36" x14ac:dyDescent="0.3">
      <c r="A1040" s="124"/>
      <c r="B1040" s="124"/>
      <c r="C1040" s="124"/>
      <c r="D1040" s="124"/>
      <c r="E1040" s="124"/>
      <c r="F1040" s="124"/>
      <c r="G1040" s="124"/>
      <c r="H1040" s="124"/>
      <c r="I1040" s="124"/>
      <c r="J1040" s="124"/>
      <c r="K1040" s="124"/>
      <c r="L1040" s="124"/>
      <c r="M1040" s="124"/>
      <c r="N1040" s="124"/>
      <c r="O1040" s="124"/>
      <c r="P1040" s="124"/>
      <c r="Q1040" s="124"/>
      <c r="R1040" s="124"/>
      <c r="S1040" s="124"/>
      <c r="T1040" s="124"/>
      <c r="U1040" s="124"/>
      <c r="V1040" s="124"/>
      <c r="W1040" s="124"/>
      <c r="X1040" s="124"/>
      <c r="Y1040" s="124"/>
      <c r="Z1040" s="124"/>
      <c r="AA1040" s="124"/>
      <c r="AB1040" s="124"/>
      <c r="AC1040" s="124"/>
      <c r="AD1040" s="124"/>
      <c r="AE1040" s="124"/>
      <c r="AF1040" s="124"/>
      <c r="AG1040" s="124"/>
      <c r="AH1040" s="124"/>
      <c r="AI1040" s="124"/>
      <c r="AJ1040" s="124"/>
    </row>
    <row r="1041" spans="1:36" x14ac:dyDescent="0.3">
      <c r="A1041" s="124"/>
      <c r="B1041" s="124"/>
      <c r="C1041" s="124"/>
      <c r="D1041" s="124"/>
      <c r="E1041" s="124"/>
      <c r="F1041" s="124"/>
      <c r="G1041" s="124"/>
      <c r="H1041" s="124"/>
      <c r="I1041" s="124"/>
      <c r="J1041" s="124"/>
      <c r="K1041" s="124"/>
      <c r="L1041" s="124"/>
      <c r="M1041" s="124"/>
      <c r="N1041" s="124"/>
      <c r="O1041" s="124"/>
      <c r="P1041" s="124"/>
      <c r="Q1041" s="124"/>
      <c r="R1041" s="124"/>
      <c r="S1041" s="124"/>
      <c r="T1041" s="124"/>
      <c r="U1041" s="124"/>
      <c r="V1041" s="124"/>
      <c r="W1041" s="124"/>
      <c r="X1041" s="124"/>
      <c r="Y1041" s="124"/>
      <c r="Z1041" s="124"/>
      <c r="AA1041" s="124"/>
      <c r="AB1041" s="124"/>
      <c r="AC1041" s="124"/>
      <c r="AD1041" s="124"/>
      <c r="AE1041" s="124"/>
      <c r="AF1041" s="124"/>
      <c r="AG1041" s="124"/>
      <c r="AH1041" s="124"/>
      <c r="AI1041" s="124"/>
      <c r="AJ1041" s="124"/>
    </row>
    <row r="1042" spans="1:36" x14ac:dyDescent="0.3">
      <c r="A1042" s="124"/>
      <c r="B1042" s="124"/>
      <c r="C1042" s="124"/>
      <c r="D1042" s="124"/>
      <c r="E1042" s="124"/>
      <c r="F1042" s="124"/>
      <c r="G1042" s="124"/>
      <c r="H1042" s="124"/>
      <c r="I1042" s="124"/>
      <c r="J1042" s="124"/>
      <c r="K1042" s="124"/>
      <c r="L1042" s="124"/>
      <c r="M1042" s="124"/>
      <c r="N1042" s="124"/>
      <c r="O1042" s="124"/>
      <c r="P1042" s="124"/>
      <c r="Q1042" s="124"/>
      <c r="R1042" s="124"/>
      <c r="S1042" s="124"/>
      <c r="T1042" s="124"/>
      <c r="U1042" s="124"/>
      <c r="V1042" s="124"/>
      <c r="W1042" s="124"/>
      <c r="X1042" s="124"/>
      <c r="Y1042" s="124"/>
      <c r="Z1042" s="124"/>
      <c r="AA1042" s="124"/>
      <c r="AB1042" s="124"/>
      <c r="AC1042" s="124"/>
      <c r="AD1042" s="124"/>
      <c r="AE1042" s="124"/>
      <c r="AF1042" s="124"/>
      <c r="AG1042" s="124"/>
      <c r="AH1042" s="124"/>
      <c r="AI1042" s="124"/>
      <c r="AJ1042" s="124"/>
    </row>
    <row r="1043" spans="1:36" x14ac:dyDescent="0.3">
      <c r="A1043" s="124"/>
      <c r="B1043" s="124"/>
      <c r="C1043" s="124"/>
      <c r="D1043" s="124"/>
      <c r="E1043" s="124"/>
      <c r="F1043" s="124"/>
      <c r="G1043" s="124"/>
      <c r="H1043" s="124"/>
      <c r="I1043" s="124"/>
      <c r="J1043" s="124"/>
      <c r="K1043" s="124"/>
      <c r="L1043" s="124"/>
      <c r="M1043" s="124"/>
      <c r="N1043" s="124"/>
      <c r="O1043" s="124"/>
      <c r="P1043" s="124"/>
      <c r="Q1043" s="124"/>
      <c r="R1043" s="124"/>
      <c r="S1043" s="124"/>
      <c r="T1043" s="124"/>
      <c r="U1043" s="124"/>
      <c r="V1043" s="124"/>
      <c r="W1043" s="124"/>
      <c r="X1043" s="124"/>
      <c r="Y1043" s="124"/>
      <c r="Z1043" s="124"/>
      <c r="AA1043" s="124"/>
      <c r="AB1043" s="124"/>
      <c r="AC1043" s="124"/>
      <c r="AD1043" s="124"/>
      <c r="AE1043" s="124"/>
      <c r="AF1043" s="124"/>
      <c r="AG1043" s="124"/>
      <c r="AH1043" s="124"/>
      <c r="AI1043" s="124"/>
      <c r="AJ1043" s="124"/>
    </row>
    <row r="1044" spans="1:36" x14ac:dyDescent="0.3">
      <c r="A1044" s="124"/>
      <c r="B1044" s="124"/>
      <c r="C1044" s="124"/>
      <c r="D1044" s="124"/>
      <c r="E1044" s="124"/>
      <c r="F1044" s="124"/>
      <c r="G1044" s="124"/>
      <c r="H1044" s="124"/>
      <c r="I1044" s="124"/>
      <c r="J1044" s="124"/>
      <c r="K1044" s="124"/>
      <c r="L1044" s="124"/>
      <c r="M1044" s="124"/>
      <c r="N1044" s="124"/>
      <c r="O1044" s="124"/>
      <c r="P1044" s="124"/>
      <c r="Q1044" s="124"/>
      <c r="R1044" s="124"/>
      <c r="S1044" s="124"/>
      <c r="T1044" s="124"/>
      <c r="U1044" s="124"/>
      <c r="V1044" s="124"/>
      <c r="W1044" s="124"/>
      <c r="X1044" s="124"/>
      <c r="Y1044" s="124"/>
      <c r="Z1044" s="124"/>
      <c r="AA1044" s="124"/>
      <c r="AB1044" s="124"/>
      <c r="AC1044" s="124"/>
      <c r="AD1044" s="124"/>
      <c r="AE1044" s="124"/>
      <c r="AF1044" s="124"/>
      <c r="AG1044" s="124"/>
      <c r="AH1044" s="124"/>
      <c r="AI1044" s="124"/>
      <c r="AJ1044" s="124"/>
    </row>
    <row r="1045" spans="1:36" x14ac:dyDescent="0.3">
      <c r="A1045" s="124"/>
      <c r="B1045" s="124"/>
      <c r="C1045" s="124"/>
      <c r="D1045" s="124"/>
      <c r="E1045" s="124"/>
      <c r="F1045" s="124"/>
      <c r="G1045" s="124"/>
      <c r="H1045" s="124"/>
      <c r="I1045" s="124"/>
      <c r="J1045" s="124"/>
      <c r="K1045" s="124"/>
      <c r="L1045" s="124"/>
      <c r="M1045" s="124"/>
      <c r="N1045" s="124"/>
      <c r="O1045" s="124"/>
      <c r="P1045" s="124"/>
      <c r="Q1045" s="124"/>
      <c r="R1045" s="124"/>
      <c r="S1045" s="124"/>
      <c r="T1045" s="124"/>
      <c r="U1045" s="124"/>
      <c r="V1045" s="124"/>
      <c r="W1045" s="124"/>
      <c r="X1045" s="124"/>
      <c r="Y1045" s="124"/>
      <c r="Z1045" s="124"/>
      <c r="AA1045" s="124"/>
      <c r="AB1045" s="124"/>
      <c r="AC1045" s="124"/>
      <c r="AD1045" s="124"/>
      <c r="AE1045" s="124"/>
      <c r="AF1045" s="124"/>
      <c r="AG1045" s="124"/>
      <c r="AH1045" s="124"/>
      <c r="AI1045" s="124"/>
      <c r="AJ1045" s="124"/>
    </row>
    <row r="1046" spans="1:36" x14ac:dyDescent="0.3">
      <c r="A1046" s="124"/>
      <c r="B1046" s="124"/>
      <c r="C1046" s="124"/>
      <c r="D1046" s="124"/>
      <c r="E1046" s="124"/>
      <c r="F1046" s="124"/>
      <c r="G1046" s="124"/>
      <c r="H1046" s="124"/>
      <c r="I1046" s="124"/>
      <c r="J1046" s="124"/>
      <c r="K1046" s="124"/>
      <c r="L1046" s="124"/>
      <c r="M1046" s="124"/>
      <c r="N1046" s="124"/>
      <c r="O1046" s="124"/>
      <c r="P1046" s="124"/>
      <c r="Q1046" s="124"/>
      <c r="R1046" s="124"/>
      <c r="S1046" s="124"/>
      <c r="T1046" s="124"/>
      <c r="U1046" s="124"/>
      <c r="V1046" s="124"/>
      <c r="W1046" s="124"/>
      <c r="X1046" s="124"/>
      <c r="Y1046" s="124"/>
      <c r="Z1046" s="124"/>
      <c r="AA1046" s="124"/>
      <c r="AB1046" s="124"/>
      <c r="AC1046" s="124"/>
      <c r="AD1046" s="124"/>
      <c r="AE1046" s="124"/>
      <c r="AF1046" s="124"/>
      <c r="AG1046" s="124"/>
      <c r="AH1046" s="124"/>
      <c r="AI1046" s="124"/>
      <c r="AJ1046" s="124"/>
    </row>
    <row r="1047" spans="1:36" x14ac:dyDescent="0.3">
      <c r="A1047" s="124"/>
      <c r="B1047" s="124"/>
      <c r="C1047" s="124"/>
      <c r="D1047" s="124"/>
      <c r="E1047" s="124"/>
      <c r="F1047" s="124"/>
      <c r="G1047" s="124"/>
      <c r="H1047" s="124"/>
      <c r="I1047" s="124"/>
      <c r="J1047" s="124"/>
      <c r="K1047" s="124"/>
      <c r="L1047" s="124"/>
      <c r="M1047" s="124"/>
      <c r="N1047" s="124"/>
      <c r="O1047" s="124"/>
      <c r="P1047" s="124"/>
      <c r="Q1047" s="124"/>
      <c r="R1047" s="124"/>
      <c r="S1047" s="124"/>
      <c r="T1047" s="124"/>
      <c r="U1047" s="124"/>
      <c r="V1047" s="124"/>
      <c r="W1047" s="124"/>
      <c r="X1047" s="124"/>
      <c r="Y1047" s="124"/>
      <c r="Z1047" s="124"/>
      <c r="AA1047" s="124"/>
      <c r="AB1047" s="124"/>
      <c r="AC1047" s="124"/>
      <c r="AD1047" s="124"/>
      <c r="AE1047" s="124"/>
      <c r="AF1047" s="124"/>
      <c r="AG1047" s="124"/>
      <c r="AH1047" s="124"/>
      <c r="AI1047" s="124"/>
      <c r="AJ1047" s="124"/>
    </row>
    <row r="1048" spans="1:36" x14ac:dyDescent="0.3">
      <c r="A1048" s="124"/>
      <c r="B1048" s="124"/>
      <c r="C1048" s="124"/>
      <c r="D1048" s="124"/>
      <c r="E1048" s="124"/>
      <c r="F1048" s="124"/>
      <c r="G1048" s="124"/>
      <c r="H1048" s="124"/>
      <c r="I1048" s="124"/>
      <c r="J1048" s="124"/>
      <c r="K1048" s="124"/>
      <c r="L1048" s="124"/>
      <c r="M1048" s="124"/>
      <c r="N1048" s="124"/>
      <c r="O1048" s="124"/>
      <c r="P1048" s="124"/>
      <c r="Q1048" s="124"/>
      <c r="R1048" s="124"/>
      <c r="S1048" s="124"/>
      <c r="T1048" s="124"/>
      <c r="U1048" s="124"/>
      <c r="V1048" s="124"/>
      <c r="W1048" s="124"/>
      <c r="X1048" s="124"/>
      <c r="Y1048" s="124"/>
      <c r="Z1048" s="124"/>
      <c r="AA1048" s="124"/>
      <c r="AB1048" s="124"/>
      <c r="AC1048" s="124"/>
      <c r="AD1048" s="124"/>
      <c r="AE1048" s="124"/>
      <c r="AF1048" s="124"/>
      <c r="AG1048" s="124"/>
      <c r="AH1048" s="124"/>
      <c r="AI1048" s="124"/>
      <c r="AJ1048" s="124"/>
    </row>
    <row r="1049" spans="1:36" x14ac:dyDescent="0.3">
      <c r="A1049" s="124"/>
      <c r="B1049" s="124"/>
      <c r="C1049" s="124"/>
      <c r="D1049" s="124"/>
      <c r="E1049" s="124"/>
      <c r="F1049" s="124"/>
      <c r="G1049" s="124"/>
      <c r="H1049" s="124"/>
      <c r="I1049" s="124"/>
      <c r="J1049" s="124"/>
      <c r="K1049" s="124"/>
      <c r="L1049" s="124"/>
      <c r="M1049" s="124"/>
      <c r="N1049" s="124"/>
      <c r="O1049" s="124"/>
      <c r="P1049" s="124"/>
      <c r="Q1049" s="124"/>
      <c r="R1049" s="124"/>
      <c r="S1049" s="124"/>
      <c r="T1049" s="124"/>
      <c r="U1049" s="124"/>
      <c r="V1049" s="124"/>
      <c r="W1049" s="124"/>
      <c r="X1049" s="124"/>
      <c r="Y1049" s="124"/>
      <c r="Z1049" s="124"/>
      <c r="AA1049" s="124"/>
      <c r="AB1049" s="124"/>
      <c r="AC1049" s="124"/>
      <c r="AD1049" s="124"/>
      <c r="AE1049" s="124"/>
      <c r="AF1049" s="124"/>
      <c r="AG1049" s="124"/>
      <c r="AH1049" s="124"/>
      <c r="AI1049" s="124"/>
      <c r="AJ1049" s="124"/>
    </row>
    <row r="1050" spans="1:36" x14ac:dyDescent="0.3">
      <c r="A1050" s="124"/>
      <c r="B1050" s="124"/>
      <c r="C1050" s="124"/>
      <c r="D1050" s="124"/>
      <c r="E1050" s="124"/>
      <c r="F1050" s="124"/>
      <c r="G1050" s="124"/>
      <c r="H1050" s="124"/>
      <c r="I1050" s="124"/>
      <c r="J1050" s="124"/>
      <c r="K1050" s="124"/>
      <c r="L1050" s="124"/>
      <c r="M1050" s="124"/>
      <c r="N1050" s="124"/>
      <c r="O1050" s="124"/>
      <c r="P1050" s="124"/>
      <c r="Q1050" s="124"/>
      <c r="R1050" s="124"/>
      <c r="S1050" s="124"/>
      <c r="T1050" s="124"/>
      <c r="U1050" s="124"/>
      <c r="V1050" s="124"/>
      <c r="W1050" s="124"/>
      <c r="X1050" s="124"/>
      <c r="Y1050" s="124"/>
      <c r="Z1050" s="124"/>
      <c r="AA1050" s="124"/>
      <c r="AB1050" s="124"/>
      <c r="AC1050" s="124"/>
      <c r="AD1050" s="124"/>
      <c r="AE1050" s="124"/>
      <c r="AF1050" s="124"/>
      <c r="AG1050" s="124"/>
      <c r="AH1050" s="124"/>
      <c r="AI1050" s="124"/>
      <c r="AJ1050" s="124"/>
    </row>
    <row r="1051" spans="1:36" x14ac:dyDescent="0.3">
      <c r="A1051" s="124"/>
      <c r="B1051" s="124"/>
      <c r="C1051" s="124"/>
      <c r="D1051" s="124"/>
      <c r="E1051" s="124"/>
      <c r="F1051" s="124"/>
      <c r="G1051" s="124"/>
      <c r="H1051" s="124"/>
      <c r="I1051" s="124"/>
      <c r="J1051" s="124"/>
      <c r="K1051" s="124"/>
      <c r="L1051" s="124"/>
      <c r="M1051" s="124"/>
      <c r="N1051" s="124"/>
      <c r="O1051" s="124"/>
      <c r="P1051" s="124"/>
      <c r="Q1051" s="124"/>
      <c r="R1051" s="124"/>
      <c r="S1051" s="124"/>
      <c r="T1051" s="124"/>
      <c r="U1051" s="124"/>
      <c r="V1051" s="124"/>
      <c r="W1051" s="124"/>
      <c r="X1051" s="124"/>
      <c r="Y1051" s="124"/>
      <c r="Z1051" s="124"/>
      <c r="AA1051" s="124"/>
      <c r="AB1051" s="124"/>
      <c r="AC1051" s="124"/>
      <c r="AD1051" s="124"/>
      <c r="AE1051" s="124"/>
      <c r="AF1051" s="124"/>
      <c r="AG1051" s="124"/>
      <c r="AH1051" s="124"/>
      <c r="AI1051" s="124"/>
      <c r="AJ1051" s="124"/>
    </row>
    <row r="1052" spans="1:36" x14ac:dyDescent="0.3">
      <c r="A1052" s="124"/>
      <c r="B1052" s="124"/>
      <c r="C1052" s="124"/>
      <c r="D1052" s="124"/>
      <c r="E1052" s="124"/>
      <c r="F1052" s="124"/>
      <c r="G1052" s="124"/>
      <c r="H1052" s="124"/>
      <c r="I1052" s="124"/>
      <c r="J1052" s="124"/>
      <c r="K1052" s="124"/>
      <c r="L1052" s="124"/>
      <c r="M1052" s="124"/>
      <c r="N1052" s="124"/>
      <c r="O1052" s="124"/>
      <c r="P1052" s="124"/>
      <c r="Q1052" s="124"/>
      <c r="R1052" s="124"/>
      <c r="S1052" s="124"/>
      <c r="T1052" s="124"/>
      <c r="U1052" s="124"/>
      <c r="V1052" s="124"/>
      <c r="W1052" s="124"/>
      <c r="X1052" s="124"/>
      <c r="Y1052" s="124"/>
      <c r="Z1052" s="124"/>
      <c r="AA1052" s="124"/>
      <c r="AB1052" s="124"/>
      <c r="AC1052" s="124"/>
      <c r="AD1052" s="124"/>
      <c r="AE1052" s="124"/>
      <c r="AF1052" s="124"/>
      <c r="AG1052" s="124"/>
      <c r="AH1052" s="124"/>
      <c r="AI1052" s="124"/>
      <c r="AJ1052" s="124"/>
    </row>
    <row r="1053" spans="1:36" x14ac:dyDescent="0.3">
      <c r="A1053" s="124"/>
      <c r="B1053" s="124"/>
      <c r="C1053" s="124"/>
      <c r="D1053" s="124"/>
      <c r="E1053" s="124"/>
      <c r="F1053" s="124"/>
      <c r="G1053" s="124"/>
      <c r="H1053" s="124"/>
      <c r="I1053" s="124"/>
      <c r="J1053" s="124"/>
      <c r="K1053" s="124"/>
      <c r="L1053" s="124"/>
      <c r="M1053" s="124"/>
      <c r="N1053" s="124"/>
      <c r="O1053" s="124"/>
      <c r="P1053" s="124"/>
      <c r="Q1053" s="124"/>
      <c r="R1053" s="124"/>
      <c r="S1053" s="124"/>
      <c r="T1053" s="124"/>
      <c r="U1053" s="124"/>
      <c r="V1053" s="124"/>
      <c r="W1053" s="124"/>
      <c r="X1053" s="124"/>
      <c r="Y1053" s="124"/>
      <c r="Z1053" s="124"/>
      <c r="AA1053" s="124"/>
      <c r="AB1053" s="124"/>
      <c r="AC1053" s="124"/>
      <c r="AD1053" s="124"/>
      <c r="AE1053" s="124"/>
      <c r="AF1053" s="124"/>
      <c r="AG1053" s="124"/>
      <c r="AH1053" s="124"/>
      <c r="AI1053" s="124"/>
      <c r="AJ1053" s="124"/>
    </row>
    <row r="1054" spans="1:36" x14ac:dyDescent="0.3">
      <c r="A1054" s="124"/>
      <c r="B1054" s="124"/>
      <c r="C1054" s="124"/>
      <c r="D1054" s="124"/>
      <c r="E1054" s="124"/>
      <c r="F1054" s="124"/>
      <c r="G1054" s="124"/>
      <c r="H1054" s="124"/>
      <c r="I1054" s="124"/>
      <c r="J1054" s="124"/>
      <c r="K1054" s="124"/>
      <c r="L1054" s="124"/>
      <c r="M1054" s="124"/>
      <c r="N1054" s="124"/>
      <c r="O1054" s="124"/>
      <c r="P1054" s="124"/>
      <c r="Q1054" s="124"/>
      <c r="R1054" s="124"/>
      <c r="S1054" s="124"/>
      <c r="T1054" s="124"/>
      <c r="U1054" s="124"/>
      <c r="V1054" s="124"/>
      <c r="W1054" s="124"/>
      <c r="X1054" s="124"/>
      <c r="Y1054" s="124"/>
      <c r="Z1054" s="124"/>
      <c r="AA1054" s="124"/>
      <c r="AB1054" s="124"/>
      <c r="AC1054" s="124"/>
      <c r="AD1054" s="124"/>
      <c r="AE1054" s="124"/>
      <c r="AF1054" s="124"/>
      <c r="AG1054" s="124"/>
      <c r="AH1054" s="124"/>
      <c r="AI1054" s="124"/>
      <c r="AJ1054" s="124"/>
    </row>
    <row r="1055" spans="1:36" x14ac:dyDescent="0.3">
      <c r="A1055" s="124"/>
      <c r="B1055" s="124"/>
      <c r="C1055" s="124"/>
      <c r="D1055" s="124"/>
      <c r="E1055" s="124"/>
      <c r="F1055" s="124"/>
      <c r="G1055" s="124"/>
      <c r="H1055" s="124"/>
      <c r="I1055" s="124"/>
      <c r="J1055" s="124"/>
      <c r="K1055" s="124"/>
      <c r="L1055" s="124"/>
      <c r="M1055" s="124"/>
      <c r="N1055" s="124"/>
      <c r="O1055" s="124"/>
      <c r="P1055" s="124"/>
      <c r="Q1055" s="124"/>
      <c r="R1055" s="124"/>
      <c r="S1055" s="124"/>
      <c r="T1055" s="124"/>
      <c r="U1055" s="124"/>
      <c r="V1055" s="124"/>
      <c r="W1055" s="124"/>
      <c r="X1055" s="124"/>
      <c r="Y1055" s="124"/>
      <c r="Z1055" s="124"/>
      <c r="AA1055" s="124"/>
      <c r="AB1055" s="124"/>
      <c r="AC1055" s="124"/>
      <c r="AD1055" s="124"/>
      <c r="AE1055" s="124"/>
      <c r="AF1055" s="124"/>
      <c r="AG1055" s="124"/>
      <c r="AH1055" s="124"/>
      <c r="AI1055" s="124"/>
      <c r="AJ1055" s="124"/>
    </row>
    <row r="1056" spans="1:36" x14ac:dyDescent="0.3">
      <c r="A1056" s="124"/>
      <c r="B1056" s="124"/>
      <c r="C1056" s="124"/>
      <c r="D1056" s="124"/>
      <c r="E1056" s="124"/>
      <c r="F1056" s="124"/>
      <c r="G1056" s="124"/>
      <c r="H1056" s="124"/>
      <c r="I1056" s="124"/>
      <c r="J1056" s="124"/>
      <c r="K1056" s="124"/>
      <c r="L1056" s="124"/>
      <c r="M1056" s="124"/>
      <c r="N1056" s="124"/>
      <c r="O1056" s="124"/>
      <c r="P1056" s="124"/>
      <c r="Q1056" s="124"/>
      <c r="R1056" s="124"/>
      <c r="S1056" s="124"/>
      <c r="T1056" s="124"/>
      <c r="U1056" s="124"/>
      <c r="V1056" s="124"/>
      <c r="W1056" s="124"/>
      <c r="X1056" s="124"/>
      <c r="Y1056" s="124"/>
      <c r="Z1056" s="124"/>
      <c r="AA1056" s="124"/>
      <c r="AB1056" s="124"/>
      <c r="AC1056" s="124"/>
      <c r="AD1056" s="124"/>
      <c r="AE1056" s="124"/>
      <c r="AF1056" s="124"/>
      <c r="AG1056" s="124"/>
      <c r="AH1056" s="124"/>
      <c r="AI1056" s="124"/>
      <c r="AJ1056" s="124"/>
    </row>
    <row r="1057" spans="1:36" x14ac:dyDescent="0.3">
      <c r="A1057" s="124"/>
      <c r="B1057" s="124"/>
      <c r="C1057" s="124"/>
      <c r="D1057" s="124"/>
      <c r="E1057" s="124"/>
      <c r="F1057" s="124"/>
      <c r="G1057" s="124"/>
      <c r="H1057" s="124"/>
      <c r="I1057" s="124"/>
      <c r="J1057" s="124"/>
      <c r="K1057" s="124"/>
      <c r="L1057" s="124"/>
      <c r="M1057" s="124"/>
      <c r="N1057" s="124"/>
      <c r="O1057" s="124"/>
      <c r="P1057" s="124"/>
      <c r="Q1057" s="124"/>
      <c r="R1057" s="124"/>
      <c r="S1057" s="124"/>
      <c r="T1057" s="124"/>
      <c r="U1057" s="124"/>
      <c r="V1057" s="124"/>
      <c r="W1057" s="124"/>
      <c r="X1057" s="124"/>
      <c r="Y1057" s="124"/>
      <c r="Z1057" s="124"/>
      <c r="AA1057" s="124"/>
      <c r="AB1057" s="124"/>
      <c r="AC1057" s="124"/>
      <c r="AD1057" s="124"/>
      <c r="AE1057" s="124"/>
      <c r="AF1057" s="124"/>
      <c r="AG1057" s="124"/>
      <c r="AH1057" s="124"/>
      <c r="AI1057" s="124"/>
      <c r="AJ1057" s="124"/>
    </row>
    <row r="1058" spans="1:36" x14ac:dyDescent="0.3">
      <c r="A1058" s="124"/>
      <c r="B1058" s="124"/>
      <c r="C1058" s="124"/>
      <c r="D1058" s="124"/>
      <c r="E1058" s="124"/>
      <c r="F1058" s="124"/>
      <c r="G1058" s="124"/>
      <c r="H1058" s="124"/>
      <c r="I1058" s="124"/>
      <c r="J1058" s="124"/>
      <c r="K1058" s="124"/>
      <c r="L1058" s="124"/>
      <c r="M1058" s="124"/>
      <c r="N1058" s="124"/>
      <c r="O1058" s="124"/>
      <c r="P1058" s="124"/>
      <c r="Q1058" s="124"/>
      <c r="R1058" s="124"/>
      <c r="S1058" s="124"/>
      <c r="T1058" s="124"/>
      <c r="U1058" s="124"/>
      <c r="V1058" s="124"/>
      <c r="W1058" s="124"/>
      <c r="X1058" s="124"/>
      <c r="Y1058" s="124"/>
      <c r="Z1058" s="124"/>
      <c r="AA1058" s="124"/>
      <c r="AB1058" s="124"/>
      <c r="AC1058" s="124"/>
      <c r="AD1058" s="124"/>
      <c r="AE1058" s="124"/>
      <c r="AF1058" s="124"/>
      <c r="AG1058" s="124"/>
      <c r="AH1058" s="124"/>
      <c r="AI1058" s="124"/>
      <c r="AJ1058" s="124"/>
    </row>
    <row r="1059" spans="1:36" x14ac:dyDescent="0.3">
      <c r="A1059" s="124"/>
      <c r="B1059" s="124"/>
      <c r="C1059" s="124"/>
      <c r="D1059" s="124"/>
      <c r="E1059" s="124"/>
      <c r="F1059" s="124"/>
      <c r="G1059" s="124"/>
      <c r="H1059" s="124"/>
      <c r="I1059" s="124"/>
      <c r="J1059" s="124"/>
      <c r="K1059" s="124"/>
      <c r="L1059" s="124"/>
      <c r="M1059" s="124"/>
      <c r="N1059" s="124"/>
      <c r="O1059" s="124"/>
      <c r="P1059" s="124"/>
      <c r="Q1059" s="124"/>
      <c r="R1059" s="124"/>
      <c r="S1059" s="124"/>
      <c r="T1059" s="124"/>
      <c r="U1059" s="124"/>
      <c r="V1059" s="124"/>
      <c r="W1059" s="124"/>
      <c r="X1059" s="124"/>
      <c r="Y1059" s="124"/>
      <c r="Z1059" s="124"/>
      <c r="AA1059" s="124"/>
      <c r="AB1059" s="124"/>
      <c r="AC1059" s="124"/>
      <c r="AD1059" s="124"/>
      <c r="AE1059" s="124"/>
      <c r="AF1059" s="124"/>
      <c r="AG1059" s="124"/>
      <c r="AH1059" s="124"/>
      <c r="AI1059" s="124"/>
      <c r="AJ1059" s="124"/>
    </row>
    <row r="1060" spans="1:36" x14ac:dyDescent="0.3">
      <c r="A1060" s="124"/>
      <c r="B1060" s="124"/>
      <c r="C1060" s="124"/>
      <c r="D1060" s="124"/>
      <c r="E1060" s="124"/>
      <c r="F1060" s="124"/>
      <c r="G1060" s="124"/>
      <c r="H1060" s="124"/>
      <c r="I1060" s="124"/>
      <c r="J1060" s="124"/>
      <c r="K1060" s="124"/>
      <c r="L1060" s="124"/>
      <c r="M1060" s="124"/>
      <c r="N1060" s="124"/>
      <c r="O1060" s="124"/>
      <c r="P1060" s="124"/>
      <c r="Q1060" s="124"/>
      <c r="R1060" s="124"/>
      <c r="S1060" s="124"/>
      <c r="T1060" s="124"/>
      <c r="U1060" s="124"/>
      <c r="V1060" s="124"/>
      <c r="W1060" s="124"/>
      <c r="X1060" s="124"/>
      <c r="Y1060" s="124"/>
      <c r="Z1060" s="124"/>
      <c r="AA1060" s="124"/>
      <c r="AB1060" s="124"/>
      <c r="AC1060" s="124"/>
      <c r="AD1060" s="124"/>
      <c r="AE1060" s="124"/>
      <c r="AF1060" s="124"/>
      <c r="AG1060" s="124"/>
      <c r="AH1060" s="124"/>
      <c r="AI1060" s="124"/>
      <c r="AJ1060" s="124"/>
    </row>
    <row r="1061" spans="1:36" x14ac:dyDescent="0.3">
      <c r="A1061" s="124"/>
      <c r="B1061" s="124"/>
      <c r="C1061" s="124"/>
      <c r="D1061" s="124"/>
      <c r="E1061" s="124"/>
      <c r="F1061" s="124"/>
      <c r="G1061" s="124"/>
      <c r="H1061" s="124"/>
      <c r="I1061" s="124"/>
      <c r="J1061" s="124"/>
      <c r="K1061" s="124"/>
      <c r="L1061" s="124"/>
      <c r="M1061" s="124"/>
      <c r="N1061" s="124"/>
      <c r="O1061" s="124"/>
      <c r="P1061" s="124"/>
      <c r="Q1061" s="124"/>
      <c r="R1061" s="124"/>
      <c r="S1061" s="124"/>
      <c r="T1061" s="124"/>
      <c r="U1061" s="124"/>
      <c r="V1061" s="124"/>
      <c r="W1061" s="124"/>
      <c r="X1061" s="124"/>
      <c r="Y1061" s="124"/>
      <c r="Z1061" s="124"/>
      <c r="AA1061" s="124"/>
      <c r="AB1061" s="124"/>
      <c r="AC1061" s="124"/>
      <c r="AD1061" s="124"/>
      <c r="AE1061" s="124"/>
      <c r="AF1061" s="124"/>
      <c r="AG1061" s="124"/>
      <c r="AH1061" s="124"/>
      <c r="AI1061" s="124"/>
      <c r="AJ1061" s="124"/>
    </row>
    <row r="1062" spans="1:36" x14ac:dyDescent="0.3">
      <c r="A1062" s="124"/>
      <c r="B1062" s="124"/>
      <c r="C1062" s="124"/>
      <c r="D1062" s="124"/>
      <c r="E1062" s="124"/>
      <c r="F1062" s="124"/>
      <c r="G1062" s="124"/>
      <c r="H1062" s="124"/>
      <c r="I1062" s="124"/>
      <c r="J1062" s="124"/>
      <c r="K1062" s="124"/>
      <c r="L1062" s="124"/>
      <c r="M1062" s="124"/>
      <c r="N1062" s="124"/>
      <c r="O1062" s="124"/>
      <c r="P1062" s="124"/>
      <c r="Q1062" s="124"/>
      <c r="R1062" s="124"/>
      <c r="S1062" s="124"/>
      <c r="T1062" s="124"/>
      <c r="U1062" s="124"/>
      <c r="V1062" s="124"/>
      <c r="W1062" s="124"/>
      <c r="X1062" s="124"/>
      <c r="Y1062" s="124"/>
      <c r="Z1062" s="124"/>
      <c r="AA1062" s="124"/>
      <c r="AB1062" s="124"/>
      <c r="AC1062" s="124"/>
      <c r="AD1062" s="124"/>
      <c r="AE1062" s="124"/>
      <c r="AF1062" s="124"/>
      <c r="AG1062" s="124"/>
      <c r="AH1062" s="124"/>
      <c r="AI1062" s="124"/>
      <c r="AJ1062" s="124"/>
    </row>
    <row r="1063" spans="1:36" x14ac:dyDescent="0.3">
      <c r="A1063" s="124"/>
      <c r="B1063" s="124"/>
      <c r="C1063" s="124"/>
      <c r="D1063" s="124"/>
      <c r="E1063" s="124"/>
      <c r="F1063" s="124"/>
      <c r="G1063" s="124"/>
      <c r="H1063" s="124"/>
      <c r="I1063" s="124"/>
      <c r="J1063" s="124"/>
      <c r="K1063" s="124"/>
      <c r="L1063" s="124"/>
      <c r="M1063" s="124"/>
      <c r="N1063" s="124"/>
      <c r="O1063" s="124"/>
      <c r="P1063" s="124"/>
      <c r="Q1063" s="124"/>
      <c r="R1063" s="124"/>
      <c r="S1063" s="124"/>
      <c r="T1063" s="124"/>
      <c r="U1063" s="124"/>
      <c r="V1063" s="124"/>
      <c r="W1063" s="124"/>
      <c r="X1063" s="124"/>
      <c r="Y1063" s="124"/>
      <c r="Z1063" s="124"/>
      <c r="AA1063" s="124"/>
      <c r="AB1063" s="124"/>
      <c r="AC1063" s="124"/>
      <c r="AD1063" s="124"/>
      <c r="AE1063" s="124"/>
      <c r="AF1063" s="124"/>
      <c r="AG1063" s="124"/>
      <c r="AH1063" s="124"/>
      <c r="AI1063" s="124"/>
      <c r="AJ1063" s="124"/>
    </row>
    <row r="1064" spans="1:36" x14ac:dyDescent="0.3">
      <c r="A1064" s="124"/>
      <c r="B1064" s="124"/>
      <c r="C1064" s="124"/>
      <c r="D1064" s="124"/>
      <c r="E1064" s="124"/>
      <c r="F1064" s="124"/>
      <c r="G1064" s="124"/>
      <c r="H1064" s="124"/>
      <c r="I1064" s="124"/>
      <c r="J1064" s="124"/>
      <c r="K1064" s="124"/>
      <c r="L1064" s="124"/>
      <c r="M1064" s="124"/>
      <c r="N1064" s="124"/>
      <c r="O1064" s="124"/>
      <c r="P1064" s="124"/>
      <c r="Q1064" s="124"/>
      <c r="R1064" s="124"/>
      <c r="S1064" s="124"/>
      <c r="T1064" s="124"/>
      <c r="U1064" s="124"/>
      <c r="V1064" s="124"/>
      <c r="W1064" s="124"/>
      <c r="X1064" s="124"/>
      <c r="Y1064" s="124"/>
      <c r="Z1064" s="124"/>
      <c r="AA1064" s="124"/>
      <c r="AB1064" s="124"/>
      <c r="AC1064" s="124"/>
      <c r="AD1064" s="124"/>
      <c r="AE1064" s="124"/>
      <c r="AF1064" s="124"/>
      <c r="AG1064" s="124"/>
      <c r="AH1064" s="124"/>
      <c r="AI1064" s="124"/>
      <c r="AJ1064" s="124"/>
    </row>
    <row r="1065" spans="1:36" x14ac:dyDescent="0.3">
      <c r="A1065" s="124"/>
      <c r="B1065" s="124"/>
      <c r="C1065" s="124"/>
      <c r="D1065" s="124"/>
      <c r="E1065" s="124"/>
      <c r="F1065" s="124"/>
      <c r="G1065" s="124"/>
      <c r="H1065" s="124"/>
      <c r="I1065" s="124"/>
      <c r="J1065" s="124"/>
      <c r="K1065" s="124"/>
      <c r="L1065" s="124"/>
      <c r="M1065" s="124"/>
      <c r="N1065" s="124"/>
      <c r="O1065" s="124"/>
      <c r="P1065" s="124"/>
      <c r="Q1065" s="124"/>
      <c r="R1065" s="124"/>
      <c r="S1065" s="124"/>
      <c r="T1065" s="124"/>
      <c r="U1065" s="124"/>
      <c r="V1065" s="124"/>
      <c r="W1065" s="124"/>
      <c r="X1065" s="124"/>
      <c r="Y1065" s="124"/>
      <c r="Z1065" s="124"/>
      <c r="AA1065" s="124"/>
      <c r="AB1065" s="124"/>
      <c r="AC1065" s="124"/>
      <c r="AD1065" s="124"/>
      <c r="AE1065" s="124"/>
      <c r="AF1065" s="124"/>
      <c r="AG1065" s="124"/>
      <c r="AH1065" s="124"/>
      <c r="AI1065" s="124"/>
      <c r="AJ1065" s="124"/>
    </row>
    <row r="1066" spans="1:36" x14ac:dyDescent="0.3">
      <c r="A1066" s="124"/>
      <c r="B1066" s="124"/>
      <c r="C1066" s="124"/>
      <c r="D1066" s="124"/>
      <c r="E1066" s="124"/>
      <c r="F1066" s="124"/>
      <c r="G1066" s="124"/>
      <c r="H1066" s="124"/>
      <c r="I1066" s="124"/>
      <c r="J1066" s="124"/>
      <c r="K1066" s="124"/>
      <c r="L1066" s="124"/>
      <c r="M1066" s="124"/>
      <c r="N1066" s="124"/>
      <c r="O1066" s="124"/>
      <c r="P1066" s="124"/>
      <c r="Q1066" s="124"/>
      <c r="R1066" s="124"/>
      <c r="S1066" s="124"/>
      <c r="T1066" s="124"/>
      <c r="U1066" s="124"/>
      <c r="V1066" s="124"/>
      <c r="W1066" s="124"/>
      <c r="X1066" s="124"/>
      <c r="Y1066" s="124"/>
      <c r="Z1066" s="124"/>
      <c r="AA1066" s="124"/>
      <c r="AB1066" s="124"/>
      <c r="AC1066" s="124"/>
      <c r="AD1066" s="124"/>
      <c r="AE1066" s="124"/>
      <c r="AF1066" s="124"/>
      <c r="AG1066" s="124"/>
      <c r="AH1066" s="124"/>
      <c r="AI1066" s="124"/>
      <c r="AJ1066" s="124"/>
    </row>
    <row r="1067" spans="1:36" x14ac:dyDescent="0.3">
      <c r="A1067" s="124"/>
      <c r="B1067" s="124"/>
      <c r="C1067" s="124"/>
      <c r="D1067" s="124"/>
      <c r="E1067" s="124"/>
      <c r="F1067" s="124"/>
      <c r="G1067" s="124"/>
      <c r="H1067" s="124"/>
      <c r="I1067" s="124"/>
      <c r="J1067" s="124"/>
      <c r="K1067" s="124"/>
      <c r="L1067" s="124"/>
      <c r="M1067" s="124"/>
      <c r="N1067" s="124"/>
      <c r="O1067" s="124"/>
      <c r="P1067" s="124"/>
      <c r="Q1067" s="124"/>
      <c r="R1067" s="124"/>
      <c r="S1067" s="124"/>
      <c r="T1067" s="124"/>
      <c r="U1067" s="124"/>
      <c r="V1067" s="124"/>
      <c r="W1067" s="124"/>
      <c r="X1067" s="124"/>
      <c r="Y1067" s="124"/>
      <c r="Z1067" s="124"/>
      <c r="AA1067" s="124"/>
      <c r="AB1067" s="124"/>
      <c r="AC1067" s="124"/>
      <c r="AD1067" s="124"/>
      <c r="AE1067" s="124"/>
      <c r="AF1067" s="124"/>
      <c r="AG1067" s="124"/>
      <c r="AH1067" s="124"/>
      <c r="AI1067" s="124"/>
      <c r="AJ1067" s="124"/>
    </row>
    <row r="1068" spans="1:36" x14ac:dyDescent="0.3">
      <c r="A1068" s="124"/>
      <c r="B1068" s="124"/>
      <c r="C1068" s="124"/>
      <c r="D1068" s="124"/>
      <c r="E1068" s="124"/>
      <c r="F1068" s="124"/>
      <c r="G1068" s="124"/>
      <c r="H1068" s="124"/>
      <c r="I1068" s="124"/>
      <c r="J1068" s="124"/>
      <c r="K1068" s="124"/>
      <c r="L1068" s="124"/>
      <c r="M1068" s="124"/>
      <c r="N1068" s="124"/>
      <c r="O1068" s="124"/>
      <c r="P1068" s="124"/>
      <c r="Q1068" s="124"/>
      <c r="R1068" s="124"/>
      <c r="S1068" s="124"/>
      <c r="T1068" s="124"/>
      <c r="U1068" s="124"/>
      <c r="V1068" s="124"/>
      <c r="W1068" s="124"/>
      <c r="X1068" s="124"/>
      <c r="Y1068" s="124"/>
      <c r="Z1068" s="124"/>
      <c r="AA1068" s="124"/>
      <c r="AB1068" s="124"/>
      <c r="AC1068" s="124"/>
      <c r="AD1068" s="124"/>
      <c r="AE1068" s="124"/>
      <c r="AF1068" s="124"/>
      <c r="AG1068" s="124"/>
      <c r="AH1068" s="124"/>
      <c r="AI1068" s="124"/>
      <c r="AJ1068" s="124"/>
    </row>
    <row r="1069" spans="1:36" x14ac:dyDescent="0.3">
      <c r="A1069" s="124"/>
      <c r="B1069" s="124"/>
      <c r="C1069" s="124"/>
      <c r="D1069" s="124"/>
      <c r="E1069" s="124"/>
      <c r="F1069" s="124"/>
      <c r="G1069" s="124"/>
      <c r="H1069" s="124"/>
      <c r="I1069" s="124"/>
      <c r="J1069" s="124"/>
      <c r="K1069" s="124"/>
      <c r="L1069" s="124"/>
      <c r="M1069" s="124"/>
      <c r="N1069" s="124"/>
      <c r="O1069" s="124"/>
      <c r="P1069" s="124"/>
      <c r="Q1069" s="124"/>
      <c r="R1069" s="124"/>
      <c r="S1069" s="124"/>
      <c r="T1069" s="124"/>
      <c r="U1069" s="124"/>
      <c r="V1069" s="124"/>
      <c r="W1069" s="124"/>
      <c r="X1069" s="124"/>
      <c r="Y1069" s="124"/>
      <c r="Z1069" s="124"/>
      <c r="AA1069" s="124"/>
      <c r="AB1069" s="124"/>
      <c r="AC1069" s="124"/>
      <c r="AD1069" s="124"/>
      <c r="AE1069" s="124"/>
      <c r="AF1069" s="124"/>
      <c r="AG1069" s="124"/>
      <c r="AH1069" s="124"/>
      <c r="AI1069" s="124"/>
      <c r="AJ1069" s="124"/>
    </row>
    <row r="1070" spans="1:36" x14ac:dyDescent="0.3">
      <c r="A1070" s="124"/>
      <c r="B1070" s="124"/>
      <c r="C1070" s="124"/>
      <c r="D1070" s="124"/>
      <c r="E1070" s="124"/>
      <c r="F1070" s="124"/>
      <c r="G1070" s="124"/>
      <c r="H1070" s="124"/>
      <c r="I1070" s="124"/>
      <c r="J1070" s="124"/>
      <c r="K1070" s="124"/>
      <c r="L1070" s="124"/>
      <c r="M1070" s="124"/>
      <c r="N1070" s="124"/>
      <c r="O1070" s="124"/>
      <c r="P1070" s="124"/>
      <c r="Q1070" s="124"/>
      <c r="R1070" s="124"/>
      <c r="S1070" s="124"/>
      <c r="T1070" s="124"/>
      <c r="U1070" s="124"/>
      <c r="V1070" s="124"/>
      <c r="W1070" s="124"/>
      <c r="X1070" s="124"/>
      <c r="Y1070" s="124"/>
      <c r="Z1070" s="124"/>
      <c r="AA1070" s="124"/>
      <c r="AB1070" s="124"/>
      <c r="AC1070" s="124"/>
      <c r="AD1070" s="124"/>
      <c r="AE1070" s="124"/>
      <c r="AF1070" s="124"/>
      <c r="AG1070" s="124"/>
      <c r="AH1070" s="124"/>
      <c r="AI1070" s="124"/>
      <c r="AJ1070" s="124"/>
    </row>
    <row r="1071" spans="1:36" x14ac:dyDescent="0.3">
      <c r="A1071" s="124"/>
      <c r="B1071" s="124"/>
      <c r="C1071" s="124"/>
      <c r="D1071" s="124"/>
      <c r="E1071" s="124"/>
      <c r="F1071" s="124"/>
      <c r="G1071" s="124"/>
      <c r="H1071" s="124"/>
      <c r="I1071" s="124"/>
      <c r="J1071" s="124"/>
      <c r="K1071" s="124"/>
      <c r="L1071" s="124"/>
      <c r="M1071" s="124"/>
      <c r="N1071" s="124"/>
      <c r="O1071" s="124"/>
      <c r="P1071" s="124"/>
      <c r="Q1071" s="124"/>
      <c r="R1071" s="124"/>
      <c r="S1071" s="124"/>
      <c r="T1071" s="124"/>
      <c r="U1071" s="124"/>
      <c r="V1071" s="124"/>
      <c r="W1071" s="124"/>
      <c r="X1071" s="124"/>
      <c r="Y1071" s="124"/>
      <c r="Z1071" s="124"/>
      <c r="AA1071" s="124"/>
      <c r="AB1071" s="124"/>
      <c r="AC1071" s="124"/>
      <c r="AD1071" s="124"/>
      <c r="AE1071" s="124"/>
      <c r="AF1071" s="124"/>
      <c r="AG1071" s="124"/>
      <c r="AH1071" s="124"/>
      <c r="AI1071" s="124"/>
      <c r="AJ1071" s="124"/>
    </row>
    <row r="1072" spans="1:36" x14ac:dyDescent="0.3">
      <c r="A1072" s="124"/>
      <c r="B1072" s="124"/>
      <c r="C1072" s="124"/>
      <c r="D1072" s="124"/>
      <c r="E1072" s="124"/>
      <c r="F1072" s="124"/>
      <c r="G1072" s="124"/>
      <c r="H1072" s="124"/>
      <c r="I1072" s="124"/>
      <c r="J1072" s="124"/>
      <c r="K1072" s="124"/>
      <c r="L1072" s="124"/>
      <c r="M1072" s="124"/>
      <c r="N1072" s="124"/>
      <c r="O1072" s="124"/>
      <c r="P1072" s="124"/>
      <c r="Q1072" s="124"/>
      <c r="R1072" s="124"/>
      <c r="S1072" s="124"/>
      <c r="T1072" s="124"/>
      <c r="U1072" s="124"/>
      <c r="V1072" s="124"/>
      <c r="W1072" s="124"/>
      <c r="X1072" s="124"/>
      <c r="Y1072" s="124"/>
      <c r="Z1072" s="124"/>
      <c r="AA1072" s="124"/>
      <c r="AB1072" s="124"/>
      <c r="AC1072" s="124"/>
      <c r="AD1072" s="124"/>
      <c r="AE1072" s="124"/>
      <c r="AF1072" s="124"/>
      <c r="AG1072" s="124"/>
      <c r="AH1072" s="124"/>
      <c r="AI1072" s="124"/>
      <c r="AJ1072" s="124"/>
    </row>
    <row r="1073" spans="1:36" x14ac:dyDescent="0.3">
      <c r="A1073" s="124"/>
      <c r="B1073" s="124"/>
      <c r="C1073" s="124"/>
      <c r="D1073" s="124"/>
      <c r="E1073" s="124"/>
      <c r="F1073" s="124"/>
      <c r="G1073" s="124"/>
      <c r="H1073" s="124"/>
      <c r="I1073" s="124"/>
      <c r="J1073" s="124"/>
      <c r="K1073" s="124"/>
      <c r="L1073" s="124"/>
      <c r="M1073" s="124"/>
      <c r="N1073" s="124"/>
      <c r="O1073" s="124"/>
      <c r="P1073" s="124"/>
      <c r="Q1073" s="124"/>
      <c r="R1073" s="124"/>
      <c r="S1073" s="124"/>
      <c r="T1073" s="124"/>
      <c r="U1073" s="124"/>
      <c r="V1073" s="124"/>
      <c r="W1073" s="124"/>
      <c r="X1073" s="124"/>
      <c r="Y1073" s="124"/>
      <c r="Z1073" s="124"/>
      <c r="AA1073" s="124"/>
      <c r="AB1073" s="124"/>
      <c r="AC1073" s="124"/>
      <c r="AD1073" s="124"/>
      <c r="AE1073" s="124"/>
      <c r="AF1073" s="124"/>
      <c r="AG1073" s="124"/>
      <c r="AH1073" s="124"/>
      <c r="AI1073" s="124"/>
      <c r="AJ1073" s="124"/>
    </row>
    <row r="1074" spans="1:36" x14ac:dyDescent="0.3">
      <c r="A1074" s="124"/>
      <c r="B1074" s="124"/>
      <c r="C1074" s="124"/>
      <c r="D1074" s="124"/>
      <c r="E1074" s="124"/>
      <c r="F1074" s="124"/>
      <c r="G1074" s="124"/>
      <c r="H1074" s="124"/>
      <c r="I1074" s="124"/>
      <c r="J1074" s="124"/>
      <c r="K1074" s="124"/>
      <c r="L1074" s="124"/>
      <c r="M1074" s="124"/>
      <c r="N1074" s="124"/>
      <c r="O1074" s="124"/>
      <c r="P1074" s="124"/>
      <c r="Q1074" s="124"/>
      <c r="R1074" s="124"/>
      <c r="S1074" s="124"/>
      <c r="T1074" s="124"/>
      <c r="U1074" s="124"/>
      <c r="V1074" s="124"/>
      <c r="W1074" s="124"/>
      <c r="X1074" s="124"/>
      <c r="Y1074" s="124"/>
      <c r="Z1074" s="124"/>
      <c r="AA1074" s="124"/>
      <c r="AB1074" s="124"/>
      <c r="AC1074" s="124"/>
      <c r="AD1074" s="124"/>
      <c r="AE1074" s="124"/>
      <c r="AF1074" s="124"/>
      <c r="AG1074" s="124"/>
      <c r="AH1074" s="124"/>
      <c r="AI1074" s="124"/>
      <c r="AJ1074" s="124"/>
    </row>
    <row r="1075" spans="1:36" x14ac:dyDescent="0.3">
      <c r="A1075" s="124"/>
      <c r="B1075" s="124"/>
      <c r="C1075" s="124"/>
      <c r="D1075" s="124"/>
      <c r="E1075" s="124"/>
      <c r="F1075" s="124"/>
      <c r="G1075" s="124"/>
      <c r="H1075" s="124"/>
      <c r="I1075" s="124"/>
      <c r="J1075" s="124"/>
      <c r="K1075" s="124"/>
      <c r="L1075" s="124"/>
      <c r="M1075" s="124"/>
      <c r="N1075" s="124"/>
      <c r="O1075" s="124"/>
      <c r="P1075" s="124"/>
      <c r="Q1075" s="124"/>
      <c r="R1075" s="124"/>
      <c r="S1075" s="124"/>
      <c r="T1075" s="124"/>
      <c r="U1075" s="124"/>
      <c r="V1075" s="124"/>
      <c r="W1075" s="124"/>
      <c r="X1075" s="124"/>
      <c r="Y1075" s="124"/>
      <c r="Z1075" s="124"/>
      <c r="AA1075" s="124"/>
      <c r="AB1075" s="124"/>
      <c r="AC1075" s="124"/>
      <c r="AD1075" s="124"/>
      <c r="AE1075" s="124"/>
      <c r="AF1075" s="124"/>
      <c r="AG1075" s="124"/>
      <c r="AH1075" s="124"/>
      <c r="AI1075" s="124"/>
      <c r="AJ1075" s="124"/>
    </row>
    <row r="1076" spans="1:36" x14ac:dyDescent="0.3">
      <c r="A1076" s="124"/>
      <c r="B1076" s="124"/>
      <c r="C1076" s="124"/>
      <c r="D1076" s="124"/>
      <c r="E1076" s="124"/>
      <c r="F1076" s="124"/>
      <c r="G1076" s="124"/>
      <c r="H1076" s="124"/>
      <c r="I1076" s="124"/>
      <c r="J1076" s="124"/>
      <c r="K1076" s="124"/>
      <c r="L1076" s="124"/>
      <c r="M1076" s="124"/>
      <c r="N1076" s="124"/>
      <c r="O1076" s="124"/>
      <c r="P1076" s="124"/>
      <c r="Q1076" s="124"/>
      <c r="R1076" s="124"/>
      <c r="S1076" s="124"/>
      <c r="T1076" s="124"/>
      <c r="U1076" s="124"/>
      <c r="V1076" s="124"/>
      <c r="W1076" s="124"/>
      <c r="X1076" s="124"/>
      <c r="Y1076" s="124"/>
      <c r="Z1076" s="124"/>
      <c r="AA1076" s="124"/>
      <c r="AB1076" s="124"/>
      <c r="AC1076" s="124"/>
      <c r="AD1076" s="124"/>
      <c r="AE1076" s="124"/>
      <c r="AF1076" s="124"/>
      <c r="AG1076" s="124"/>
      <c r="AH1076" s="124"/>
      <c r="AI1076" s="124"/>
      <c r="AJ1076" s="124"/>
    </row>
    <row r="1077" spans="1:36" x14ac:dyDescent="0.3">
      <c r="A1077" s="124"/>
      <c r="B1077" s="124"/>
      <c r="C1077" s="124"/>
      <c r="D1077" s="124"/>
      <c r="E1077" s="124"/>
      <c r="F1077" s="124"/>
      <c r="G1077" s="124"/>
      <c r="H1077" s="124"/>
      <c r="I1077" s="124"/>
      <c r="J1077" s="124"/>
      <c r="K1077" s="124"/>
      <c r="L1077" s="124"/>
      <c r="M1077" s="124"/>
      <c r="N1077" s="124"/>
      <c r="O1077" s="124"/>
      <c r="P1077" s="124"/>
      <c r="Q1077" s="124"/>
      <c r="R1077" s="124"/>
      <c r="S1077" s="124"/>
      <c r="T1077" s="124"/>
      <c r="U1077" s="124"/>
      <c r="V1077" s="124"/>
      <c r="W1077" s="124"/>
      <c r="X1077" s="124"/>
      <c r="Y1077" s="124"/>
      <c r="Z1077" s="124"/>
      <c r="AA1077" s="124"/>
      <c r="AB1077" s="124"/>
      <c r="AC1077" s="124"/>
      <c r="AD1077" s="124"/>
      <c r="AE1077" s="124"/>
      <c r="AF1077" s="124"/>
      <c r="AG1077" s="124"/>
      <c r="AH1077" s="124"/>
      <c r="AI1077" s="124"/>
      <c r="AJ1077" s="124"/>
    </row>
    <row r="1078" spans="1:36" x14ac:dyDescent="0.3">
      <c r="A1078" s="124"/>
      <c r="B1078" s="124"/>
      <c r="C1078" s="124"/>
      <c r="D1078" s="124"/>
      <c r="E1078" s="124"/>
      <c r="F1078" s="124"/>
      <c r="G1078" s="124"/>
      <c r="H1078" s="124"/>
      <c r="I1078" s="124"/>
      <c r="J1078" s="124"/>
      <c r="K1078" s="124"/>
      <c r="L1078" s="124"/>
      <c r="M1078" s="124"/>
      <c r="N1078" s="124"/>
      <c r="O1078" s="124"/>
      <c r="P1078" s="124"/>
      <c r="Q1078" s="124"/>
      <c r="R1078" s="124"/>
      <c r="S1078" s="124"/>
      <c r="T1078" s="124"/>
      <c r="U1078" s="124"/>
      <c r="V1078" s="124"/>
      <c r="W1078" s="124"/>
      <c r="X1078" s="124"/>
      <c r="Y1078" s="124"/>
      <c r="Z1078" s="124"/>
      <c r="AA1078" s="124"/>
      <c r="AB1078" s="124"/>
      <c r="AC1078" s="124"/>
      <c r="AD1078" s="124"/>
      <c r="AE1078" s="124"/>
      <c r="AF1078" s="124"/>
      <c r="AG1078" s="124"/>
      <c r="AH1078" s="124"/>
      <c r="AI1078" s="124"/>
      <c r="AJ1078" s="124"/>
    </row>
    <row r="1079" spans="1:36" x14ac:dyDescent="0.3">
      <c r="A1079" s="124"/>
      <c r="B1079" s="124"/>
      <c r="C1079" s="124"/>
      <c r="D1079" s="124"/>
      <c r="E1079" s="124"/>
      <c r="F1079" s="124"/>
      <c r="G1079" s="124"/>
      <c r="H1079" s="124"/>
      <c r="I1079" s="124"/>
      <c r="J1079" s="124"/>
      <c r="K1079" s="124"/>
      <c r="L1079" s="124"/>
      <c r="M1079" s="124"/>
      <c r="N1079" s="124"/>
      <c r="O1079" s="124"/>
      <c r="P1079" s="124"/>
      <c r="Q1079" s="124"/>
      <c r="R1079" s="124"/>
      <c r="S1079" s="124"/>
      <c r="T1079" s="124"/>
      <c r="U1079" s="124"/>
      <c r="V1079" s="124"/>
      <c r="W1079" s="124"/>
      <c r="X1079" s="124"/>
      <c r="Y1079" s="124"/>
      <c r="Z1079" s="124"/>
      <c r="AA1079" s="124"/>
      <c r="AB1079" s="124"/>
      <c r="AC1079" s="124"/>
      <c r="AD1079" s="124"/>
      <c r="AE1079" s="124"/>
      <c r="AF1079" s="124"/>
      <c r="AG1079" s="124"/>
      <c r="AH1079" s="124"/>
      <c r="AI1079" s="124"/>
      <c r="AJ1079" s="124"/>
    </row>
    <row r="1080" spans="1:36" x14ac:dyDescent="0.3">
      <c r="A1080" s="124"/>
      <c r="B1080" s="124"/>
      <c r="C1080" s="124"/>
      <c r="D1080" s="124"/>
      <c r="E1080" s="124"/>
      <c r="F1080" s="124"/>
      <c r="G1080" s="124"/>
      <c r="H1080" s="124"/>
      <c r="I1080" s="124"/>
      <c r="J1080" s="124"/>
      <c r="K1080" s="124"/>
      <c r="L1080" s="124"/>
      <c r="M1080" s="124"/>
      <c r="N1080" s="124"/>
      <c r="O1080" s="124"/>
      <c r="P1080" s="124"/>
      <c r="Q1080" s="124"/>
      <c r="R1080" s="124"/>
      <c r="S1080" s="124"/>
      <c r="T1080" s="124"/>
      <c r="U1080" s="124"/>
      <c r="V1080" s="124"/>
      <c r="W1080" s="124"/>
      <c r="X1080" s="124"/>
      <c r="Y1080" s="124"/>
      <c r="Z1080" s="124"/>
      <c r="AA1080" s="124"/>
      <c r="AB1080" s="124"/>
      <c r="AC1080" s="124"/>
      <c r="AD1080" s="124"/>
      <c r="AE1080" s="124"/>
      <c r="AF1080" s="124"/>
      <c r="AG1080" s="124"/>
      <c r="AH1080" s="124"/>
      <c r="AI1080" s="124"/>
      <c r="AJ1080" s="124"/>
    </row>
    <row r="1081" spans="1:36" x14ac:dyDescent="0.3">
      <c r="A1081" s="124"/>
      <c r="B1081" s="124"/>
      <c r="C1081" s="124"/>
      <c r="D1081" s="124"/>
      <c r="E1081" s="124"/>
      <c r="F1081" s="124"/>
      <c r="G1081" s="124"/>
      <c r="H1081" s="124"/>
      <c r="I1081" s="124"/>
      <c r="J1081" s="124"/>
      <c r="K1081" s="124"/>
      <c r="L1081" s="124"/>
      <c r="M1081" s="124"/>
      <c r="N1081" s="124"/>
      <c r="O1081" s="124"/>
      <c r="P1081" s="124"/>
      <c r="Q1081" s="124"/>
      <c r="R1081" s="124"/>
      <c r="S1081" s="124"/>
      <c r="T1081" s="124"/>
      <c r="U1081" s="124"/>
      <c r="V1081" s="124"/>
      <c r="W1081" s="124"/>
      <c r="X1081" s="124"/>
      <c r="Y1081" s="124"/>
      <c r="Z1081" s="124"/>
      <c r="AA1081" s="124"/>
      <c r="AB1081" s="124"/>
      <c r="AC1081" s="124"/>
      <c r="AD1081" s="124"/>
      <c r="AE1081" s="124"/>
      <c r="AF1081" s="124"/>
      <c r="AG1081" s="124"/>
      <c r="AH1081" s="124"/>
      <c r="AI1081" s="124"/>
      <c r="AJ1081" s="124"/>
    </row>
    <row r="1082" spans="1:36" x14ac:dyDescent="0.3">
      <c r="A1082" s="124"/>
      <c r="B1082" s="124"/>
      <c r="C1082" s="124"/>
      <c r="D1082" s="124"/>
      <c r="E1082" s="124"/>
      <c r="F1082" s="124"/>
      <c r="G1082" s="124"/>
      <c r="H1082" s="124"/>
      <c r="I1082" s="124"/>
      <c r="J1082" s="124"/>
      <c r="K1082" s="124"/>
      <c r="L1082" s="124"/>
      <c r="M1082" s="124"/>
      <c r="N1082" s="124"/>
      <c r="O1082" s="124"/>
      <c r="P1082" s="124"/>
      <c r="Q1082" s="124"/>
      <c r="R1082" s="124"/>
      <c r="S1082" s="124"/>
      <c r="T1082" s="124"/>
      <c r="U1082" s="124"/>
      <c r="V1082" s="124"/>
      <c r="W1082" s="124"/>
      <c r="X1082" s="124"/>
      <c r="Y1082" s="124"/>
      <c r="Z1082" s="124"/>
      <c r="AA1082" s="124"/>
      <c r="AB1082" s="124"/>
      <c r="AC1082" s="124"/>
      <c r="AD1082" s="124"/>
      <c r="AE1082" s="124"/>
      <c r="AF1082" s="124"/>
      <c r="AG1082" s="124"/>
      <c r="AH1082" s="124"/>
      <c r="AI1082" s="124"/>
      <c r="AJ1082" s="124"/>
    </row>
    <row r="1083" spans="1:36" x14ac:dyDescent="0.3">
      <c r="A1083" s="124"/>
      <c r="B1083" s="124"/>
      <c r="C1083" s="124"/>
      <c r="D1083" s="124"/>
      <c r="E1083" s="124"/>
      <c r="F1083" s="124"/>
      <c r="G1083" s="124"/>
      <c r="H1083" s="124"/>
      <c r="I1083" s="124"/>
      <c r="J1083" s="124"/>
      <c r="K1083" s="124"/>
      <c r="L1083" s="124"/>
      <c r="M1083" s="124"/>
      <c r="N1083" s="124"/>
      <c r="O1083" s="124"/>
      <c r="P1083" s="124"/>
      <c r="Q1083" s="124"/>
      <c r="R1083" s="124"/>
      <c r="S1083" s="124"/>
      <c r="T1083" s="124"/>
      <c r="U1083" s="124"/>
      <c r="V1083" s="124"/>
      <c r="W1083" s="124"/>
      <c r="X1083" s="124"/>
      <c r="Y1083" s="124"/>
      <c r="Z1083" s="124"/>
      <c r="AA1083" s="124"/>
      <c r="AB1083" s="124"/>
      <c r="AC1083" s="124"/>
      <c r="AD1083" s="124"/>
      <c r="AE1083" s="124"/>
      <c r="AF1083" s="124"/>
      <c r="AG1083" s="124"/>
      <c r="AH1083" s="124"/>
      <c r="AI1083" s="124"/>
      <c r="AJ1083" s="124"/>
    </row>
    <row r="1084" spans="1:36" x14ac:dyDescent="0.3">
      <c r="A1084" s="124"/>
      <c r="B1084" s="124"/>
      <c r="C1084" s="124"/>
      <c r="D1084" s="124"/>
      <c r="E1084" s="124"/>
      <c r="F1084" s="124"/>
      <c r="G1084" s="124"/>
      <c r="H1084" s="124"/>
      <c r="I1084" s="124"/>
      <c r="J1084" s="124"/>
      <c r="K1084" s="124"/>
      <c r="L1084" s="124"/>
      <c r="M1084" s="124"/>
      <c r="N1084" s="124"/>
      <c r="O1084" s="124"/>
      <c r="P1084" s="124"/>
      <c r="Q1084" s="124"/>
      <c r="R1084" s="124"/>
      <c r="S1084" s="124"/>
      <c r="T1084" s="124"/>
      <c r="U1084" s="124"/>
      <c r="V1084" s="124"/>
      <c r="W1084" s="124"/>
      <c r="X1084" s="124"/>
      <c r="Y1084" s="124"/>
      <c r="Z1084" s="124"/>
      <c r="AA1084" s="124"/>
      <c r="AB1084" s="124"/>
      <c r="AC1084" s="124"/>
      <c r="AD1084" s="124"/>
      <c r="AE1084" s="124"/>
      <c r="AF1084" s="124"/>
      <c r="AG1084" s="124"/>
      <c r="AH1084" s="124"/>
      <c r="AI1084" s="124"/>
      <c r="AJ1084" s="124"/>
    </row>
    <row r="1085" spans="1:36" x14ac:dyDescent="0.3">
      <c r="A1085" s="124"/>
      <c r="B1085" s="124"/>
      <c r="C1085" s="124"/>
      <c r="D1085" s="124"/>
      <c r="E1085" s="124"/>
      <c r="F1085" s="124"/>
      <c r="G1085" s="124"/>
      <c r="H1085" s="124"/>
      <c r="I1085" s="124"/>
      <c r="J1085" s="124"/>
      <c r="K1085" s="124"/>
      <c r="L1085" s="124"/>
      <c r="M1085" s="124"/>
      <c r="N1085" s="124"/>
      <c r="O1085" s="124"/>
      <c r="P1085" s="124"/>
      <c r="Q1085" s="124"/>
      <c r="R1085" s="124"/>
      <c r="S1085" s="124"/>
      <c r="T1085" s="124"/>
      <c r="U1085" s="124"/>
      <c r="V1085" s="124"/>
      <c r="W1085" s="124"/>
      <c r="X1085" s="124"/>
      <c r="Y1085" s="124"/>
      <c r="Z1085" s="124"/>
      <c r="AA1085" s="124"/>
      <c r="AB1085" s="124"/>
      <c r="AC1085" s="124"/>
      <c r="AD1085" s="124"/>
      <c r="AE1085" s="124"/>
      <c r="AF1085" s="124"/>
      <c r="AG1085" s="124"/>
      <c r="AH1085" s="124"/>
      <c r="AI1085" s="124"/>
      <c r="AJ1085" s="124"/>
    </row>
    <row r="1086" spans="1:36" x14ac:dyDescent="0.3">
      <c r="A1086" s="124"/>
      <c r="B1086" s="124"/>
      <c r="C1086" s="124"/>
      <c r="D1086" s="124"/>
      <c r="E1086" s="124"/>
      <c r="F1086" s="124"/>
      <c r="G1086" s="124"/>
      <c r="H1086" s="124"/>
      <c r="I1086" s="124"/>
      <c r="J1086" s="124"/>
      <c r="K1086" s="124"/>
      <c r="L1086" s="124"/>
      <c r="M1086" s="124"/>
      <c r="N1086" s="124"/>
      <c r="O1086" s="124"/>
      <c r="P1086" s="124"/>
      <c r="Q1086" s="124"/>
      <c r="R1086" s="124"/>
      <c r="S1086" s="124"/>
      <c r="T1086" s="124"/>
      <c r="U1086" s="124"/>
      <c r="V1086" s="124"/>
      <c r="W1086" s="124"/>
      <c r="X1086" s="124"/>
      <c r="Y1086" s="124"/>
      <c r="Z1086" s="124"/>
      <c r="AA1086" s="124"/>
      <c r="AB1086" s="124"/>
      <c r="AC1086" s="124"/>
      <c r="AD1086" s="124"/>
      <c r="AE1086" s="124"/>
      <c r="AF1086" s="124"/>
      <c r="AG1086" s="124"/>
      <c r="AH1086" s="124"/>
      <c r="AI1086" s="124"/>
      <c r="AJ1086" s="124"/>
    </row>
    <row r="1087" spans="1:36" x14ac:dyDescent="0.3">
      <c r="A1087" s="124"/>
      <c r="B1087" s="124"/>
      <c r="C1087" s="124"/>
      <c r="D1087" s="124"/>
      <c r="E1087" s="124"/>
      <c r="F1087" s="124"/>
      <c r="G1087" s="124"/>
      <c r="H1087" s="124"/>
      <c r="I1087" s="124"/>
      <c r="J1087" s="124"/>
      <c r="K1087" s="124"/>
      <c r="L1087" s="124"/>
      <c r="M1087" s="124"/>
      <c r="N1087" s="124"/>
      <c r="O1087" s="124"/>
      <c r="P1087" s="124"/>
      <c r="Q1087" s="124"/>
      <c r="R1087" s="124"/>
      <c r="S1087" s="124"/>
      <c r="T1087" s="124"/>
      <c r="U1087" s="124"/>
      <c r="V1087" s="124"/>
      <c r="W1087" s="124"/>
      <c r="X1087" s="124"/>
      <c r="Y1087" s="124"/>
      <c r="Z1087" s="124"/>
      <c r="AA1087" s="124"/>
      <c r="AB1087" s="124"/>
      <c r="AC1087" s="124"/>
      <c r="AD1087" s="124"/>
      <c r="AE1087" s="124"/>
      <c r="AF1087" s="124"/>
      <c r="AG1087" s="124"/>
      <c r="AH1087" s="124"/>
      <c r="AI1087" s="124"/>
      <c r="AJ1087" s="124"/>
    </row>
    <row r="1088" spans="1:36" x14ac:dyDescent="0.3">
      <c r="A1088" s="124"/>
      <c r="B1088" s="124"/>
      <c r="C1088" s="124"/>
      <c r="D1088" s="124"/>
      <c r="E1088" s="124"/>
      <c r="F1088" s="124"/>
      <c r="G1088" s="124"/>
      <c r="H1088" s="124"/>
      <c r="I1088" s="124"/>
      <c r="J1088" s="124"/>
      <c r="K1088" s="124"/>
      <c r="L1088" s="124"/>
      <c r="M1088" s="124"/>
      <c r="N1088" s="124"/>
      <c r="O1088" s="124"/>
      <c r="P1088" s="124"/>
      <c r="Q1088" s="124"/>
      <c r="R1088" s="124"/>
      <c r="S1088" s="124"/>
      <c r="T1088" s="124"/>
      <c r="U1088" s="124"/>
      <c r="V1088" s="124"/>
      <c r="W1088" s="124"/>
      <c r="X1088" s="124"/>
      <c r="Y1088" s="124"/>
      <c r="Z1088" s="124"/>
      <c r="AA1088" s="124"/>
      <c r="AB1088" s="124"/>
      <c r="AC1088" s="124"/>
      <c r="AD1088" s="124"/>
      <c r="AE1088" s="124"/>
      <c r="AF1088" s="124"/>
      <c r="AG1088" s="124"/>
      <c r="AH1088" s="124"/>
      <c r="AI1088" s="124"/>
      <c r="AJ1088" s="124"/>
    </row>
    <row r="1089" spans="1:36" x14ac:dyDescent="0.3">
      <c r="A1089" s="124"/>
      <c r="B1089" s="124"/>
      <c r="C1089" s="124"/>
      <c r="D1089" s="124"/>
      <c r="E1089" s="124"/>
      <c r="F1089" s="124"/>
      <c r="G1089" s="124"/>
      <c r="H1089" s="124"/>
      <c r="I1089" s="124"/>
      <c r="J1089" s="124"/>
      <c r="K1089" s="124"/>
      <c r="L1089" s="124"/>
      <c r="M1089" s="124"/>
      <c r="N1089" s="124"/>
      <c r="O1089" s="124"/>
      <c r="P1089" s="124"/>
      <c r="Q1089" s="124"/>
      <c r="R1089" s="124"/>
      <c r="S1089" s="124"/>
      <c r="T1089" s="124"/>
      <c r="U1089" s="124"/>
      <c r="V1089" s="124"/>
      <c r="W1089" s="124"/>
      <c r="X1089" s="124"/>
      <c r="Y1089" s="124"/>
      <c r="Z1089" s="124"/>
      <c r="AA1089" s="124"/>
      <c r="AB1089" s="124"/>
      <c r="AC1089" s="124"/>
      <c r="AD1089" s="124"/>
      <c r="AE1089" s="124"/>
      <c r="AF1089" s="124"/>
      <c r="AG1089" s="124"/>
      <c r="AH1089" s="124"/>
      <c r="AI1089" s="124"/>
      <c r="AJ1089" s="124"/>
    </row>
    <row r="1090" spans="1:36" x14ac:dyDescent="0.3">
      <c r="A1090" s="124"/>
      <c r="B1090" s="124"/>
      <c r="C1090" s="124"/>
      <c r="D1090" s="124"/>
      <c r="E1090" s="124"/>
      <c r="F1090" s="124"/>
      <c r="G1090" s="124"/>
      <c r="H1090" s="124"/>
      <c r="I1090" s="124"/>
      <c r="J1090" s="124"/>
      <c r="K1090" s="124"/>
      <c r="L1090" s="124"/>
      <c r="M1090" s="124"/>
      <c r="N1090" s="124"/>
      <c r="O1090" s="124"/>
      <c r="P1090" s="124"/>
      <c r="Q1090" s="124"/>
      <c r="R1090" s="124"/>
      <c r="S1090" s="124"/>
      <c r="T1090" s="124"/>
      <c r="U1090" s="124"/>
      <c r="V1090" s="124"/>
      <c r="W1090" s="124"/>
      <c r="X1090" s="124"/>
      <c r="Y1090" s="124"/>
      <c r="Z1090" s="124"/>
      <c r="AA1090" s="124"/>
      <c r="AB1090" s="124"/>
      <c r="AC1090" s="124"/>
      <c r="AD1090" s="124"/>
      <c r="AE1090" s="124"/>
      <c r="AF1090" s="124"/>
      <c r="AG1090" s="124"/>
      <c r="AH1090" s="124"/>
      <c r="AI1090" s="124"/>
      <c r="AJ1090" s="124"/>
    </row>
    <row r="1091" spans="1:36" x14ac:dyDescent="0.3">
      <c r="A1091" s="124"/>
      <c r="B1091" s="124"/>
      <c r="C1091" s="124"/>
      <c r="D1091" s="124"/>
      <c r="E1091" s="124"/>
      <c r="F1091" s="124"/>
      <c r="G1091" s="124"/>
      <c r="H1091" s="124"/>
      <c r="I1091" s="124"/>
      <c r="J1091" s="124"/>
      <c r="K1091" s="124"/>
      <c r="L1091" s="124"/>
      <c r="M1091" s="124"/>
      <c r="N1091" s="124"/>
      <c r="O1091" s="124"/>
      <c r="P1091" s="124"/>
      <c r="Q1091" s="124"/>
      <c r="R1091" s="124"/>
      <c r="S1091" s="124"/>
      <c r="T1091" s="124"/>
      <c r="U1091" s="124"/>
      <c r="V1091" s="124"/>
      <c r="W1091" s="124"/>
      <c r="X1091" s="124"/>
      <c r="Y1091" s="124"/>
      <c r="Z1091" s="124"/>
      <c r="AA1091" s="124"/>
      <c r="AB1091" s="124"/>
      <c r="AC1091" s="124"/>
      <c r="AD1091" s="124"/>
      <c r="AE1091" s="124"/>
      <c r="AF1091" s="124"/>
      <c r="AG1091" s="124"/>
      <c r="AH1091" s="124"/>
      <c r="AI1091" s="124"/>
      <c r="AJ1091" s="124"/>
    </row>
    <row r="1092" spans="1:36" x14ac:dyDescent="0.3">
      <c r="A1092" s="124"/>
      <c r="B1092" s="124"/>
      <c r="C1092" s="124"/>
      <c r="D1092" s="124"/>
      <c r="E1092" s="124"/>
      <c r="F1092" s="124"/>
      <c r="G1092" s="124"/>
      <c r="H1092" s="124"/>
      <c r="I1092" s="124"/>
      <c r="J1092" s="124"/>
      <c r="K1092" s="124"/>
      <c r="L1092" s="124"/>
      <c r="M1092" s="124"/>
      <c r="N1092" s="124"/>
      <c r="O1092" s="124"/>
      <c r="P1092" s="124"/>
    </row>
  </sheetData>
  <autoFilter ref="A7:O80" xr:uid="{FED1F03C-B054-4304-B699-C14161CBF956}">
    <sortState xmlns:xlrd2="http://schemas.microsoft.com/office/spreadsheetml/2017/richdata2" ref="A19:O56">
      <sortCondition ref="B7:B80"/>
    </sortState>
  </autoFilter>
  <mergeCells count="2">
    <mergeCell ref="C4:L4"/>
    <mergeCell ref="C1:L2"/>
  </mergeCells>
  <dataValidations count="1">
    <dataValidation allowBlank="1" showInputMessage="1" showErrorMessage="1" prompt="Entrez la quantité en stock de chaque article dans cette colonne" sqref="L8:M8" xr:uid="{D932A25E-D63E-49B9-979B-E3FCAD9FBCF9}"/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J221"/>
  <sheetViews>
    <sheetView topLeftCell="A185" workbookViewId="0">
      <selection activeCell="D203" sqref="D203"/>
    </sheetView>
  </sheetViews>
  <sheetFormatPr baseColWidth="10" defaultRowHeight="14.4" x14ac:dyDescent="0.3"/>
  <cols>
    <col min="1" max="2" width="26.5546875" customWidth="1"/>
    <col min="3" max="3" width="51" bestFit="1" customWidth="1"/>
    <col min="4" max="6" width="26.5546875" customWidth="1"/>
  </cols>
  <sheetData>
    <row r="2" spans="1:6" x14ac:dyDescent="0.3">
      <c r="A2" s="299" t="s">
        <v>1055</v>
      </c>
      <c r="B2" s="299"/>
      <c r="C2" s="6" t="s">
        <v>0</v>
      </c>
      <c r="D2" s="7" t="s">
        <v>1157</v>
      </c>
      <c r="E2" s="7" t="s">
        <v>1841</v>
      </c>
      <c r="F2" s="7" t="s">
        <v>1842</v>
      </c>
    </row>
    <row r="3" spans="1:6" ht="18.75" customHeight="1" x14ac:dyDescent="0.3">
      <c r="A3" s="123" t="s">
        <v>2324</v>
      </c>
      <c r="B3" s="266" t="s">
        <v>2325</v>
      </c>
      <c r="C3" s="267" t="s">
        <v>1780</v>
      </c>
      <c r="D3" s="268"/>
      <c r="E3" s="278">
        <v>1</v>
      </c>
      <c r="F3" s="123" t="s">
        <v>1969</v>
      </c>
    </row>
    <row r="4" spans="1:6" ht="18.75" customHeight="1" x14ac:dyDescent="0.3">
      <c r="A4" s="123" t="s">
        <v>2326</v>
      </c>
      <c r="B4" s="266" t="s">
        <v>2327</v>
      </c>
      <c r="C4" s="267" t="s">
        <v>1781</v>
      </c>
      <c r="D4" s="268"/>
      <c r="E4" s="278">
        <v>1</v>
      </c>
      <c r="F4" s="123" t="s">
        <v>1969</v>
      </c>
    </row>
    <row r="5" spans="1:6" x14ac:dyDescent="0.3">
      <c r="A5" s="123" t="s">
        <v>2328</v>
      </c>
      <c r="B5" s="266" t="s">
        <v>2333</v>
      </c>
      <c r="C5" s="123" t="s">
        <v>1782</v>
      </c>
      <c r="D5" s="268"/>
      <c r="E5" s="278">
        <v>1</v>
      </c>
      <c r="F5" s="123" t="s">
        <v>1969</v>
      </c>
    </row>
    <row r="6" spans="1:6" x14ac:dyDescent="0.3">
      <c r="A6" s="123" t="s">
        <v>2329</v>
      </c>
      <c r="B6" s="266" t="s">
        <v>2332</v>
      </c>
      <c r="C6" s="123" t="s">
        <v>1783</v>
      </c>
      <c r="D6" s="123"/>
      <c r="E6" s="123">
        <v>1</v>
      </c>
      <c r="F6" s="123" t="s">
        <v>1969</v>
      </c>
    </row>
    <row r="7" spans="1:6" x14ac:dyDescent="0.3">
      <c r="A7" s="123" t="s">
        <v>2330</v>
      </c>
      <c r="B7" s="266" t="s">
        <v>2334</v>
      </c>
      <c r="C7" s="123" t="s">
        <v>1784</v>
      </c>
      <c r="D7" s="123"/>
      <c r="E7" s="123">
        <v>1</v>
      </c>
      <c r="F7" s="123" t="s">
        <v>1969</v>
      </c>
    </row>
    <row r="8" spans="1:6" x14ac:dyDescent="0.3">
      <c r="A8" s="123" t="s">
        <v>2331</v>
      </c>
      <c r="B8" s="266" t="s">
        <v>2335</v>
      </c>
      <c r="C8" s="123" t="s">
        <v>1785</v>
      </c>
      <c r="D8" s="123" t="s">
        <v>1834</v>
      </c>
      <c r="E8" s="123">
        <v>1</v>
      </c>
      <c r="F8" s="123" t="s">
        <v>1969</v>
      </c>
    </row>
    <row r="9" spans="1:6" x14ac:dyDescent="0.3">
      <c r="A9" s="123" t="s">
        <v>2336</v>
      </c>
      <c r="B9" s="266" t="s">
        <v>2337</v>
      </c>
      <c r="C9" s="123" t="s">
        <v>1925</v>
      </c>
      <c r="D9" s="123" t="s">
        <v>1927</v>
      </c>
      <c r="E9" s="123">
        <v>1</v>
      </c>
      <c r="F9" s="123" t="s">
        <v>1969</v>
      </c>
    </row>
    <row r="10" spans="1:6" x14ac:dyDescent="0.3">
      <c r="A10" s="123" t="s">
        <v>2338</v>
      </c>
      <c r="B10" s="266" t="s">
        <v>2339</v>
      </c>
      <c r="C10" s="123" t="s">
        <v>1926</v>
      </c>
      <c r="D10" s="123"/>
      <c r="E10" s="123">
        <v>1</v>
      </c>
      <c r="F10" s="123" t="s">
        <v>1969</v>
      </c>
    </row>
    <row r="11" spans="1:6" x14ac:dyDescent="0.3">
      <c r="A11" s="123" t="s">
        <v>2340</v>
      </c>
      <c r="B11" s="266" t="s">
        <v>2341</v>
      </c>
      <c r="C11" s="123" t="s">
        <v>1924</v>
      </c>
      <c r="D11" s="123" t="s">
        <v>1974</v>
      </c>
      <c r="E11" s="123">
        <v>1</v>
      </c>
      <c r="F11" s="123" t="s">
        <v>1969</v>
      </c>
    </row>
    <row r="12" spans="1:6" x14ac:dyDescent="0.3">
      <c r="A12" s="123" t="s">
        <v>2342</v>
      </c>
      <c r="B12" s="266" t="s">
        <v>2343</v>
      </c>
      <c r="C12" s="123" t="s">
        <v>1786</v>
      </c>
      <c r="D12" s="123"/>
      <c r="E12" s="123">
        <v>1</v>
      </c>
      <c r="F12" s="123" t="s">
        <v>1969</v>
      </c>
    </row>
    <row r="13" spans="1:6" x14ac:dyDescent="0.3">
      <c r="A13" s="123" t="s">
        <v>2344</v>
      </c>
      <c r="B13" s="266" t="s">
        <v>2345</v>
      </c>
      <c r="C13" s="123" t="s">
        <v>1903</v>
      </c>
      <c r="D13" s="123" t="s">
        <v>1975</v>
      </c>
      <c r="E13" s="123">
        <v>1</v>
      </c>
      <c r="F13" s="123" t="s">
        <v>1969</v>
      </c>
    </row>
    <row r="14" spans="1:6" x14ac:dyDescent="0.3">
      <c r="A14" s="123" t="s">
        <v>2346</v>
      </c>
      <c r="B14" s="266" t="s">
        <v>2349</v>
      </c>
      <c r="C14" s="123" t="s">
        <v>1787</v>
      </c>
      <c r="D14" s="123"/>
      <c r="E14" s="123">
        <v>16</v>
      </c>
      <c r="F14" s="123" t="s">
        <v>1969</v>
      </c>
    </row>
    <row r="15" spans="1:6" x14ac:dyDescent="0.3">
      <c r="A15" s="123" t="s">
        <v>2347</v>
      </c>
      <c r="B15" s="266" t="s">
        <v>2350</v>
      </c>
      <c r="C15" s="123" t="s">
        <v>1856</v>
      </c>
      <c r="D15" s="123"/>
      <c r="E15" s="123">
        <v>1</v>
      </c>
      <c r="F15" s="123" t="s">
        <v>1969</v>
      </c>
    </row>
    <row r="16" spans="1:6" x14ac:dyDescent="0.3">
      <c r="A16" s="123" t="s">
        <v>2348</v>
      </c>
      <c r="B16" s="266" t="s">
        <v>2351</v>
      </c>
      <c r="C16" s="123" t="s">
        <v>1896</v>
      </c>
      <c r="D16" s="123"/>
      <c r="E16" s="123">
        <v>1</v>
      </c>
      <c r="F16" s="123" t="s">
        <v>1969</v>
      </c>
    </row>
    <row r="17" spans="1:6" x14ac:dyDescent="0.3">
      <c r="A17" s="123" t="s">
        <v>2352</v>
      </c>
      <c r="B17" s="266" t="s">
        <v>2367</v>
      </c>
      <c r="C17" s="123" t="s">
        <v>1897</v>
      </c>
      <c r="D17" s="123"/>
      <c r="E17" s="123">
        <v>1</v>
      </c>
      <c r="F17" s="123" t="s">
        <v>1969</v>
      </c>
    </row>
    <row r="18" spans="1:6" x14ac:dyDescent="0.3">
      <c r="A18" s="123" t="s">
        <v>2353</v>
      </c>
      <c r="B18" s="266" t="s">
        <v>2368</v>
      </c>
      <c r="C18" s="123" t="s">
        <v>1898</v>
      </c>
      <c r="D18" s="123"/>
      <c r="E18" s="123">
        <v>1</v>
      </c>
      <c r="F18" s="123" t="s">
        <v>1969</v>
      </c>
    </row>
    <row r="19" spans="1:6" x14ac:dyDescent="0.3">
      <c r="A19" s="123" t="s">
        <v>2354</v>
      </c>
      <c r="B19" s="266" t="s">
        <v>2369</v>
      </c>
      <c r="C19" s="123" t="s">
        <v>1966</v>
      </c>
      <c r="D19" s="123"/>
      <c r="E19" s="123">
        <v>1</v>
      </c>
      <c r="F19" s="123" t="s">
        <v>1964</v>
      </c>
    </row>
    <row r="20" spans="1:6" x14ac:dyDescent="0.3">
      <c r="A20" s="123" t="s">
        <v>2355</v>
      </c>
      <c r="B20" s="266" t="s">
        <v>2370</v>
      </c>
      <c r="C20" s="123" t="s">
        <v>1967</v>
      </c>
      <c r="D20" s="123"/>
      <c r="E20" s="123">
        <v>1</v>
      </c>
      <c r="F20" s="123" t="s">
        <v>1964</v>
      </c>
    </row>
    <row r="21" spans="1:6" x14ac:dyDescent="0.3">
      <c r="A21" s="123" t="s">
        <v>2356</v>
      </c>
      <c r="B21" s="266" t="s">
        <v>2371</v>
      </c>
      <c r="C21" s="123" t="s">
        <v>1795</v>
      </c>
      <c r="D21" s="123"/>
      <c r="E21" s="123">
        <v>1</v>
      </c>
      <c r="F21" s="123" t="s">
        <v>1969</v>
      </c>
    </row>
    <row r="22" spans="1:6" x14ac:dyDescent="0.3">
      <c r="A22" s="123" t="s">
        <v>2357</v>
      </c>
      <c r="B22" s="266" t="s">
        <v>2372</v>
      </c>
      <c r="C22" s="123" t="s">
        <v>1796</v>
      </c>
      <c r="D22" s="123"/>
      <c r="E22" s="123">
        <v>1</v>
      </c>
      <c r="F22" s="123" t="s">
        <v>1969</v>
      </c>
    </row>
    <row r="23" spans="1:6" x14ac:dyDescent="0.3">
      <c r="A23" s="123" t="s">
        <v>2358</v>
      </c>
      <c r="B23" s="266" t="s">
        <v>2373</v>
      </c>
      <c r="C23" s="123" t="s">
        <v>1797</v>
      </c>
      <c r="D23" s="123"/>
      <c r="E23" s="123">
        <v>1</v>
      </c>
      <c r="F23" s="123" t="s">
        <v>1969</v>
      </c>
    </row>
    <row r="24" spans="1:6" x14ac:dyDescent="0.3">
      <c r="A24" s="123" t="s">
        <v>2359</v>
      </c>
      <c r="B24" s="266" t="s">
        <v>2374</v>
      </c>
      <c r="C24" s="123" t="s">
        <v>1788</v>
      </c>
      <c r="D24" s="123"/>
      <c r="E24" s="123">
        <v>1</v>
      </c>
      <c r="F24" s="123" t="s">
        <v>1969</v>
      </c>
    </row>
    <row r="25" spans="1:6" x14ac:dyDescent="0.3">
      <c r="A25" s="123" t="s">
        <v>2360</v>
      </c>
      <c r="B25" s="266" t="s">
        <v>2375</v>
      </c>
      <c r="C25" s="123" t="s">
        <v>1789</v>
      </c>
      <c r="D25" s="123"/>
      <c r="E25" s="123">
        <v>1</v>
      </c>
      <c r="F25" s="123" t="s">
        <v>1969</v>
      </c>
    </row>
    <row r="26" spans="1:6" x14ac:dyDescent="0.3">
      <c r="A26" s="123" t="s">
        <v>2361</v>
      </c>
      <c r="B26" s="266" t="s">
        <v>2376</v>
      </c>
      <c r="C26" s="123" t="s">
        <v>1790</v>
      </c>
      <c r="D26" s="123"/>
      <c r="E26" s="123">
        <v>1</v>
      </c>
      <c r="F26" s="123" t="s">
        <v>1969</v>
      </c>
    </row>
    <row r="27" spans="1:6" x14ac:dyDescent="0.3">
      <c r="A27" s="123" t="s">
        <v>2362</v>
      </c>
      <c r="B27" s="266" t="s">
        <v>2377</v>
      </c>
      <c r="C27" s="123" t="s">
        <v>1791</v>
      </c>
      <c r="D27" s="123"/>
      <c r="E27" s="123">
        <v>1</v>
      </c>
      <c r="F27" s="123" t="s">
        <v>1969</v>
      </c>
    </row>
    <row r="28" spans="1:6" x14ac:dyDescent="0.3">
      <c r="A28" s="123" t="s">
        <v>2363</v>
      </c>
      <c r="B28" s="266" t="s">
        <v>2378</v>
      </c>
      <c r="C28" s="123" t="s">
        <v>1792</v>
      </c>
      <c r="D28" s="123"/>
      <c r="E28" s="123">
        <v>1</v>
      </c>
      <c r="F28" s="123" t="s">
        <v>1969</v>
      </c>
    </row>
    <row r="29" spans="1:6" x14ac:dyDescent="0.3">
      <c r="A29" s="123" t="s">
        <v>2364</v>
      </c>
      <c r="B29" s="266" t="s">
        <v>2379</v>
      </c>
      <c r="C29" s="123" t="s">
        <v>1793</v>
      </c>
      <c r="D29" s="123"/>
      <c r="E29" s="123">
        <v>1</v>
      </c>
      <c r="F29" s="123" t="s">
        <v>1969</v>
      </c>
    </row>
    <row r="30" spans="1:6" x14ac:dyDescent="0.3">
      <c r="A30" s="123" t="s">
        <v>2365</v>
      </c>
      <c r="B30" s="266" t="s">
        <v>2380</v>
      </c>
      <c r="C30" s="123" t="s">
        <v>1794</v>
      </c>
      <c r="D30" s="123"/>
      <c r="E30" s="123">
        <v>1</v>
      </c>
      <c r="F30" s="123" t="s">
        <v>1969</v>
      </c>
    </row>
    <row r="31" spans="1:6" x14ac:dyDescent="0.3">
      <c r="A31" s="123" t="s">
        <v>2366</v>
      </c>
      <c r="B31" s="266" t="s">
        <v>2381</v>
      </c>
      <c r="C31" s="123" t="s">
        <v>1990</v>
      </c>
      <c r="D31" s="123"/>
      <c r="E31" s="123">
        <v>1</v>
      </c>
      <c r="F31" s="123" t="s">
        <v>1991</v>
      </c>
    </row>
    <row r="32" spans="1:6" x14ac:dyDescent="0.3">
      <c r="A32" s="123" t="s">
        <v>2398</v>
      </c>
      <c r="B32" s="266" t="s">
        <v>2382</v>
      </c>
      <c r="C32" s="123" t="s">
        <v>1884</v>
      </c>
      <c r="D32" s="123"/>
      <c r="E32" s="123">
        <v>1</v>
      </c>
      <c r="F32" s="123" t="s">
        <v>1969</v>
      </c>
    </row>
    <row r="33" spans="1:6" x14ac:dyDescent="0.3">
      <c r="A33" s="123" t="s">
        <v>2383</v>
      </c>
      <c r="B33" s="266" t="s">
        <v>2399</v>
      </c>
      <c r="C33" s="123" t="s">
        <v>1871</v>
      </c>
      <c r="D33" s="123" t="s">
        <v>1935</v>
      </c>
      <c r="E33" s="123">
        <v>1</v>
      </c>
      <c r="F33" s="123" t="s">
        <v>1969</v>
      </c>
    </row>
    <row r="34" spans="1:6" x14ac:dyDescent="0.3">
      <c r="A34" s="123" t="s">
        <v>2384</v>
      </c>
      <c r="B34" s="266" t="s">
        <v>2400</v>
      </c>
      <c r="C34" s="123" t="s">
        <v>1872</v>
      </c>
      <c r="D34" s="123" t="s">
        <v>1935</v>
      </c>
      <c r="E34" s="123">
        <v>1</v>
      </c>
      <c r="F34" s="123" t="s">
        <v>1969</v>
      </c>
    </row>
    <row r="35" spans="1:6" x14ac:dyDescent="0.3">
      <c r="A35" s="123" t="s">
        <v>2385</v>
      </c>
      <c r="B35" s="266" t="s">
        <v>2401</v>
      </c>
      <c r="C35" s="123" t="s">
        <v>1873</v>
      </c>
      <c r="D35" s="123" t="s">
        <v>1935</v>
      </c>
      <c r="E35" s="123">
        <v>1</v>
      </c>
      <c r="F35" s="123" t="s">
        <v>1969</v>
      </c>
    </row>
    <row r="36" spans="1:6" x14ac:dyDescent="0.3">
      <c r="A36" s="123" t="s">
        <v>2386</v>
      </c>
      <c r="B36" s="266" t="s">
        <v>2402</v>
      </c>
      <c r="C36" s="123" t="s">
        <v>1874</v>
      </c>
      <c r="D36" s="123" t="s">
        <v>1935</v>
      </c>
      <c r="E36" s="123">
        <v>1</v>
      </c>
      <c r="F36" s="123" t="s">
        <v>1969</v>
      </c>
    </row>
    <row r="37" spans="1:6" x14ac:dyDescent="0.3">
      <c r="A37" s="123" t="s">
        <v>2387</v>
      </c>
      <c r="B37" s="266" t="s">
        <v>2403</v>
      </c>
      <c r="C37" s="123" t="s">
        <v>1875</v>
      </c>
      <c r="D37" s="123" t="s">
        <v>1935</v>
      </c>
      <c r="E37" s="123">
        <v>1</v>
      </c>
      <c r="F37" s="123" t="s">
        <v>1969</v>
      </c>
    </row>
    <row r="38" spans="1:6" x14ac:dyDescent="0.3">
      <c r="A38" s="123" t="s">
        <v>2388</v>
      </c>
      <c r="B38" s="266" t="s">
        <v>2404</v>
      </c>
      <c r="C38" s="123" t="s">
        <v>1912</v>
      </c>
      <c r="D38" s="123"/>
      <c r="E38" s="123">
        <v>1</v>
      </c>
      <c r="F38" s="123" t="s">
        <v>1969</v>
      </c>
    </row>
    <row r="39" spans="1:6" x14ac:dyDescent="0.3">
      <c r="A39" s="123" t="s">
        <v>2389</v>
      </c>
      <c r="B39" s="266" t="s">
        <v>2405</v>
      </c>
      <c r="C39" s="123" t="s">
        <v>1912</v>
      </c>
      <c r="D39" s="123"/>
      <c r="E39" s="123">
        <v>1</v>
      </c>
      <c r="F39" s="123" t="s">
        <v>1969</v>
      </c>
    </row>
    <row r="40" spans="1:6" x14ac:dyDescent="0.3">
      <c r="A40" s="123" t="s">
        <v>2390</v>
      </c>
      <c r="B40" s="266" t="s">
        <v>2406</v>
      </c>
      <c r="C40" s="123" t="s">
        <v>1857</v>
      </c>
      <c r="D40" s="123"/>
      <c r="E40" s="123">
        <v>1</v>
      </c>
      <c r="F40" s="123" t="s">
        <v>1969</v>
      </c>
    </row>
    <row r="41" spans="1:6" x14ac:dyDescent="0.3">
      <c r="A41" s="123" t="s">
        <v>2391</v>
      </c>
      <c r="B41" s="266" t="s">
        <v>2407</v>
      </c>
      <c r="C41" s="123" t="s">
        <v>1858</v>
      </c>
      <c r="D41" s="123"/>
      <c r="E41" s="123">
        <v>1</v>
      </c>
      <c r="F41" s="123" t="s">
        <v>1969</v>
      </c>
    </row>
    <row r="42" spans="1:6" x14ac:dyDescent="0.3">
      <c r="A42" s="123" t="s">
        <v>2392</v>
      </c>
      <c r="B42" s="266" t="s">
        <v>2408</v>
      </c>
      <c r="C42" s="123" t="s">
        <v>1859</v>
      </c>
      <c r="D42" s="123"/>
      <c r="E42" s="123">
        <v>1</v>
      </c>
      <c r="F42" s="123" t="s">
        <v>1969</v>
      </c>
    </row>
    <row r="43" spans="1:6" x14ac:dyDescent="0.3">
      <c r="A43" s="123" t="s">
        <v>2393</v>
      </c>
      <c r="B43" s="266" t="s">
        <v>2409</v>
      </c>
      <c r="C43" s="123" t="s">
        <v>1860</v>
      </c>
      <c r="D43" s="123"/>
      <c r="E43" s="123">
        <v>1</v>
      </c>
      <c r="F43" s="123" t="s">
        <v>1969</v>
      </c>
    </row>
    <row r="44" spans="1:6" x14ac:dyDescent="0.3">
      <c r="A44" s="123" t="s">
        <v>2394</v>
      </c>
      <c r="B44" s="266" t="s">
        <v>2410</v>
      </c>
      <c r="C44" s="123" t="s">
        <v>1861</v>
      </c>
      <c r="D44" s="123"/>
      <c r="E44" s="123">
        <v>1</v>
      </c>
      <c r="F44" s="123" t="s">
        <v>1969</v>
      </c>
    </row>
    <row r="45" spans="1:6" x14ac:dyDescent="0.3">
      <c r="A45" s="123" t="s">
        <v>2395</v>
      </c>
      <c r="B45" s="266" t="s">
        <v>2411</v>
      </c>
      <c r="C45" s="123" t="s">
        <v>1862</v>
      </c>
      <c r="D45" s="123"/>
      <c r="E45" s="123">
        <v>1</v>
      </c>
      <c r="F45" s="123" t="s">
        <v>1969</v>
      </c>
    </row>
    <row r="46" spans="1:6" x14ac:dyDescent="0.3">
      <c r="A46" s="123" t="s">
        <v>2396</v>
      </c>
      <c r="B46" s="266" t="s">
        <v>2412</v>
      </c>
      <c r="C46" s="123" t="s">
        <v>1863</v>
      </c>
      <c r="D46" s="123"/>
      <c r="E46" s="123">
        <v>1</v>
      </c>
      <c r="F46" s="123" t="s">
        <v>1969</v>
      </c>
    </row>
    <row r="47" spans="1:6" x14ac:dyDescent="0.3">
      <c r="A47" s="123" t="s">
        <v>2397</v>
      </c>
      <c r="B47" s="266" t="s">
        <v>2413</v>
      </c>
      <c r="C47" s="123" t="s">
        <v>1864</v>
      </c>
      <c r="D47" s="123"/>
      <c r="E47" s="123">
        <v>1</v>
      </c>
      <c r="F47" s="123" t="s">
        <v>1969</v>
      </c>
    </row>
    <row r="48" spans="1:6" x14ac:dyDescent="0.3">
      <c r="A48" s="123" t="s">
        <v>2414</v>
      </c>
      <c r="B48" s="266" t="s">
        <v>2429</v>
      </c>
      <c r="C48" s="123" t="s">
        <v>1865</v>
      </c>
      <c r="D48" s="123"/>
      <c r="E48" s="123">
        <v>1</v>
      </c>
      <c r="F48" s="123" t="s">
        <v>1969</v>
      </c>
    </row>
    <row r="49" spans="1:6" x14ac:dyDescent="0.3">
      <c r="A49" s="123" t="s">
        <v>2415</v>
      </c>
      <c r="B49" s="266" t="s">
        <v>2430</v>
      </c>
      <c r="C49" s="123" t="s">
        <v>1866</v>
      </c>
      <c r="D49" s="123"/>
      <c r="E49" s="123">
        <v>1</v>
      </c>
      <c r="F49" s="123" t="s">
        <v>1969</v>
      </c>
    </row>
    <row r="50" spans="1:6" x14ac:dyDescent="0.3">
      <c r="A50" s="123" t="s">
        <v>2416</v>
      </c>
      <c r="B50" s="266" t="s">
        <v>2431</v>
      </c>
      <c r="C50" s="123" t="s">
        <v>1867</v>
      </c>
      <c r="D50" s="123"/>
      <c r="E50" s="123">
        <v>1</v>
      </c>
      <c r="F50" s="123" t="s">
        <v>1969</v>
      </c>
    </row>
    <row r="51" spans="1:6" x14ac:dyDescent="0.3">
      <c r="A51" s="123" t="s">
        <v>2417</v>
      </c>
      <c r="B51" s="266" t="s">
        <v>2432</v>
      </c>
      <c r="C51" s="123" t="s">
        <v>1868</v>
      </c>
      <c r="D51" s="123"/>
      <c r="E51" s="123">
        <v>1</v>
      </c>
      <c r="F51" s="123" t="s">
        <v>1969</v>
      </c>
    </row>
    <row r="52" spans="1:6" x14ac:dyDescent="0.3">
      <c r="A52" s="123" t="s">
        <v>2418</v>
      </c>
      <c r="B52" s="266" t="s">
        <v>2433</v>
      </c>
      <c r="C52" s="123" t="s">
        <v>1803</v>
      </c>
      <c r="D52" s="123"/>
      <c r="E52" s="123">
        <v>1</v>
      </c>
      <c r="F52" s="123" t="s">
        <v>1969</v>
      </c>
    </row>
    <row r="53" spans="1:6" x14ac:dyDescent="0.3">
      <c r="A53" s="123" t="s">
        <v>2419</v>
      </c>
      <c r="B53" s="266" t="s">
        <v>2434</v>
      </c>
      <c r="C53" s="123" t="s">
        <v>1804</v>
      </c>
      <c r="D53" s="123"/>
      <c r="E53" s="123">
        <v>1</v>
      </c>
      <c r="F53" s="123" t="s">
        <v>1969</v>
      </c>
    </row>
    <row r="54" spans="1:6" x14ac:dyDescent="0.3">
      <c r="A54" s="123" t="s">
        <v>2420</v>
      </c>
      <c r="B54" s="266" t="s">
        <v>2435</v>
      </c>
      <c r="C54" s="123" t="s">
        <v>1798</v>
      </c>
      <c r="D54" s="123"/>
      <c r="E54" s="123">
        <v>1</v>
      </c>
      <c r="F54" s="123" t="s">
        <v>1969</v>
      </c>
    </row>
    <row r="55" spans="1:6" x14ac:dyDescent="0.3">
      <c r="A55" s="123" t="s">
        <v>2421</v>
      </c>
      <c r="B55" s="266" t="s">
        <v>2436</v>
      </c>
      <c r="C55" s="123" t="s">
        <v>1799</v>
      </c>
      <c r="D55" s="123"/>
      <c r="E55" s="123">
        <v>1</v>
      </c>
      <c r="F55" s="123" t="s">
        <v>1969</v>
      </c>
    </row>
    <row r="56" spans="1:6" x14ac:dyDescent="0.3">
      <c r="A56" s="123" t="s">
        <v>2422</v>
      </c>
      <c r="B56" s="266" t="s">
        <v>2437</v>
      </c>
      <c r="C56" s="123" t="s">
        <v>1800</v>
      </c>
      <c r="D56" s="123"/>
      <c r="E56" s="123">
        <v>1</v>
      </c>
      <c r="F56" s="123" t="s">
        <v>1969</v>
      </c>
    </row>
    <row r="57" spans="1:6" x14ac:dyDescent="0.3">
      <c r="A57" s="123" t="s">
        <v>2423</v>
      </c>
      <c r="B57" s="266" t="s">
        <v>2438</v>
      </c>
      <c r="C57" s="123" t="s">
        <v>1801</v>
      </c>
      <c r="D57" s="123"/>
      <c r="E57" s="123">
        <v>1</v>
      </c>
      <c r="F57" s="123" t="s">
        <v>1969</v>
      </c>
    </row>
    <row r="58" spans="1:6" x14ac:dyDescent="0.3">
      <c r="A58" s="123" t="s">
        <v>2424</v>
      </c>
      <c r="B58" s="266" t="s">
        <v>2439</v>
      </c>
      <c r="C58" s="123" t="s">
        <v>1802</v>
      </c>
      <c r="D58" s="123"/>
      <c r="E58" s="123">
        <v>1</v>
      </c>
      <c r="F58" s="123" t="s">
        <v>1969</v>
      </c>
    </row>
    <row r="59" spans="1:6" x14ac:dyDescent="0.3">
      <c r="A59" s="123" t="s">
        <v>2425</v>
      </c>
      <c r="B59" s="266" t="s">
        <v>2440</v>
      </c>
      <c r="C59" s="123" t="s">
        <v>2033</v>
      </c>
      <c r="D59" s="123"/>
      <c r="E59" s="123">
        <v>1</v>
      </c>
      <c r="F59" s="123" t="s">
        <v>2029</v>
      </c>
    </row>
    <row r="60" spans="1:6" x14ac:dyDescent="0.3">
      <c r="A60" s="123" t="s">
        <v>2426</v>
      </c>
      <c r="B60" s="266" t="s">
        <v>2441</v>
      </c>
      <c r="C60" s="123" t="s">
        <v>2034</v>
      </c>
      <c r="D60" s="123"/>
      <c r="E60" s="123">
        <v>1</v>
      </c>
      <c r="F60" s="123" t="s">
        <v>2029</v>
      </c>
    </row>
    <row r="61" spans="1:6" x14ac:dyDescent="0.3">
      <c r="A61" s="123" t="s">
        <v>2427</v>
      </c>
      <c r="B61" s="266" t="s">
        <v>2442</v>
      </c>
      <c r="C61" s="123" t="s">
        <v>2035</v>
      </c>
      <c r="D61" s="123"/>
      <c r="E61" s="123">
        <v>1</v>
      </c>
      <c r="F61" s="123" t="s">
        <v>2029</v>
      </c>
    </row>
    <row r="62" spans="1:6" x14ac:dyDescent="0.3">
      <c r="A62" s="123" t="s">
        <v>2428</v>
      </c>
      <c r="B62" s="266" t="s">
        <v>2443</v>
      </c>
      <c r="C62" s="123" t="s">
        <v>2036</v>
      </c>
      <c r="D62" s="123"/>
      <c r="E62" s="123">
        <v>1</v>
      </c>
      <c r="F62" s="123" t="s">
        <v>2029</v>
      </c>
    </row>
    <row r="63" spans="1:6" x14ac:dyDescent="0.3">
      <c r="A63" s="123" t="s">
        <v>2444</v>
      </c>
      <c r="B63" s="266" t="s">
        <v>2460</v>
      </c>
      <c r="C63" s="123" t="s">
        <v>2037</v>
      </c>
      <c r="D63" s="123"/>
      <c r="E63" s="123">
        <v>1</v>
      </c>
      <c r="F63" s="123" t="s">
        <v>2029</v>
      </c>
    </row>
    <row r="64" spans="1:6" x14ac:dyDescent="0.3">
      <c r="A64" s="123" t="s">
        <v>2445</v>
      </c>
      <c r="B64" s="266" t="s">
        <v>2461</v>
      </c>
      <c r="C64" s="123" t="s">
        <v>2038</v>
      </c>
      <c r="D64" s="123"/>
      <c r="E64" s="123">
        <v>1</v>
      </c>
      <c r="F64" s="123" t="s">
        <v>2029</v>
      </c>
    </row>
    <row r="65" spans="1:6" x14ac:dyDescent="0.3">
      <c r="A65" s="123" t="s">
        <v>2446</v>
      </c>
      <c r="B65" s="266" t="s">
        <v>2462</v>
      </c>
      <c r="C65" s="123" t="s">
        <v>2039</v>
      </c>
      <c r="D65" s="123"/>
      <c r="E65" s="123">
        <v>1</v>
      </c>
      <c r="F65" s="123" t="s">
        <v>2029</v>
      </c>
    </row>
    <row r="66" spans="1:6" x14ac:dyDescent="0.3">
      <c r="A66" s="123" t="s">
        <v>2447</v>
      </c>
      <c r="B66" s="266" t="s">
        <v>2463</v>
      </c>
      <c r="C66" s="123" t="s">
        <v>2040</v>
      </c>
      <c r="D66" s="123"/>
      <c r="E66" s="123">
        <v>1</v>
      </c>
      <c r="F66" s="123" t="s">
        <v>2029</v>
      </c>
    </row>
    <row r="67" spans="1:6" x14ac:dyDescent="0.3">
      <c r="A67" s="123" t="s">
        <v>2448</v>
      </c>
      <c r="B67" s="266" t="s">
        <v>2464</v>
      </c>
      <c r="C67" s="123" t="s">
        <v>2041</v>
      </c>
      <c r="D67" s="123"/>
      <c r="E67" s="123">
        <v>1</v>
      </c>
      <c r="F67" s="123" t="s">
        <v>2029</v>
      </c>
    </row>
    <row r="68" spans="1:6" x14ac:dyDescent="0.3">
      <c r="A68" s="123" t="s">
        <v>2449</v>
      </c>
      <c r="B68" s="266" t="s">
        <v>2465</v>
      </c>
      <c r="C68" s="123" t="s">
        <v>1866</v>
      </c>
      <c r="D68" s="123"/>
      <c r="E68" s="123">
        <v>1</v>
      </c>
      <c r="F68" s="123" t="s">
        <v>2029</v>
      </c>
    </row>
    <row r="69" spans="1:6" x14ac:dyDescent="0.3">
      <c r="A69" s="123" t="s">
        <v>2450</v>
      </c>
      <c r="B69" s="266" t="s">
        <v>2466</v>
      </c>
      <c r="C69" s="123" t="s">
        <v>1867</v>
      </c>
      <c r="D69" s="123"/>
      <c r="E69" s="123">
        <v>1</v>
      </c>
      <c r="F69" s="123" t="s">
        <v>2029</v>
      </c>
    </row>
    <row r="70" spans="1:6" x14ac:dyDescent="0.3">
      <c r="A70" s="123" t="s">
        <v>2451</v>
      </c>
      <c r="B70" s="266" t="s">
        <v>2467</v>
      </c>
      <c r="C70" s="123" t="s">
        <v>1868</v>
      </c>
      <c r="D70" s="123"/>
      <c r="E70" s="123">
        <v>1</v>
      </c>
      <c r="F70" s="123" t="s">
        <v>2029</v>
      </c>
    </row>
    <row r="71" spans="1:6" x14ac:dyDescent="0.3">
      <c r="A71" s="123" t="s">
        <v>2452</v>
      </c>
      <c r="B71" s="266" t="s">
        <v>2468</v>
      </c>
      <c r="C71" s="123" t="s">
        <v>2042</v>
      </c>
      <c r="D71" s="123"/>
      <c r="E71" s="123">
        <v>1</v>
      </c>
      <c r="F71" s="123" t="s">
        <v>2029</v>
      </c>
    </row>
    <row r="72" spans="1:6" x14ac:dyDescent="0.3">
      <c r="A72" s="123" t="s">
        <v>2453</v>
      </c>
      <c r="B72" s="266" t="s">
        <v>2469</v>
      </c>
      <c r="C72" s="123" t="s">
        <v>2043</v>
      </c>
      <c r="D72" s="123"/>
      <c r="E72" s="123">
        <v>1</v>
      </c>
      <c r="F72" s="123" t="s">
        <v>2029</v>
      </c>
    </row>
    <row r="73" spans="1:6" x14ac:dyDescent="0.3">
      <c r="A73" s="123" t="s">
        <v>2454</v>
      </c>
      <c r="B73" s="266" t="s">
        <v>2471</v>
      </c>
      <c r="C73" s="123" t="s">
        <v>2044</v>
      </c>
      <c r="D73" s="123"/>
      <c r="E73" s="123">
        <v>1</v>
      </c>
      <c r="F73" s="123" t="s">
        <v>2029</v>
      </c>
    </row>
    <row r="74" spans="1:6" x14ac:dyDescent="0.3">
      <c r="A74" s="123" t="s">
        <v>2455</v>
      </c>
      <c r="B74" s="266" t="s">
        <v>2470</v>
      </c>
      <c r="C74" s="123" t="s">
        <v>2045</v>
      </c>
      <c r="D74" s="123"/>
      <c r="E74" s="123">
        <v>1</v>
      </c>
      <c r="F74" s="123" t="s">
        <v>2029</v>
      </c>
    </row>
    <row r="75" spans="1:6" x14ac:dyDescent="0.3">
      <c r="A75" s="123" t="s">
        <v>2456</v>
      </c>
      <c r="B75" s="266" t="s">
        <v>2472</v>
      </c>
      <c r="C75" s="123" t="s">
        <v>2046</v>
      </c>
      <c r="D75" s="123"/>
      <c r="E75" s="123">
        <v>1</v>
      </c>
      <c r="F75" s="123" t="s">
        <v>2029</v>
      </c>
    </row>
    <row r="76" spans="1:6" x14ac:dyDescent="0.3">
      <c r="A76" s="123" t="s">
        <v>2457</v>
      </c>
      <c r="B76" s="266" t="s">
        <v>2474</v>
      </c>
      <c r="C76" s="123" t="s">
        <v>2047</v>
      </c>
      <c r="D76" s="123"/>
      <c r="E76" s="123">
        <v>1</v>
      </c>
      <c r="F76" s="123" t="s">
        <v>2029</v>
      </c>
    </row>
    <row r="77" spans="1:6" x14ac:dyDescent="0.3">
      <c r="A77" s="123" t="s">
        <v>2458</v>
      </c>
      <c r="B77" s="266" t="s">
        <v>2473</v>
      </c>
      <c r="C77" s="123" t="s">
        <v>2048</v>
      </c>
      <c r="D77" s="123"/>
      <c r="E77" s="123">
        <v>1</v>
      </c>
      <c r="F77" s="123" t="s">
        <v>2029</v>
      </c>
    </row>
    <row r="78" spans="1:6" x14ac:dyDescent="0.3">
      <c r="A78" s="123" t="s">
        <v>2459</v>
      </c>
      <c r="B78" s="266" t="s">
        <v>2475</v>
      </c>
      <c r="C78" s="123" t="s">
        <v>2049</v>
      </c>
      <c r="D78" s="123"/>
      <c r="E78" s="123">
        <v>1</v>
      </c>
      <c r="F78" s="123" t="s">
        <v>2029</v>
      </c>
    </row>
    <row r="79" spans="1:6" x14ac:dyDescent="0.3">
      <c r="A79" s="123" t="s">
        <v>2476</v>
      </c>
      <c r="B79" s="266" t="s">
        <v>2492</v>
      </c>
      <c r="C79" s="123" t="s">
        <v>1805</v>
      </c>
      <c r="D79" s="123" t="s">
        <v>1835</v>
      </c>
      <c r="E79" s="123">
        <v>1</v>
      </c>
      <c r="F79" s="123" t="s">
        <v>1969</v>
      </c>
    </row>
    <row r="80" spans="1:6" x14ac:dyDescent="0.3">
      <c r="A80" s="123" t="s">
        <v>2477</v>
      </c>
      <c r="B80" s="266" t="s">
        <v>2493</v>
      </c>
      <c r="C80" s="123" t="s">
        <v>1854</v>
      </c>
      <c r="D80" s="123"/>
      <c r="E80" s="123">
        <v>1</v>
      </c>
      <c r="F80" s="123" t="s">
        <v>1969</v>
      </c>
    </row>
    <row r="81" spans="1:6" x14ac:dyDescent="0.3">
      <c r="A81" s="123" t="s">
        <v>2478</v>
      </c>
      <c r="B81" s="266" t="s">
        <v>2494</v>
      </c>
      <c r="C81" s="123" t="s">
        <v>1855</v>
      </c>
      <c r="D81" s="123"/>
      <c r="E81" s="123">
        <v>1</v>
      </c>
      <c r="F81" s="123" t="s">
        <v>1969</v>
      </c>
    </row>
    <row r="82" spans="1:6" x14ac:dyDescent="0.3">
      <c r="A82" s="123" t="s">
        <v>2479</v>
      </c>
      <c r="B82" s="266" t="s">
        <v>2495</v>
      </c>
      <c r="C82" s="123" t="s">
        <v>1806</v>
      </c>
      <c r="D82" s="123"/>
      <c r="E82" s="123">
        <v>1</v>
      </c>
      <c r="F82" s="123" t="s">
        <v>1969</v>
      </c>
    </row>
    <row r="83" spans="1:6" x14ac:dyDescent="0.3">
      <c r="A83" s="123" t="s">
        <v>2480</v>
      </c>
      <c r="B83" s="266" t="s">
        <v>2496</v>
      </c>
      <c r="C83" s="123" t="s">
        <v>1807</v>
      </c>
      <c r="D83" s="123"/>
      <c r="E83" s="123">
        <v>1</v>
      </c>
      <c r="F83" s="123" t="s">
        <v>1969</v>
      </c>
    </row>
    <row r="84" spans="1:6" x14ac:dyDescent="0.3">
      <c r="A84" s="123" t="s">
        <v>2481</v>
      </c>
      <c r="B84" s="266" t="s">
        <v>2497</v>
      </c>
      <c r="C84" s="123" t="s">
        <v>1808</v>
      </c>
      <c r="D84" s="123" t="s">
        <v>1836</v>
      </c>
      <c r="E84" s="123">
        <v>1</v>
      </c>
      <c r="F84" s="123" t="s">
        <v>1969</v>
      </c>
    </row>
    <row r="85" spans="1:6" x14ac:dyDescent="0.3">
      <c r="A85" s="123" t="s">
        <v>2482</v>
      </c>
      <c r="B85" s="266" t="s">
        <v>2498</v>
      </c>
      <c r="C85" s="123" t="s">
        <v>1809</v>
      </c>
      <c r="D85" s="123" t="s">
        <v>1837</v>
      </c>
      <c r="E85" s="123">
        <v>1</v>
      </c>
      <c r="F85" s="123" t="s">
        <v>1969</v>
      </c>
    </row>
    <row r="86" spans="1:6" x14ac:dyDescent="0.3">
      <c r="A86" s="123" t="s">
        <v>2483</v>
      </c>
      <c r="B86" s="266" t="s">
        <v>2499</v>
      </c>
      <c r="C86" s="123" t="s">
        <v>1891</v>
      </c>
      <c r="D86" s="123" t="s">
        <v>1838</v>
      </c>
      <c r="E86" s="123">
        <v>1</v>
      </c>
      <c r="F86" s="123" t="s">
        <v>1969</v>
      </c>
    </row>
    <row r="87" spans="1:6" x14ac:dyDescent="0.3">
      <c r="A87" s="123" t="s">
        <v>2485</v>
      </c>
      <c r="B87" s="266" t="s">
        <v>2501</v>
      </c>
      <c r="C87" s="123" t="s">
        <v>1968</v>
      </c>
      <c r="D87" s="123"/>
      <c r="E87" s="123">
        <v>1</v>
      </c>
      <c r="F87" s="4" t="s">
        <v>1964</v>
      </c>
    </row>
    <row r="88" spans="1:6" x14ac:dyDescent="0.3">
      <c r="A88" s="123" t="s">
        <v>2484</v>
      </c>
      <c r="B88" s="266" t="s">
        <v>2500</v>
      </c>
      <c r="C88" s="123" t="s">
        <v>1810</v>
      </c>
      <c r="D88" s="123" t="s">
        <v>1837</v>
      </c>
      <c r="E88" s="123">
        <v>1</v>
      </c>
      <c r="F88" s="123" t="s">
        <v>1969</v>
      </c>
    </row>
    <row r="89" spans="1:6" x14ac:dyDescent="0.3">
      <c r="A89" s="123" t="s">
        <v>2486</v>
      </c>
      <c r="B89" s="266" t="s">
        <v>2502</v>
      </c>
      <c r="C89" s="123" t="s">
        <v>1811</v>
      </c>
      <c r="D89" s="123"/>
      <c r="E89" s="123">
        <v>1</v>
      </c>
      <c r="F89" s="123" t="s">
        <v>1969</v>
      </c>
    </row>
    <row r="90" spans="1:6" x14ac:dyDescent="0.3">
      <c r="A90" s="123" t="s">
        <v>2487</v>
      </c>
      <c r="B90" s="266" t="s">
        <v>2503</v>
      </c>
      <c r="C90" s="123" t="s">
        <v>1812</v>
      </c>
      <c r="D90" s="123" t="s">
        <v>1838</v>
      </c>
      <c r="E90" s="123">
        <v>1</v>
      </c>
      <c r="F90" s="123" t="s">
        <v>1969</v>
      </c>
    </row>
    <row r="91" spans="1:6" x14ac:dyDescent="0.3">
      <c r="A91" s="123" t="s">
        <v>2488</v>
      </c>
      <c r="B91" s="266" t="s">
        <v>2504</v>
      </c>
      <c r="C91" s="123" t="s">
        <v>1813</v>
      </c>
      <c r="D91" s="123" t="s">
        <v>1837</v>
      </c>
      <c r="E91" s="123">
        <v>1</v>
      </c>
      <c r="F91" s="123" t="s">
        <v>1969</v>
      </c>
    </row>
    <row r="92" spans="1:6" x14ac:dyDescent="0.3">
      <c r="A92" s="123" t="s">
        <v>2489</v>
      </c>
      <c r="B92" s="266" t="s">
        <v>2505</v>
      </c>
      <c r="C92" s="123" t="s">
        <v>1814</v>
      </c>
      <c r="D92" s="123" t="s">
        <v>1838</v>
      </c>
      <c r="E92" s="123">
        <v>1</v>
      </c>
      <c r="F92" s="123" t="s">
        <v>1969</v>
      </c>
    </row>
    <row r="93" spans="1:6" x14ac:dyDescent="0.3">
      <c r="A93" s="123" t="s">
        <v>2490</v>
      </c>
      <c r="B93" s="266" t="s">
        <v>2506</v>
      </c>
      <c r="C93" s="123" t="s">
        <v>1815</v>
      </c>
      <c r="D93" s="123" t="s">
        <v>1836</v>
      </c>
      <c r="E93" s="123">
        <v>1</v>
      </c>
      <c r="F93" s="123" t="s">
        <v>1969</v>
      </c>
    </row>
    <row r="94" spans="1:6" x14ac:dyDescent="0.3">
      <c r="A94" s="123" t="s">
        <v>2491</v>
      </c>
      <c r="B94" s="266" t="s">
        <v>2507</v>
      </c>
      <c r="C94" s="123" t="s">
        <v>2028</v>
      </c>
      <c r="D94" s="123"/>
      <c r="E94" s="123">
        <v>1</v>
      </c>
      <c r="F94" s="123" t="s">
        <v>2029</v>
      </c>
    </row>
    <row r="95" spans="1:6" x14ac:dyDescent="0.3">
      <c r="A95" s="123" t="s">
        <v>2508</v>
      </c>
      <c r="B95" s="266" t="s">
        <v>2517</v>
      </c>
      <c r="C95" s="123" t="s">
        <v>2028</v>
      </c>
      <c r="D95" s="123"/>
      <c r="E95" s="123">
        <v>1</v>
      </c>
      <c r="F95" s="123" t="s">
        <v>2029</v>
      </c>
    </row>
    <row r="96" spans="1:6" x14ac:dyDescent="0.3">
      <c r="A96" s="123" t="s">
        <v>2509</v>
      </c>
      <c r="B96" s="266" t="s">
        <v>2518</v>
      </c>
      <c r="C96" s="123" t="s">
        <v>2028</v>
      </c>
      <c r="D96" s="123"/>
      <c r="E96" s="123">
        <v>1</v>
      </c>
      <c r="F96" s="123" t="s">
        <v>2029</v>
      </c>
    </row>
    <row r="97" spans="1:6" x14ac:dyDescent="0.3">
      <c r="A97" s="123" t="s">
        <v>2510</v>
      </c>
      <c r="B97" s="266" t="s">
        <v>2519</v>
      </c>
      <c r="C97" s="123" t="s">
        <v>2028</v>
      </c>
      <c r="D97" s="123"/>
      <c r="E97" s="123">
        <v>1</v>
      </c>
      <c r="F97" s="123" t="s">
        <v>2029</v>
      </c>
    </row>
    <row r="98" spans="1:6" x14ac:dyDescent="0.3">
      <c r="A98" s="123" t="s">
        <v>2511</v>
      </c>
      <c r="B98" s="266" t="s">
        <v>2520</v>
      </c>
      <c r="C98" s="123" t="s">
        <v>2028</v>
      </c>
      <c r="D98" s="123"/>
      <c r="E98" s="123">
        <v>1</v>
      </c>
      <c r="F98" s="123" t="s">
        <v>2029</v>
      </c>
    </row>
    <row r="99" spans="1:6" x14ac:dyDescent="0.3">
      <c r="A99" s="123" t="s">
        <v>2512</v>
      </c>
      <c r="B99" s="266" t="s">
        <v>2521</v>
      </c>
      <c r="C99" s="123" t="s">
        <v>1899</v>
      </c>
      <c r="D99" s="123"/>
      <c r="E99" s="123">
        <v>1</v>
      </c>
      <c r="F99" s="123" t="s">
        <v>1969</v>
      </c>
    </row>
    <row r="100" spans="1:6" x14ac:dyDescent="0.3">
      <c r="A100" s="123" t="s">
        <v>2513</v>
      </c>
      <c r="B100" s="266" t="s">
        <v>2522</v>
      </c>
      <c r="C100" s="123" t="s">
        <v>1816</v>
      </c>
      <c r="D100" s="123"/>
      <c r="E100" s="123">
        <v>1</v>
      </c>
      <c r="F100" s="123" t="s">
        <v>1969</v>
      </c>
    </row>
    <row r="101" spans="1:6" x14ac:dyDescent="0.3">
      <c r="A101" s="123" t="s">
        <v>2514</v>
      </c>
      <c r="B101" s="266" t="s">
        <v>2523</v>
      </c>
      <c r="C101" s="123" t="s">
        <v>1817</v>
      </c>
      <c r="D101" s="123"/>
      <c r="E101" s="123">
        <v>1</v>
      </c>
      <c r="F101" s="123" t="s">
        <v>1969</v>
      </c>
    </row>
    <row r="102" spans="1:6" x14ac:dyDescent="0.3">
      <c r="A102" s="123" t="s">
        <v>2515</v>
      </c>
      <c r="B102" s="266" t="s">
        <v>2524</v>
      </c>
      <c r="C102" s="123" t="s">
        <v>1900</v>
      </c>
      <c r="D102" s="123"/>
      <c r="E102" s="123">
        <v>1</v>
      </c>
      <c r="F102" s="123" t="s">
        <v>1969</v>
      </c>
    </row>
    <row r="103" spans="1:6" x14ac:dyDescent="0.3">
      <c r="A103" s="123" t="s">
        <v>2516</v>
      </c>
      <c r="B103" s="266" t="s">
        <v>2525</v>
      </c>
      <c r="C103" s="123" t="s">
        <v>1818</v>
      </c>
      <c r="D103" s="123"/>
      <c r="E103" s="123">
        <v>1</v>
      </c>
      <c r="F103" s="123" t="s">
        <v>1969</v>
      </c>
    </row>
    <row r="104" spans="1:6" x14ac:dyDescent="0.3">
      <c r="A104" s="123" t="s">
        <v>2526</v>
      </c>
      <c r="B104" s="266" t="s">
        <v>2541</v>
      </c>
      <c r="C104" s="123" t="s">
        <v>1928</v>
      </c>
      <c r="D104" s="123"/>
      <c r="E104" s="123">
        <v>1</v>
      </c>
      <c r="F104" s="123" t="s">
        <v>1969</v>
      </c>
    </row>
    <row r="105" spans="1:6" x14ac:dyDescent="0.3">
      <c r="A105" s="123" t="s">
        <v>2527</v>
      </c>
      <c r="B105" s="266" t="s">
        <v>2542</v>
      </c>
      <c r="C105" s="123" t="s">
        <v>1819</v>
      </c>
      <c r="D105" s="123"/>
      <c r="E105" s="123">
        <v>1</v>
      </c>
      <c r="F105" s="123" t="s">
        <v>1969</v>
      </c>
    </row>
    <row r="106" spans="1:6" x14ac:dyDescent="0.3">
      <c r="A106" s="123" t="s">
        <v>2528</v>
      </c>
      <c r="B106" s="266" t="s">
        <v>2543</v>
      </c>
      <c r="C106" s="123" t="s">
        <v>1820</v>
      </c>
      <c r="D106" s="123"/>
      <c r="E106" s="123">
        <v>1</v>
      </c>
      <c r="F106" s="123" t="s">
        <v>1969</v>
      </c>
    </row>
    <row r="107" spans="1:6" x14ac:dyDescent="0.3">
      <c r="A107" s="123" t="s">
        <v>2529</v>
      </c>
      <c r="B107" s="266" t="s">
        <v>2544</v>
      </c>
      <c r="C107" s="123" t="s">
        <v>1822</v>
      </c>
      <c r="D107" s="123"/>
      <c r="E107" s="123">
        <v>1</v>
      </c>
      <c r="F107" s="123" t="s">
        <v>1969</v>
      </c>
    </row>
    <row r="108" spans="1:6" x14ac:dyDescent="0.3">
      <c r="A108" s="123" t="s">
        <v>2530</v>
      </c>
      <c r="B108" s="266" t="s">
        <v>2545</v>
      </c>
      <c r="C108" s="123" t="s">
        <v>1821</v>
      </c>
      <c r="D108" s="123" t="s">
        <v>1929</v>
      </c>
      <c r="E108" s="123">
        <v>1</v>
      </c>
      <c r="F108" s="123" t="s">
        <v>1969</v>
      </c>
    </row>
    <row r="109" spans="1:6" x14ac:dyDescent="0.3">
      <c r="A109" s="123" t="s">
        <v>2531</v>
      </c>
      <c r="B109" s="266" t="s">
        <v>2546</v>
      </c>
      <c r="C109" s="123" t="s">
        <v>1823</v>
      </c>
      <c r="D109" s="123" t="s">
        <v>1839</v>
      </c>
      <c r="E109" s="123">
        <v>1</v>
      </c>
      <c r="F109" s="123" t="s">
        <v>1969</v>
      </c>
    </row>
    <row r="110" spans="1:6" x14ac:dyDescent="0.3">
      <c r="A110" s="123" t="s">
        <v>2532</v>
      </c>
      <c r="B110" s="266" t="s">
        <v>2547</v>
      </c>
      <c r="C110" s="123" t="s">
        <v>1824</v>
      </c>
      <c r="D110" s="123" t="s">
        <v>1840</v>
      </c>
      <c r="E110" s="123">
        <v>1</v>
      </c>
      <c r="F110" s="123" t="s">
        <v>1969</v>
      </c>
    </row>
    <row r="111" spans="1:6" x14ac:dyDescent="0.3">
      <c r="A111" s="123" t="s">
        <v>2533</v>
      </c>
      <c r="B111" s="266" t="s">
        <v>2548</v>
      </c>
      <c r="C111" s="123" t="s">
        <v>1825</v>
      </c>
      <c r="D111" s="123" t="s">
        <v>1839</v>
      </c>
      <c r="E111" s="123">
        <v>1</v>
      </c>
      <c r="F111" s="123" t="s">
        <v>1969</v>
      </c>
    </row>
    <row r="112" spans="1:6" x14ac:dyDescent="0.3">
      <c r="A112" s="123" t="s">
        <v>2534</v>
      </c>
      <c r="B112" s="266" t="s">
        <v>2549</v>
      </c>
      <c r="C112" s="123" t="s">
        <v>1826</v>
      </c>
      <c r="D112" s="123" t="s">
        <v>1839</v>
      </c>
      <c r="E112" s="123">
        <v>1</v>
      </c>
      <c r="F112" s="123" t="s">
        <v>1969</v>
      </c>
    </row>
    <row r="113" spans="1:6" x14ac:dyDescent="0.3">
      <c r="A113" s="123" t="s">
        <v>2535</v>
      </c>
      <c r="B113" s="266" t="s">
        <v>2550</v>
      </c>
      <c r="C113" s="123" t="s">
        <v>1827</v>
      </c>
      <c r="D113" s="123" t="s">
        <v>1839</v>
      </c>
      <c r="E113" s="123">
        <v>1</v>
      </c>
      <c r="F113" s="123" t="s">
        <v>1969</v>
      </c>
    </row>
    <row r="114" spans="1:6" x14ac:dyDescent="0.3">
      <c r="A114" s="123" t="s">
        <v>2536</v>
      </c>
      <c r="B114" s="266" t="s">
        <v>2551</v>
      </c>
      <c r="C114" s="123" t="s">
        <v>1890</v>
      </c>
      <c r="D114" s="123" t="s">
        <v>1839</v>
      </c>
      <c r="E114" s="123">
        <v>1</v>
      </c>
      <c r="F114" s="123" t="s">
        <v>1969</v>
      </c>
    </row>
    <row r="115" spans="1:6" x14ac:dyDescent="0.3">
      <c r="A115" s="123" t="s">
        <v>2537</v>
      </c>
      <c r="B115" s="266" t="s">
        <v>2552</v>
      </c>
      <c r="C115" s="123" t="s">
        <v>1890</v>
      </c>
      <c r="D115" s="123" t="s">
        <v>1839</v>
      </c>
      <c r="E115" s="123">
        <v>1</v>
      </c>
      <c r="F115" s="123" t="s">
        <v>1969</v>
      </c>
    </row>
    <row r="116" spans="1:6" x14ac:dyDescent="0.3">
      <c r="A116" s="123" t="s">
        <v>2538</v>
      </c>
      <c r="B116" s="266" t="s">
        <v>2553</v>
      </c>
      <c r="C116" s="123" t="s">
        <v>1886</v>
      </c>
      <c r="D116" s="123"/>
      <c r="E116" s="123">
        <v>1</v>
      </c>
      <c r="F116" s="123" t="s">
        <v>1969</v>
      </c>
    </row>
    <row r="117" spans="1:6" x14ac:dyDescent="0.3">
      <c r="A117" s="123" t="s">
        <v>2539</v>
      </c>
      <c r="B117" s="266" t="s">
        <v>2554</v>
      </c>
      <c r="C117" s="123" t="s">
        <v>1930</v>
      </c>
      <c r="D117" s="123"/>
      <c r="E117" s="123">
        <v>1</v>
      </c>
      <c r="F117" s="123" t="s">
        <v>1969</v>
      </c>
    </row>
    <row r="118" spans="1:6" x14ac:dyDescent="0.3">
      <c r="A118" s="123" t="s">
        <v>2540</v>
      </c>
      <c r="B118" s="266" t="s">
        <v>2555</v>
      </c>
      <c r="C118" s="123" t="s">
        <v>1869</v>
      </c>
      <c r="D118" s="123"/>
      <c r="E118" s="123">
        <v>1</v>
      </c>
      <c r="F118" s="123" t="s">
        <v>1969</v>
      </c>
    </row>
    <row r="119" spans="1:6" x14ac:dyDescent="0.3">
      <c r="A119" s="123" t="s">
        <v>2557</v>
      </c>
      <c r="B119" s="266" t="s">
        <v>2556</v>
      </c>
      <c r="C119" s="123" t="s">
        <v>1828</v>
      </c>
      <c r="D119" s="123"/>
      <c r="E119" s="123">
        <v>1</v>
      </c>
      <c r="F119" s="123" t="s">
        <v>1969</v>
      </c>
    </row>
    <row r="120" spans="1:6" x14ac:dyDescent="0.3">
      <c r="A120" s="123" t="s">
        <v>2558</v>
      </c>
      <c r="B120" s="266" t="s">
        <v>2572</v>
      </c>
      <c r="C120" s="123" t="s">
        <v>1828</v>
      </c>
      <c r="D120" s="123"/>
      <c r="E120" s="123">
        <v>1</v>
      </c>
      <c r="F120" s="123" t="s">
        <v>1969</v>
      </c>
    </row>
    <row r="121" spans="1:6" x14ac:dyDescent="0.3">
      <c r="A121" s="123" t="s">
        <v>2559</v>
      </c>
      <c r="B121" s="266" t="s">
        <v>2573</v>
      </c>
      <c r="C121" s="123" t="s">
        <v>1919</v>
      </c>
      <c r="D121" s="123" t="s">
        <v>1931</v>
      </c>
      <c r="E121" s="123">
        <v>1</v>
      </c>
      <c r="F121" s="123" t="s">
        <v>1969</v>
      </c>
    </row>
    <row r="122" spans="1:6" x14ac:dyDescent="0.3">
      <c r="A122" s="123" t="s">
        <v>2560</v>
      </c>
      <c r="B122" s="266" t="s">
        <v>2574</v>
      </c>
      <c r="C122" s="123" t="s">
        <v>1888</v>
      </c>
      <c r="D122" s="123" t="s">
        <v>1932</v>
      </c>
      <c r="E122" s="123">
        <v>1</v>
      </c>
      <c r="F122" s="123" t="s">
        <v>1969</v>
      </c>
    </row>
    <row r="123" spans="1:6" x14ac:dyDescent="0.3">
      <c r="A123" s="123" t="s">
        <v>2561</v>
      </c>
      <c r="B123" s="266" t="s">
        <v>2575</v>
      </c>
      <c r="C123" s="123" t="s">
        <v>1905</v>
      </c>
      <c r="D123" s="123" t="s">
        <v>1933</v>
      </c>
      <c r="E123" s="123">
        <v>1</v>
      </c>
      <c r="F123" s="123" t="s">
        <v>1969</v>
      </c>
    </row>
    <row r="124" spans="1:6" x14ac:dyDescent="0.3">
      <c r="A124" s="123" t="s">
        <v>2562</v>
      </c>
      <c r="B124" s="266" t="s">
        <v>2576</v>
      </c>
      <c r="C124" s="123" t="s">
        <v>1906</v>
      </c>
      <c r="D124" s="123" t="s">
        <v>1839</v>
      </c>
      <c r="E124" s="123">
        <v>1</v>
      </c>
      <c r="F124" s="123" t="s">
        <v>1969</v>
      </c>
    </row>
    <row r="125" spans="1:6" x14ac:dyDescent="0.3">
      <c r="A125" s="123" t="s">
        <v>2563</v>
      </c>
      <c r="B125" s="266" t="s">
        <v>2577</v>
      </c>
      <c r="C125" s="123" t="s">
        <v>1887</v>
      </c>
      <c r="D125" s="123" t="s">
        <v>1839</v>
      </c>
      <c r="E125" s="123">
        <v>1</v>
      </c>
      <c r="F125" s="123" t="s">
        <v>1969</v>
      </c>
    </row>
    <row r="126" spans="1:6" x14ac:dyDescent="0.3">
      <c r="A126" s="123" t="s">
        <v>2564</v>
      </c>
      <c r="B126" s="266" t="s">
        <v>2578</v>
      </c>
      <c r="C126" s="123" t="s">
        <v>1908</v>
      </c>
      <c r="D126" s="123" t="s">
        <v>1839</v>
      </c>
      <c r="E126" s="123">
        <v>1</v>
      </c>
      <c r="F126" s="123" t="s">
        <v>1969</v>
      </c>
    </row>
    <row r="127" spans="1:6" x14ac:dyDescent="0.3">
      <c r="A127" s="123" t="s">
        <v>2565</v>
      </c>
      <c r="B127" s="266" t="s">
        <v>2579</v>
      </c>
      <c r="C127" s="123" t="s">
        <v>1907</v>
      </c>
      <c r="D127" s="123" t="s">
        <v>1839</v>
      </c>
      <c r="E127" s="123">
        <v>1</v>
      </c>
      <c r="F127" s="123" t="s">
        <v>1969</v>
      </c>
    </row>
    <row r="128" spans="1:6" x14ac:dyDescent="0.3">
      <c r="A128" s="123" t="s">
        <v>2566</v>
      </c>
      <c r="B128" s="266" t="s">
        <v>2580</v>
      </c>
      <c r="C128" s="123" t="s">
        <v>1904</v>
      </c>
      <c r="D128" s="123" t="s">
        <v>1839</v>
      </c>
      <c r="E128" s="123">
        <v>1</v>
      </c>
      <c r="F128" s="123" t="s">
        <v>1969</v>
      </c>
    </row>
    <row r="129" spans="1:10" x14ac:dyDescent="0.3">
      <c r="A129" s="123" t="s">
        <v>2567</v>
      </c>
      <c r="B129" s="266" t="s">
        <v>2581</v>
      </c>
      <c r="C129" s="123" t="s">
        <v>1901</v>
      </c>
      <c r="D129" s="123" t="s">
        <v>1839</v>
      </c>
      <c r="E129" s="123">
        <v>1</v>
      </c>
      <c r="F129" s="123" t="s">
        <v>1969</v>
      </c>
    </row>
    <row r="130" spans="1:10" x14ac:dyDescent="0.3">
      <c r="A130" s="123" t="s">
        <v>2568</v>
      </c>
      <c r="B130" s="266" t="s">
        <v>2582</v>
      </c>
      <c r="C130" s="123" t="s">
        <v>1889</v>
      </c>
      <c r="D130" s="123" t="s">
        <v>1934</v>
      </c>
      <c r="E130" s="123">
        <v>1</v>
      </c>
      <c r="F130" s="123" t="s">
        <v>1969</v>
      </c>
    </row>
    <row r="131" spans="1:10" x14ac:dyDescent="0.3">
      <c r="A131" s="123" t="s">
        <v>2757</v>
      </c>
      <c r="B131" s="266" t="s">
        <v>2758</v>
      </c>
      <c r="C131" s="123" t="s">
        <v>2759</v>
      </c>
      <c r="D131" s="123" t="s">
        <v>1932</v>
      </c>
      <c r="E131" s="123">
        <v>1</v>
      </c>
      <c r="F131" s="123" t="s">
        <v>1969</v>
      </c>
      <c r="G131" s="3"/>
      <c r="H131" s="60"/>
      <c r="I131" s="60"/>
      <c r="J131" s="98"/>
    </row>
    <row r="132" spans="1:10" x14ac:dyDescent="0.3">
      <c r="A132" s="123" t="s">
        <v>2569</v>
      </c>
      <c r="B132" s="266" t="s">
        <v>2583</v>
      </c>
      <c r="C132" s="123" t="s">
        <v>1877</v>
      </c>
      <c r="D132" s="123" t="s">
        <v>1937</v>
      </c>
      <c r="E132" s="123">
        <v>1</v>
      </c>
      <c r="F132" s="123" t="s">
        <v>1969</v>
      </c>
    </row>
    <row r="133" spans="1:10" x14ac:dyDescent="0.3">
      <c r="A133" s="123" t="s">
        <v>2570</v>
      </c>
      <c r="B133" s="266" t="s">
        <v>2584</v>
      </c>
      <c r="C133" s="123" t="s">
        <v>1918</v>
      </c>
      <c r="D133" s="123" t="s">
        <v>1938</v>
      </c>
      <c r="E133" s="123">
        <v>1</v>
      </c>
      <c r="F133" s="123" t="s">
        <v>1969</v>
      </c>
    </row>
    <row r="134" spans="1:10" x14ac:dyDescent="0.3">
      <c r="A134" s="123" t="s">
        <v>2571</v>
      </c>
      <c r="B134" s="266" t="s">
        <v>2585</v>
      </c>
      <c r="C134" s="123" t="s">
        <v>1939</v>
      </c>
      <c r="D134" s="123" t="s">
        <v>1915</v>
      </c>
      <c r="E134" s="123">
        <v>1</v>
      </c>
      <c r="F134" s="123" t="s">
        <v>1969</v>
      </c>
    </row>
    <row r="135" spans="1:10" x14ac:dyDescent="0.3">
      <c r="A135" s="123" t="s">
        <v>2586</v>
      </c>
      <c r="B135" s="266" t="s">
        <v>2602</v>
      </c>
      <c r="C135" s="123" t="s">
        <v>1940</v>
      </c>
      <c r="D135" s="123" t="s">
        <v>1916</v>
      </c>
      <c r="E135" s="123">
        <v>1</v>
      </c>
      <c r="F135" s="123" t="s">
        <v>1969</v>
      </c>
    </row>
    <row r="136" spans="1:10" x14ac:dyDescent="0.3">
      <c r="A136" s="123" t="s">
        <v>2587</v>
      </c>
      <c r="B136" s="266" t="s">
        <v>2603</v>
      </c>
      <c r="C136" s="123" t="s">
        <v>1941</v>
      </c>
      <c r="D136" s="123" t="s">
        <v>1923</v>
      </c>
      <c r="E136" s="123">
        <v>1</v>
      </c>
      <c r="F136" s="123" t="s">
        <v>1969</v>
      </c>
    </row>
    <row r="137" spans="1:10" x14ac:dyDescent="0.3">
      <c r="A137" s="123" t="s">
        <v>2588</v>
      </c>
      <c r="B137" s="266" t="s">
        <v>2604</v>
      </c>
      <c r="C137" s="123" t="s">
        <v>1942</v>
      </c>
      <c r="D137" s="123" t="s">
        <v>1917</v>
      </c>
      <c r="E137" s="123">
        <v>1</v>
      </c>
      <c r="F137" s="123" t="s">
        <v>1969</v>
      </c>
    </row>
    <row r="138" spans="1:10" x14ac:dyDescent="0.3">
      <c r="A138" s="123" t="s">
        <v>2589</v>
      </c>
      <c r="B138" s="266" t="s">
        <v>2605</v>
      </c>
      <c r="C138" s="123" t="s">
        <v>1943</v>
      </c>
      <c r="D138" s="123" t="s">
        <v>1921</v>
      </c>
      <c r="E138" s="123">
        <v>1</v>
      </c>
      <c r="F138" s="123" t="s">
        <v>1969</v>
      </c>
    </row>
    <row r="139" spans="1:10" x14ac:dyDescent="0.3">
      <c r="A139" s="123" t="s">
        <v>2590</v>
      </c>
      <c r="B139" s="266" t="s">
        <v>2606</v>
      </c>
      <c r="C139" s="123" t="s">
        <v>1943</v>
      </c>
      <c r="D139" s="123"/>
      <c r="E139" s="123">
        <v>1</v>
      </c>
      <c r="F139" s="123" t="s">
        <v>1969</v>
      </c>
    </row>
    <row r="140" spans="1:10" x14ac:dyDescent="0.3">
      <c r="A140" s="123" t="s">
        <v>2591</v>
      </c>
      <c r="B140" s="266" t="s">
        <v>2607</v>
      </c>
      <c r="C140" s="123" t="s">
        <v>1963</v>
      </c>
      <c r="D140" s="123" t="s">
        <v>1839</v>
      </c>
      <c r="E140" s="123">
        <v>1</v>
      </c>
      <c r="F140" s="4" t="s">
        <v>1964</v>
      </c>
    </row>
    <row r="141" spans="1:10" x14ac:dyDescent="0.3">
      <c r="A141" s="123" t="s">
        <v>2592</v>
      </c>
      <c r="B141" s="266" t="s">
        <v>2608</v>
      </c>
      <c r="C141" s="123" t="s">
        <v>1944</v>
      </c>
      <c r="D141" s="123" t="s">
        <v>1920</v>
      </c>
      <c r="E141" s="123">
        <v>1</v>
      </c>
      <c r="F141" s="123" t="s">
        <v>1969</v>
      </c>
    </row>
    <row r="142" spans="1:10" x14ac:dyDescent="0.3">
      <c r="A142" s="123" t="s">
        <v>2593</v>
      </c>
      <c r="B142" s="266" t="s">
        <v>2609</v>
      </c>
      <c r="C142" s="123" t="s">
        <v>1945</v>
      </c>
      <c r="D142" s="123" t="s">
        <v>1992</v>
      </c>
      <c r="E142" s="123">
        <v>1</v>
      </c>
      <c r="F142" s="123" t="s">
        <v>1969</v>
      </c>
    </row>
    <row r="143" spans="1:10" x14ac:dyDescent="0.3">
      <c r="A143" s="123" t="s">
        <v>2594</v>
      </c>
      <c r="B143" s="266" t="s">
        <v>2610</v>
      </c>
      <c r="C143" s="123" t="s">
        <v>1946</v>
      </c>
      <c r="D143" s="123" t="s">
        <v>1922</v>
      </c>
      <c r="E143" s="123">
        <v>1</v>
      </c>
      <c r="F143" s="123" t="s">
        <v>1969</v>
      </c>
    </row>
    <row r="144" spans="1:10" x14ac:dyDescent="0.3">
      <c r="A144" s="123" t="s">
        <v>2595</v>
      </c>
      <c r="B144" s="266" t="s">
        <v>2611</v>
      </c>
      <c r="C144" s="123" t="s">
        <v>1947</v>
      </c>
      <c r="D144" s="123"/>
      <c r="E144" s="123">
        <v>1</v>
      </c>
      <c r="F144" s="123" t="s">
        <v>1969</v>
      </c>
    </row>
    <row r="145" spans="1:6" x14ac:dyDescent="0.3">
      <c r="A145" s="123" t="s">
        <v>2596</v>
      </c>
      <c r="B145" s="266" t="s">
        <v>2612</v>
      </c>
      <c r="C145" s="123" t="s">
        <v>1948</v>
      </c>
      <c r="D145" s="123"/>
      <c r="E145" s="123">
        <v>1</v>
      </c>
      <c r="F145" s="123" t="s">
        <v>1969</v>
      </c>
    </row>
    <row r="146" spans="1:6" x14ac:dyDescent="0.3">
      <c r="A146" s="123" t="s">
        <v>2597</v>
      </c>
      <c r="B146" s="266" t="s">
        <v>2613</v>
      </c>
      <c r="C146" s="123" t="s">
        <v>1950</v>
      </c>
      <c r="D146" s="123"/>
      <c r="E146" s="123">
        <v>1</v>
      </c>
      <c r="F146" s="123" t="s">
        <v>1969</v>
      </c>
    </row>
    <row r="147" spans="1:6" x14ac:dyDescent="0.3">
      <c r="A147" s="123" t="s">
        <v>2598</v>
      </c>
      <c r="B147" s="266" t="s">
        <v>2614</v>
      </c>
      <c r="C147" s="123" t="s">
        <v>1949</v>
      </c>
      <c r="D147" s="123"/>
      <c r="E147" s="123">
        <v>1</v>
      </c>
      <c r="F147" s="123" t="s">
        <v>1969</v>
      </c>
    </row>
    <row r="148" spans="1:6" x14ac:dyDescent="0.3">
      <c r="A148" s="123" t="s">
        <v>2599</v>
      </c>
      <c r="B148" s="266" t="s">
        <v>2615</v>
      </c>
      <c r="C148" s="123" t="s">
        <v>1879</v>
      </c>
      <c r="D148" s="123"/>
      <c r="E148" s="123">
        <v>1</v>
      </c>
      <c r="F148" s="123" t="s">
        <v>1969</v>
      </c>
    </row>
    <row r="149" spans="1:6" x14ac:dyDescent="0.3">
      <c r="A149" s="123" t="s">
        <v>2600</v>
      </c>
      <c r="B149" s="266" t="s">
        <v>2616</v>
      </c>
      <c r="C149" s="123" t="s">
        <v>1829</v>
      </c>
      <c r="D149" s="123"/>
      <c r="E149" s="123">
        <v>1</v>
      </c>
      <c r="F149" s="123" t="s">
        <v>1969</v>
      </c>
    </row>
    <row r="150" spans="1:6" x14ac:dyDescent="0.3">
      <c r="A150" s="123" t="s">
        <v>2601</v>
      </c>
      <c r="B150" s="266" t="s">
        <v>2617</v>
      </c>
      <c r="C150" s="123" t="s">
        <v>1878</v>
      </c>
      <c r="D150" s="123" t="s">
        <v>1929</v>
      </c>
      <c r="E150" s="123">
        <v>1</v>
      </c>
      <c r="F150" s="123" t="s">
        <v>1969</v>
      </c>
    </row>
    <row r="151" spans="1:6" x14ac:dyDescent="0.3">
      <c r="A151" s="123" t="s">
        <v>2618</v>
      </c>
      <c r="B151" s="266" t="s">
        <v>2631</v>
      </c>
      <c r="C151" s="123" t="s">
        <v>1830</v>
      </c>
      <c r="D151" s="123"/>
      <c r="E151" s="123">
        <v>1</v>
      </c>
      <c r="F151" s="123" t="s">
        <v>1969</v>
      </c>
    </row>
    <row r="152" spans="1:6" x14ac:dyDescent="0.3">
      <c r="A152" s="123" t="s">
        <v>2619</v>
      </c>
      <c r="B152" s="266" t="s">
        <v>2632</v>
      </c>
      <c r="C152" s="123" t="s">
        <v>1831</v>
      </c>
      <c r="D152" s="123"/>
      <c r="E152" s="123">
        <v>1</v>
      </c>
      <c r="F152" s="123" t="s">
        <v>1969</v>
      </c>
    </row>
    <row r="153" spans="1:6" x14ac:dyDescent="0.3">
      <c r="A153" s="123" t="s">
        <v>2620</v>
      </c>
      <c r="B153" s="266" t="s">
        <v>2633</v>
      </c>
      <c r="C153" s="123" t="s">
        <v>1892</v>
      </c>
      <c r="D153" s="123"/>
      <c r="E153" s="123">
        <v>1</v>
      </c>
      <c r="F153" s="123" t="s">
        <v>1969</v>
      </c>
    </row>
    <row r="154" spans="1:6" x14ac:dyDescent="0.3">
      <c r="A154" s="123" t="s">
        <v>2621</v>
      </c>
      <c r="B154" s="266" t="s">
        <v>2634</v>
      </c>
      <c r="C154" s="123" t="s">
        <v>1893</v>
      </c>
      <c r="D154" s="123"/>
      <c r="E154" s="123">
        <v>1</v>
      </c>
      <c r="F154" s="123" t="s">
        <v>1969</v>
      </c>
    </row>
    <row r="155" spans="1:6" x14ac:dyDescent="0.3">
      <c r="A155" s="123" t="s">
        <v>2622</v>
      </c>
      <c r="B155" s="266" t="s">
        <v>2635</v>
      </c>
      <c r="C155" s="123" t="s">
        <v>1894</v>
      </c>
      <c r="D155" s="123"/>
      <c r="E155" s="123">
        <v>1</v>
      </c>
      <c r="F155" s="123" t="s">
        <v>1969</v>
      </c>
    </row>
    <row r="156" spans="1:6" x14ac:dyDescent="0.3">
      <c r="A156" s="123" t="s">
        <v>2623</v>
      </c>
      <c r="B156" s="266" t="s">
        <v>2636</v>
      </c>
      <c r="C156" s="123" t="s">
        <v>1895</v>
      </c>
      <c r="D156" s="123"/>
      <c r="E156" s="123">
        <v>1</v>
      </c>
      <c r="F156" s="123" t="s">
        <v>1969</v>
      </c>
    </row>
    <row r="157" spans="1:6" x14ac:dyDescent="0.3">
      <c r="A157" s="123" t="s">
        <v>2624</v>
      </c>
      <c r="B157" s="266" t="s">
        <v>2637</v>
      </c>
      <c r="C157" s="123" t="s">
        <v>1965</v>
      </c>
      <c r="D157" s="123"/>
      <c r="E157" s="123">
        <v>1</v>
      </c>
      <c r="F157" s="4" t="s">
        <v>1964</v>
      </c>
    </row>
    <row r="158" spans="1:6" x14ac:dyDescent="0.3">
      <c r="A158" s="123" t="s">
        <v>2625</v>
      </c>
      <c r="B158" s="266" t="s">
        <v>2638</v>
      </c>
      <c r="C158" s="123" t="s">
        <v>1832</v>
      </c>
      <c r="D158" s="123"/>
      <c r="E158" s="123">
        <v>1</v>
      </c>
      <c r="F158" s="123" t="s">
        <v>1969</v>
      </c>
    </row>
    <row r="159" spans="1:6" x14ac:dyDescent="0.3">
      <c r="A159" s="123" t="s">
        <v>2626</v>
      </c>
      <c r="B159" s="266" t="s">
        <v>2639</v>
      </c>
      <c r="C159" s="123" t="s">
        <v>1993</v>
      </c>
      <c r="D159" s="123"/>
      <c r="E159" s="123">
        <v>1</v>
      </c>
      <c r="F159" s="4" t="s">
        <v>1991</v>
      </c>
    </row>
    <row r="160" spans="1:6" x14ac:dyDescent="0.3">
      <c r="A160" s="123" t="s">
        <v>2625</v>
      </c>
      <c r="B160" s="266" t="s">
        <v>2638</v>
      </c>
      <c r="C160" s="123" t="s">
        <v>1853</v>
      </c>
      <c r="D160" s="123"/>
      <c r="E160" s="123">
        <v>1</v>
      </c>
      <c r="F160" s="123" t="s">
        <v>1969</v>
      </c>
    </row>
    <row r="161" spans="1:6" x14ac:dyDescent="0.3">
      <c r="A161" s="123" t="s">
        <v>2626</v>
      </c>
      <c r="B161" s="266" t="s">
        <v>2639</v>
      </c>
      <c r="C161" s="123" t="s">
        <v>1914</v>
      </c>
      <c r="D161" s="123"/>
      <c r="E161" s="123">
        <v>1</v>
      </c>
      <c r="F161" s="123" t="s">
        <v>1969</v>
      </c>
    </row>
    <row r="162" spans="1:6" x14ac:dyDescent="0.3">
      <c r="A162" s="123" t="s">
        <v>2627</v>
      </c>
      <c r="B162" s="266" t="s">
        <v>2640</v>
      </c>
      <c r="C162" s="123" t="s">
        <v>1954</v>
      </c>
      <c r="D162" s="123"/>
      <c r="E162" s="123">
        <v>1</v>
      </c>
      <c r="F162" s="123" t="s">
        <v>1969</v>
      </c>
    </row>
    <row r="163" spans="1:6" x14ac:dyDescent="0.3">
      <c r="A163" s="123" t="s">
        <v>2628</v>
      </c>
      <c r="B163" s="266" t="s">
        <v>2641</v>
      </c>
      <c r="C163" s="123" t="s">
        <v>1955</v>
      </c>
      <c r="D163" s="123"/>
      <c r="E163" s="123">
        <v>1</v>
      </c>
      <c r="F163" s="123" t="s">
        <v>1969</v>
      </c>
    </row>
    <row r="164" spans="1:6" x14ac:dyDescent="0.3">
      <c r="A164" s="123" t="s">
        <v>2629</v>
      </c>
      <c r="B164" s="266" t="s">
        <v>2642</v>
      </c>
      <c r="C164" s="123" t="s">
        <v>1951</v>
      </c>
      <c r="D164" s="123"/>
      <c r="E164" s="123">
        <v>1</v>
      </c>
      <c r="F164" s="123" t="s">
        <v>1969</v>
      </c>
    </row>
    <row r="165" spans="1:6" x14ac:dyDescent="0.3">
      <c r="A165" s="123" t="s">
        <v>2630</v>
      </c>
      <c r="B165" s="266" t="s">
        <v>2643</v>
      </c>
      <c r="C165" s="123" t="s">
        <v>1876</v>
      </c>
      <c r="D165" s="123" t="s">
        <v>1935</v>
      </c>
      <c r="E165" s="123">
        <v>1</v>
      </c>
      <c r="F165" s="123" t="s">
        <v>1969</v>
      </c>
    </row>
    <row r="166" spans="1:6" x14ac:dyDescent="0.3">
      <c r="A166" s="123" t="s">
        <v>2644</v>
      </c>
      <c r="B166" s="266" t="s">
        <v>2645</v>
      </c>
      <c r="C166" s="123" t="s">
        <v>1902</v>
      </c>
      <c r="D166" s="123"/>
      <c r="E166" s="123">
        <v>1</v>
      </c>
      <c r="F166" s="123" t="s">
        <v>1969</v>
      </c>
    </row>
    <row r="167" spans="1:6" x14ac:dyDescent="0.3">
      <c r="A167" s="123" t="s">
        <v>2646</v>
      </c>
      <c r="B167" s="266" t="s">
        <v>2662</v>
      </c>
      <c r="C167" s="123" t="s">
        <v>1870</v>
      </c>
      <c r="D167" s="123"/>
      <c r="E167" s="123">
        <v>1</v>
      </c>
      <c r="F167" s="123" t="s">
        <v>1969</v>
      </c>
    </row>
    <row r="168" spans="1:6" x14ac:dyDescent="0.3">
      <c r="A168" s="123" t="s">
        <v>2647</v>
      </c>
      <c r="B168" s="266" t="s">
        <v>2663</v>
      </c>
      <c r="C168" s="123" t="s">
        <v>1951</v>
      </c>
      <c r="D168" s="123"/>
      <c r="E168" s="123">
        <v>1</v>
      </c>
      <c r="F168" s="123" t="s">
        <v>2029</v>
      </c>
    </row>
    <row r="169" spans="1:6" x14ac:dyDescent="0.3">
      <c r="A169" s="123" t="s">
        <v>2648</v>
      </c>
      <c r="B169" s="266" t="s">
        <v>2664</v>
      </c>
      <c r="C169" s="123" t="s">
        <v>1951</v>
      </c>
      <c r="D169" s="123"/>
      <c r="E169" s="123">
        <v>1</v>
      </c>
      <c r="F169" s="123" t="s">
        <v>2029</v>
      </c>
    </row>
    <row r="170" spans="1:6" x14ac:dyDescent="0.3">
      <c r="A170" s="123" t="s">
        <v>2649</v>
      </c>
      <c r="B170" s="266" t="s">
        <v>2665</v>
      </c>
      <c r="C170" s="123" t="s">
        <v>1952</v>
      </c>
      <c r="D170" s="123"/>
      <c r="E170" s="123">
        <v>1</v>
      </c>
      <c r="F170" s="123" t="s">
        <v>1969</v>
      </c>
    </row>
    <row r="171" spans="1:6" x14ac:dyDescent="0.3">
      <c r="A171" s="123" t="s">
        <v>2650</v>
      </c>
      <c r="B171" s="266" t="s">
        <v>2666</v>
      </c>
      <c r="C171" s="123" t="s">
        <v>1882</v>
      </c>
      <c r="D171" s="123" t="s">
        <v>1953</v>
      </c>
      <c r="E171" s="123">
        <v>1</v>
      </c>
      <c r="F171" s="123" t="s">
        <v>1969</v>
      </c>
    </row>
    <row r="172" spans="1:6" x14ac:dyDescent="0.3">
      <c r="A172" s="123" t="s">
        <v>2651</v>
      </c>
      <c r="B172" s="266" t="s">
        <v>2667</v>
      </c>
      <c r="C172" s="123" t="s">
        <v>1956</v>
      </c>
      <c r="D172" s="123"/>
      <c r="E172" s="123">
        <v>1</v>
      </c>
      <c r="F172" s="123" t="s">
        <v>1969</v>
      </c>
    </row>
    <row r="173" spans="1:6" x14ac:dyDescent="0.3">
      <c r="A173" s="123" t="s">
        <v>2652</v>
      </c>
      <c r="B173" s="266" t="s">
        <v>2668</v>
      </c>
      <c r="C173" s="123" t="s">
        <v>1957</v>
      </c>
      <c r="D173" s="123"/>
      <c r="E173" s="123">
        <v>1</v>
      </c>
      <c r="F173" s="123" t="s">
        <v>1969</v>
      </c>
    </row>
    <row r="174" spans="1:6" x14ac:dyDescent="0.3">
      <c r="A174" s="123" t="s">
        <v>2653</v>
      </c>
      <c r="B174" s="266" t="s">
        <v>2669</v>
      </c>
      <c r="C174" s="123" t="s">
        <v>1958</v>
      </c>
      <c r="D174" s="123"/>
      <c r="E174" s="123">
        <v>1</v>
      </c>
      <c r="F174" s="123" t="s">
        <v>1969</v>
      </c>
    </row>
    <row r="175" spans="1:6" x14ac:dyDescent="0.3">
      <c r="A175" s="123" t="s">
        <v>2654</v>
      </c>
      <c r="B175" s="266" t="s">
        <v>2670</v>
      </c>
      <c r="C175" s="123" t="s">
        <v>1959</v>
      </c>
      <c r="D175" s="123"/>
      <c r="E175" s="123">
        <v>1</v>
      </c>
      <c r="F175" s="123" t="s">
        <v>1969</v>
      </c>
    </row>
    <row r="176" spans="1:6" x14ac:dyDescent="0.3">
      <c r="A176" s="123" t="s">
        <v>2655</v>
      </c>
      <c r="B176" s="266" t="s">
        <v>2671</v>
      </c>
      <c r="C176" s="123" t="s">
        <v>1960</v>
      </c>
      <c r="D176" s="123"/>
      <c r="E176" s="123">
        <v>1</v>
      </c>
      <c r="F176" s="123" t="s">
        <v>1969</v>
      </c>
    </row>
    <row r="177" spans="1:6" x14ac:dyDescent="0.3">
      <c r="A177" s="123" t="s">
        <v>2656</v>
      </c>
      <c r="B177" s="266" t="s">
        <v>2672</v>
      </c>
      <c r="C177" s="123" t="s">
        <v>1961</v>
      </c>
      <c r="D177" s="123"/>
      <c r="E177" s="123">
        <v>1</v>
      </c>
      <c r="F177" s="123" t="s">
        <v>1969</v>
      </c>
    </row>
    <row r="178" spans="1:6" x14ac:dyDescent="0.3">
      <c r="A178" s="123" t="s">
        <v>2657</v>
      </c>
      <c r="B178" s="266" t="s">
        <v>2673</v>
      </c>
      <c r="C178" s="123" t="s">
        <v>1962</v>
      </c>
      <c r="D178" s="123"/>
      <c r="E178" s="123">
        <v>1</v>
      </c>
      <c r="F178" s="123" t="s">
        <v>1969</v>
      </c>
    </row>
    <row r="179" spans="1:6" x14ac:dyDescent="0.3">
      <c r="A179" s="123" t="s">
        <v>2658</v>
      </c>
      <c r="B179" s="266" t="s">
        <v>2674</v>
      </c>
      <c r="C179" s="123" t="s">
        <v>1913</v>
      </c>
      <c r="D179" s="123"/>
      <c r="E179" s="123">
        <v>1</v>
      </c>
      <c r="F179" s="123" t="s">
        <v>1969</v>
      </c>
    </row>
    <row r="180" spans="1:6" x14ac:dyDescent="0.3">
      <c r="A180" s="123" t="s">
        <v>2659</v>
      </c>
      <c r="B180" s="266" t="s">
        <v>2675</v>
      </c>
      <c r="C180" s="123" t="s">
        <v>1880</v>
      </c>
      <c r="D180" s="123"/>
      <c r="E180" s="123">
        <v>1</v>
      </c>
      <c r="F180" s="123" t="s">
        <v>1969</v>
      </c>
    </row>
    <row r="181" spans="1:6" x14ac:dyDescent="0.3">
      <c r="A181" s="123" t="s">
        <v>2660</v>
      </c>
      <c r="B181" s="266" t="s">
        <v>2676</v>
      </c>
      <c r="C181" s="123" t="s">
        <v>1881</v>
      </c>
      <c r="D181" s="123"/>
      <c r="E181" s="123">
        <v>1</v>
      </c>
      <c r="F181" s="123" t="s">
        <v>1969</v>
      </c>
    </row>
    <row r="182" spans="1:6" x14ac:dyDescent="0.3">
      <c r="A182" s="123" t="s">
        <v>2661</v>
      </c>
      <c r="B182" s="266" t="s">
        <v>2677</v>
      </c>
      <c r="C182" s="123" t="s">
        <v>1909</v>
      </c>
      <c r="D182" s="123"/>
      <c r="E182" s="123">
        <v>1</v>
      </c>
      <c r="F182" s="123" t="s">
        <v>1969</v>
      </c>
    </row>
    <row r="183" spans="1:6" x14ac:dyDescent="0.3">
      <c r="A183" s="123" t="s">
        <v>2678</v>
      </c>
      <c r="B183" s="266" t="s">
        <v>2683</v>
      </c>
      <c r="C183" s="123" t="s">
        <v>1910</v>
      </c>
      <c r="D183" s="123"/>
      <c r="E183" s="123">
        <v>1</v>
      </c>
      <c r="F183" s="123" t="s">
        <v>1969</v>
      </c>
    </row>
    <row r="184" spans="1:6" x14ac:dyDescent="0.3">
      <c r="A184" s="123" t="s">
        <v>2679</v>
      </c>
      <c r="B184" s="266" t="s">
        <v>2684</v>
      </c>
      <c r="C184" s="123" t="s">
        <v>1911</v>
      </c>
      <c r="D184" s="123"/>
      <c r="E184" s="123">
        <v>1</v>
      </c>
      <c r="F184" s="123" t="s">
        <v>1969</v>
      </c>
    </row>
    <row r="185" spans="1:6" x14ac:dyDescent="0.3">
      <c r="A185" s="123" t="s">
        <v>2680</v>
      </c>
      <c r="B185" s="266" t="s">
        <v>2685</v>
      </c>
      <c r="C185" s="123" t="s">
        <v>1833</v>
      </c>
      <c r="D185" s="123"/>
      <c r="E185" s="123">
        <v>1</v>
      </c>
      <c r="F185" s="123" t="s">
        <v>1969</v>
      </c>
    </row>
    <row r="186" spans="1:6" x14ac:dyDescent="0.3">
      <c r="A186" s="123" t="s">
        <v>2681</v>
      </c>
      <c r="B186" s="266" t="s">
        <v>2686</v>
      </c>
      <c r="C186" s="123" t="s">
        <v>1885</v>
      </c>
      <c r="D186" s="123"/>
      <c r="E186" s="123">
        <v>1</v>
      </c>
      <c r="F186" s="123" t="s">
        <v>1969</v>
      </c>
    </row>
    <row r="187" spans="1:6" x14ac:dyDescent="0.3">
      <c r="A187" s="123" t="s">
        <v>2682</v>
      </c>
      <c r="B187" s="266" t="s">
        <v>2687</v>
      </c>
      <c r="C187" s="123" t="s">
        <v>1883</v>
      </c>
      <c r="D187" s="123" t="s">
        <v>1936</v>
      </c>
      <c r="E187" s="123">
        <v>1</v>
      </c>
      <c r="F187" s="123" t="s">
        <v>1969</v>
      </c>
    </row>
    <row r="188" spans="1:6" x14ac:dyDescent="0.3">
      <c r="A188" s="123" t="s">
        <v>2303</v>
      </c>
      <c r="B188" s="266" t="s">
        <v>2156</v>
      </c>
      <c r="C188" s="123" t="s">
        <v>1538</v>
      </c>
      <c r="D188" s="123"/>
      <c r="E188" s="123" t="s">
        <v>1577</v>
      </c>
      <c r="F188" s="123" t="s">
        <v>1725</v>
      </c>
    </row>
    <row r="189" spans="1:6" x14ac:dyDescent="0.3">
      <c r="A189" s="123" t="s">
        <v>2304</v>
      </c>
      <c r="B189" s="266" t="s">
        <v>2157</v>
      </c>
      <c r="C189" s="123" t="s">
        <v>1538</v>
      </c>
      <c r="D189" s="123"/>
      <c r="E189" s="123" t="s">
        <v>1577</v>
      </c>
      <c r="F189" s="123" t="s">
        <v>1725</v>
      </c>
    </row>
    <row r="190" spans="1:6" x14ac:dyDescent="0.3">
      <c r="A190" s="123" t="s">
        <v>2305</v>
      </c>
      <c r="B190" s="266" t="s">
        <v>2158</v>
      </c>
      <c r="C190" s="123" t="s">
        <v>1538</v>
      </c>
      <c r="D190" s="123"/>
      <c r="E190" s="123" t="s">
        <v>1577</v>
      </c>
      <c r="F190" s="123" t="s">
        <v>1725</v>
      </c>
    </row>
    <row r="191" spans="1:6" x14ac:dyDescent="0.3">
      <c r="A191" s="123" t="s">
        <v>2306</v>
      </c>
      <c r="B191" s="266" t="s">
        <v>2159</v>
      </c>
      <c r="C191" s="123" t="s">
        <v>1538</v>
      </c>
      <c r="D191" s="123"/>
      <c r="E191" s="123" t="s">
        <v>1577</v>
      </c>
      <c r="F191" s="123" t="s">
        <v>1725</v>
      </c>
    </row>
    <row r="192" spans="1:6" x14ac:dyDescent="0.3">
      <c r="A192" s="123" t="s">
        <v>2256</v>
      </c>
      <c r="B192" s="266" t="s">
        <v>2121</v>
      </c>
      <c r="C192" s="123" t="s">
        <v>2743</v>
      </c>
      <c r="D192" s="123"/>
      <c r="E192" s="123" t="s">
        <v>1577</v>
      </c>
      <c r="F192" s="123" t="s">
        <v>1725</v>
      </c>
    </row>
    <row r="193" spans="1:6" x14ac:dyDescent="0.3">
      <c r="A193" s="123" t="s">
        <v>2257</v>
      </c>
      <c r="B193" s="266" t="s">
        <v>2122</v>
      </c>
      <c r="C193" s="123" t="s">
        <v>1761</v>
      </c>
      <c r="D193" s="123"/>
      <c r="E193" s="123" t="s">
        <v>1578</v>
      </c>
      <c r="F193" s="123" t="s">
        <v>1725</v>
      </c>
    </row>
    <row r="194" spans="1:6" x14ac:dyDescent="0.3">
      <c r="A194" s="123" t="s">
        <v>2258</v>
      </c>
      <c r="B194" s="266" t="s">
        <v>2123</v>
      </c>
      <c r="C194" s="123" t="s">
        <v>1762</v>
      </c>
      <c r="D194" s="123"/>
      <c r="E194" s="123" t="s">
        <v>1577</v>
      </c>
      <c r="F194" s="123" t="s">
        <v>1725</v>
      </c>
    </row>
    <row r="195" spans="1:6" x14ac:dyDescent="0.3">
      <c r="A195" s="116" t="s">
        <v>2259</v>
      </c>
      <c r="B195" s="266" t="s">
        <v>2134</v>
      </c>
      <c r="C195" s="116" t="s">
        <v>1762</v>
      </c>
      <c r="D195" s="116"/>
      <c r="E195" s="116" t="s">
        <v>1577</v>
      </c>
      <c r="F195" s="116" t="s">
        <v>1725</v>
      </c>
    </row>
    <row r="196" spans="1:6" x14ac:dyDescent="0.3">
      <c r="A196" s="123" t="s">
        <v>2260</v>
      </c>
      <c r="B196" s="266" t="s">
        <v>2135</v>
      </c>
      <c r="C196" s="123" t="s">
        <v>2009</v>
      </c>
      <c r="D196" s="123"/>
      <c r="E196" s="123" t="s">
        <v>2010</v>
      </c>
      <c r="F196" s="123" t="s">
        <v>1725</v>
      </c>
    </row>
    <row r="197" spans="1:6" x14ac:dyDescent="0.3">
      <c r="A197" s="123" t="s">
        <v>2261</v>
      </c>
      <c r="B197" s="266" t="s">
        <v>2136</v>
      </c>
      <c r="C197" s="123" t="s">
        <v>2057</v>
      </c>
      <c r="D197" s="123"/>
      <c r="E197" s="123" t="s">
        <v>1577</v>
      </c>
      <c r="F197" s="123" t="s">
        <v>1725</v>
      </c>
    </row>
    <row r="198" spans="1:6" x14ac:dyDescent="0.3">
      <c r="A198" s="123" t="s">
        <v>2262</v>
      </c>
      <c r="B198" s="266" t="s">
        <v>2137</v>
      </c>
      <c r="C198" s="123" t="s">
        <v>2056</v>
      </c>
      <c r="D198" s="123"/>
      <c r="E198" s="123" t="s">
        <v>1577</v>
      </c>
      <c r="F198" s="123" t="s">
        <v>1725</v>
      </c>
    </row>
    <row r="199" spans="1:6" x14ac:dyDescent="0.3">
      <c r="A199" s="123" t="s">
        <v>2263</v>
      </c>
      <c r="B199" s="266" t="s">
        <v>2138</v>
      </c>
      <c r="C199" s="123" t="s">
        <v>1763</v>
      </c>
      <c r="D199" s="123"/>
      <c r="E199" s="123" t="s">
        <v>2010</v>
      </c>
      <c r="F199" s="123" t="s">
        <v>1725</v>
      </c>
    </row>
    <row r="200" spans="1:6" x14ac:dyDescent="0.3">
      <c r="A200" s="123" t="s">
        <v>2264</v>
      </c>
      <c r="B200" s="266" t="s">
        <v>2139</v>
      </c>
      <c r="C200" s="123" t="s">
        <v>1764</v>
      </c>
      <c r="D200" s="123"/>
      <c r="E200" s="123" t="s">
        <v>1980</v>
      </c>
      <c r="F200" s="123" t="s">
        <v>1725</v>
      </c>
    </row>
    <row r="201" spans="1:6" x14ac:dyDescent="0.3">
      <c r="A201" s="123" t="s">
        <v>2265</v>
      </c>
      <c r="B201" s="266" t="s">
        <v>2124</v>
      </c>
      <c r="C201" s="123" t="s">
        <v>1765</v>
      </c>
      <c r="D201" s="123"/>
      <c r="E201" s="123" t="s">
        <v>1976</v>
      </c>
      <c r="F201" s="123" t="s">
        <v>1725</v>
      </c>
    </row>
    <row r="202" spans="1:6" x14ac:dyDescent="0.3">
      <c r="A202" s="123" t="s">
        <v>2266</v>
      </c>
      <c r="B202" s="266" t="s">
        <v>2125</v>
      </c>
      <c r="C202" s="123" t="s">
        <v>1766</v>
      </c>
      <c r="D202" s="123"/>
      <c r="E202" s="123" t="s">
        <v>1577</v>
      </c>
      <c r="F202" s="123" t="s">
        <v>1725</v>
      </c>
    </row>
    <row r="203" spans="1:6" x14ac:dyDescent="0.3">
      <c r="A203" s="123" t="s">
        <v>2267</v>
      </c>
      <c r="B203" s="266" t="s">
        <v>2126</v>
      </c>
      <c r="C203" s="123" t="s">
        <v>1766</v>
      </c>
      <c r="D203" s="123"/>
      <c r="E203" s="123" t="s">
        <v>1577</v>
      </c>
      <c r="F203" s="123" t="s">
        <v>1725</v>
      </c>
    </row>
    <row r="204" spans="1:6" x14ac:dyDescent="0.3">
      <c r="A204" s="123" t="s">
        <v>2268</v>
      </c>
      <c r="B204" s="266" t="s">
        <v>2127</v>
      </c>
      <c r="C204" s="123" t="s">
        <v>2008</v>
      </c>
      <c r="D204" s="123"/>
      <c r="E204" s="123" t="s">
        <v>1577</v>
      </c>
      <c r="F204" s="123" t="s">
        <v>1725</v>
      </c>
    </row>
    <row r="205" spans="1:6" x14ac:dyDescent="0.3">
      <c r="A205" s="123" t="s">
        <v>2269</v>
      </c>
      <c r="B205" s="266" t="s">
        <v>2734</v>
      </c>
      <c r="C205" s="123" t="s">
        <v>1531</v>
      </c>
      <c r="D205" s="123"/>
      <c r="E205" s="123" t="s">
        <v>1726</v>
      </c>
      <c r="F205" s="123" t="s">
        <v>1725</v>
      </c>
    </row>
    <row r="206" spans="1:6" x14ac:dyDescent="0.3">
      <c r="A206" s="123" t="s">
        <v>2738</v>
      </c>
      <c r="B206" s="266" t="s">
        <v>2735</v>
      </c>
      <c r="C206" s="123" t="s">
        <v>1531</v>
      </c>
      <c r="D206" s="123"/>
      <c r="E206" s="123" t="s">
        <v>1726</v>
      </c>
      <c r="F206" s="123" t="s">
        <v>1725</v>
      </c>
    </row>
    <row r="207" spans="1:6" s="24" customFormat="1" x14ac:dyDescent="0.3">
      <c r="A207" s="116" t="s">
        <v>2737</v>
      </c>
      <c r="B207" s="292" t="s">
        <v>2739</v>
      </c>
      <c r="C207" s="116" t="s">
        <v>2736</v>
      </c>
      <c r="D207" s="116"/>
      <c r="E207" s="116" t="s">
        <v>1577</v>
      </c>
      <c r="F207" s="116" t="s">
        <v>1725</v>
      </c>
    </row>
    <row r="208" spans="1:6" x14ac:dyDescent="0.3">
      <c r="A208" s="116" t="s">
        <v>2740</v>
      </c>
      <c r="B208" s="292" t="s">
        <v>2751</v>
      </c>
      <c r="C208" s="116" t="s">
        <v>2736</v>
      </c>
      <c r="D208" s="116"/>
      <c r="E208" s="116" t="s">
        <v>1577</v>
      </c>
      <c r="F208" s="116" t="s">
        <v>1725</v>
      </c>
    </row>
    <row r="209" spans="1:6" x14ac:dyDescent="0.3">
      <c r="A209" s="123" t="s">
        <v>2270</v>
      </c>
      <c r="B209" s="266" t="s">
        <v>2128</v>
      </c>
      <c r="C209" s="123" t="s">
        <v>1767</v>
      </c>
      <c r="D209" s="123"/>
      <c r="E209" s="123" t="s">
        <v>1976</v>
      </c>
      <c r="F209" s="123" t="s">
        <v>1725</v>
      </c>
    </row>
    <row r="210" spans="1:6" x14ac:dyDescent="0.3">
      <c r="A210" s="123" t="s">
        <v>2271</v>
      </c>
      <c r="B210" s="266" t="s">
        <v>2129</v>
      </c>
      <c r="C210" s="123" t="s">
        <v>1449</v>
      </c>
      <c r="D210" s="123"/>
      <c r="E210" s="123" t="s">
        <v>2208</v>
      </c>
      <c r="F210" s="123" t="s">
        <v>1725</v>
      </c>
    </row>
    <row r="211" spans="1:6" x14ac:dyDescent="0.3">
      <c r="A211" s="123" t="s">
        <v>2272</v>
      </c>
      <c r="B211" s="266" t="s">
        <v>2130</v>
      </c>
      <c r="C211" s="123" t="s">
        <v>2060</v>
      </c>
      <c r="D211" s="123"/>
      <c r="E211" s="123" t="s">
        <v>1577</v>
      </c>
      <c r="F211" s="123" t="s">
        <v>1725</v>
      </c>
    </row>
    <row r="212" spans="1:6" x14ac:dyDescent="0.3">
      <c r="A212" s="123" t="s">
        <v>2273</v>
      </c>
      <c r="B212" s="266" t="s">
        <v>2131</v>
      </c>
      <c r="C212" s="123" t="s">
        <v>2060</v>
      </c>
      <c r="D212" s="123"/>
      <c r="E212" s="123" t="s">
        <v>1578</v>
      </c>
      <c r="F212" s="123" t="s">
        <v>1725</v>
      </c>
    </row>
    <row r="213" spans="1:6" x14ac:dyDescent="0.3">
      <c r="A213" s="116" t="s">
        <v>2274</v>
      </c>
      <c r="B213" s="266" t="s">
        <v>2132</v>
      </c>
      <c r="C213" s="123" t="s">
        <v>2060</v>
      </c>
      <c r="D213" s="116"/>
      <c r="E213" s="116" t="s">
        <v>1726</v>
      </c>
      <c r="F213" s="116" t="s">
        <v>1725</v>
      </c>
    </row>
    <row r="214" spans="1:6" x14ac:dyDescent="0.3">
      <c r="A214" s="123" t="s">
        <v>2163</v>
      </c>
      <c r="B214" s="266" t="s">
        <v>2170</v>
      </c>
      <c r="C214" s="123" t="s">
        <v>2097</v>
      </c>
      <c r="D214" s="123"/>
      <c r="E214" s="123" t="s">
        <v>2061</v>
      </c>
      <c r="F214" s="123"/>
    </row>
    <row r="215" spans="1:6" x14ac:dyDescent="0.3">
      <c r="A215" s="123" t="s">
        <v>2164</v>
      </c>
      <c r="B215" s="266" t="s">
        <v>2171</v>
      </c>
      <c r="C215" s="123" t="s">
        <v>2098</v>
      </c>
      <c r="D215" s="123"/>
      <c r="E215" s="123" t="s">
        <v>1980</v>
      </c>
      <c r="F215" s="123"/>
    </row>
    <row r="216" spans="1:6" x14ac:dyDescent="0.3">
      <c r="A216" s="123" t="s">
        <v>2165</v>
      </c>
      <c r="B216" s="266" t="s">
        <v>2172</v>
      </c>
      <c r="C216" s="123" t="s">
        <v>2099</v>
      </c>
      <c r="D216" s="123"/>
      <c r="E216" s="123" t="s">
        <v>1527</v>
      </c>
      <c r="F216" s="123"/>
    </row>
    <row r="217" spans="1:6" s="124" customFormat="1" x14ac:dyDescent="0.3">
      <c r="A217" s="123" t="s">
        <v>2165</v>
      </c>
      <c r="B217" s="266" t="s">
        <v>2173</v>
      </c>
      <c r="C217" s="123" t="s">
        <v>2099</v>
      </c>
      <c r="D217" s="123"/>
      <c r="E217" s="123" t="s">
        <v>1527</v>
      </c>
      <c r="F217" s="123"/>
    </row>
    <row r="218" spans="1:6" s="124" customFormat="1" x14ac:dyDescent="0.3">
      <c r="A218" s="123" t="s">
        <v>2166</v>
      </c>
      <c r="B218" s="266" t="s">
        <v>2174</v>
      </c>
      <c r="C218" s="123" t="s">
        <v>2099</v>
      </c>
      <c r="D218" s="123"/>
      <c r="E218" s="123" t="s">
        <v>1527</v>
      </c>
      <c r="F218" s="123"/>
    </row>
    <row r="219" spans="1:6" s="124" customFormat="1" x14ac:dyDescent="0.3">
      <c r="A219" s="123" t="s">
        <v>2167</v>
      </c>
      <c r="B219" s="266" t="s">
        <v>2175</v>
      </c>
      <c r="C219" s="123" t="s">
        <v>2100</v>
      </c>
      <c r="D219" s="123"/>
      <c r="E219" s="123" t="s">
        <v>1726</v>
      </c>
      <c r="F219" s="123"/>
    </row>
    <row r="220" spans="1:6" s="124" customFormat="1" x14ac:dyDescent="0.3">
      <c r="A220" s="123" t="s">
        <v>2168</v>
      </c>
      <c r="B220" s="266" t="s">
        <v>2176</v>
      </c>
      <c r="C220" s="123" t="s">
        <v>2101</v>
      </c>
      <c r="D220" s="123"/>
      <c r="E220" s="123" t="s">
        <v>2061</v>
      </c>
      <c r="F220" s="123"/>
    </row>
    <row r="221" spans="1:6" s="124" customFormat="1" x14ac:dyDescent="0.3">
      <c r="A221" s="123" t="s">
        <v>2169</v>
      </c>
      <c r="B221" s="266" t="s">
        <v>2177</v>
      </c>
      <c r="C221" s="123" t="s">
        <v>2101</v>
      </c>
      <c r="D221" s="123"/>
      <c r="E221" s="123" t="s">
        <v>1980</v>
      </c>
      <c r="F221" s="123"/>
    </row>
  </sheetData>
  <conditionalFormatting sqref="C11:C13">
    <cfRule type="expression" dxfId="19" priority="4" stopIfTrue="1">
      <formula>#REF!="A Reformer"</formula>
    </cfRule>
    <cfRule type="expression" dxfId="18" priority="5" stopIfTrue="1">
      <formula>#REF!="En cours"</formula>
    </cfRule>
    <cfRule type="expression" dxfId="17" priority="6" stopIfTrue="1">
      <formula>#REF!="Introuvable"</formula>
    </cfRule>
  </conditionalFormatting>
  <conditionalFormatting sqref="C205:C208">
    <cfRule type="expression" dxfId="16" priority="1" stopIfTrue="1">
      <formula>#REF!="A Reformer"</formula>
    </cfRule>
    <cfRule type="expression" dxfId="15" priority="2" stopIfTrue="1">
      <formula>#REF!="En cours"</formula>
    </cfRule>
    <cfRule type="expression" dxfId="14" priority="3" stopIfTrue="1">
      <formula>#REF!="Introuvable"</formula>
    </cfRule>
  </conditionalFormatting>
  <dataValidations count="1">
    <dataValidation allowBlank="1" showInputMessage="1" showErrorMessage="1" prompt="Colonne automatisée. _x000a__x000a_Un drapeau dans cette colonne indique les articles de l'inventaire prêts à être recommandés. Les drapeaux n'apparaissent qu’avec un Oui dans L2 et quand l'élément répond aux critères de réapprovisionnement." sqref="C3:C4 D3:E5" xr:uid="{00000000-0002-0000-0A00-000000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3:I252"/>
  <sheetViews>
    <sheetView view="pageBreakPreview" topLeftCell="A20" zoomScale="80" zoomScaleNormal="100" zoomScaleSheetLayoutView="80" workbookViewId="0">
      <selection activeCell="D15" sqref="D15"/>
    </sheetView>
  </sheetViews>
  <sheetFormatPr baseColWidth="10" defaultRowHeight="14.4" x14ac:dyDescent="0.3"/>
  <cols>
    <col min="1" max="1" width="23.88671875" bestFit="1" customWidth="1"/>
    <col min="2" max="2" width="12.88671875" bestFit="1" customWidth="1"/>
    <col min="3" max="4" width="78.6640625" bestFit="1" customWidth="1"/>
    <col min="5" max="5" width="17.109375" bestFit="1" customWidth="1"/>
    <col min="6" max="6" width="28.88671875" bestFit="1" customWidth="1"/>
    <col min="7" max="7" width="23.44140625" bestFit="1" customWidth="1"/>
    <col min="8" max="8" width="18.88671875" bestFit="1" customWidth="1"/>
    <col min="9" max="9" width="23.88671875" bestFit="1" customWidth="1"/>
  </cols>
  <sheetData>
    <row r="3" spans="1:9" x14ac:dyDescent="0.3">
      <c r="A3" s="6" t="s">
        <v>1055</v>
      </c>
      <c r="B3" s="6"/>
      <c r="C3" s="6" t="s">
        <v>0</v>
      </c>
      <c r="D3" s="7" t="s">
        <v>1157</v>
      </c>
      <c r="E3" s="7" t="s">
        <v>1760</v>
      </c>
      <c r="F3" s="7" t="s">
        <v>1169</v>
      </c>
      <c r="G3" s="273" t="s">
        <v>1517</v>
      </c>
      <c r="H3" s="294" t="s">
        <v>1518</v>
      </c>
      <c r="I3" s="29" t="s">
        <v>1154</v>
      </c>
    </row>
    <row r="4" spans="1:9" x14ac:dyDescent="0.3">
      <c r="A4" s="123" t="s">
        <v>2209</v>
      </c>
      <c r="B4" s="266" t="s">
        <v>2064</v>
      </c>
      <c r="C4" s="123" t="s">
        <v>1539</v>
      </c>
      <c r="D4" s="123" t="s">
        <v>1550</v>
      </c>
      <c r="E4" s="123" t="s">
        <v>1576</v>
      </c>
      <c r="F4" s="123" t="s">
        <v>1596</v>
      </c>
      <c r="G4" s="121" t="s">
        <v>1843</v>
      </c>
      <c r="H4" s="295" t="s">
        <v>1556</v>
      </c>
      <c r="I4" s="123" t="s">
        <v>1581</v>
      </c>
    </row>
    <row r="5" spans="1:9" x14ac:dyDescent="0.3">
      <c r="A5" s="123" t="s">
        <v>2210</v>
      </c>
      <c r="B5" s="266" t="s">
        <v>2065</v>
      </c>
      <c r="C5" s="123" t="s">
        <v>1545</v>
      </c>
      <c r="D5" s="123" t="s">
        <v>1554</v>
      </c>
      <c r="E5" s="123" t="s">
        <v>1576</v>
      </c>
      <c r="F5" s="123" t="s">
        <v>1596</v>
      </c>
      <c r="G5" s="121" t="s">
        <v>1982</v>
      </c>
      <c r="H5" s="295" t="s">
        <v>1569</v>
      </c>
      <c r="I5" s="123" t="s">
        <v>1591</v>
      </c>
    </row>
    <row r="6" spans="1:9" x14ac:dyDescent="0.3">
      <c r="A6" s="123" t="s">
        <v>2211</v>
      </c>
      <c r="B6" s="266" t="s">
        <v>2066</v>
      </c>
      <c r="C6" s="123" t="s">
        <v>1545</v>
      </c>
      <c r="D6" s="123" t="s">
        <v>1554</v>
      </c>
      <c r="E6" s="123" t="s">
        <v>1576</v>
      </c>
      <c r="F6" s="123" t="s">
        <v>1596</v>
      </c>
      <c r="G6" s="117" t="s">
        <v>1776</v>
      </c>
      <c r="H6" s="295" t="s">
        <v>1570</v>
      </c>
      <c r="I6" s="123" t="s">
        <v>1592</v>
      </c>
    </row>
    <row r="7" spans="1:9" x14ac:dyDescent="0.3">
      <c r="A7" s="123" t="s">
        <v>2212</v>
      </c>
      <c r="B7" s="266" t="s">
        <v>2067</v>
      </c>
      <c r="C7" s="123" t="s">
        <v>1547</v>
      </c>
      <c r="D7" s="123" t="s">
        <v>1218</v>
      </c>
      <c r="E7" s="123" t="s">
        <v>1576</v>
      </c>
      <c r="F7" s="123" t="s">
        <v>1596</v>
      </c>
      <c r="G7" s="121" t="s">
        <v>1775</v>
      </c>
      <c r="H7" s="295" t="s">
        <v>1572</v>
      </c>
      <c r="I7" s="123" t="s">
        <v>1593</v>
      </c>
    </row>
    <row r="8" spans="1:9" x14ac:dyDescent="0.3">
      <c r="A8" s="123" t="s">
        <v>2213</v>
      </c>
      <c r="B8" s="266" t="s">
        <v>2068</v>
      </c>
      <c r="C8" s="123" t="s">
        <v>1546</v>
      </c>
      <c r="D8" s="123" t="s">
        <v>1211</v>
      </c>
      <c r="E8" s="123" t="s">
        <v>1577</v>
      </c>
      <c r="F8" s="123" t="s">
        <v>1596</v>
      </c>
      <c r="G8" s="117" t="s">
        <v>1845</v>
      </c>
      <c r="H8" s="295" t="s">
        <v>1571</v>
      </c>
      <c r="I8" s="123" t="s">
        <v>1588</v>
      </c>
    </row>
    <row r="9" spans="1:9" x14ac:dyDescent="0.3">
      <c r="A9" s="123" t="s">
        <v>2214</v>
      </c>
      <c r="B9" s="292" t="s">
        <v>2082</v>
      </c>
      <c r="C9" s="123" t="s">
        <v>1541</v>
      </c>
      <c r="D9" s="123" t="s">
        <v>1208</v>
      </c>
      <c r="E9" s="123" t="s">
        <v>1576</v>
      </c>
      <c r="F9" s="123" t="s">
        <v>1596</v>
      </c>
      <c r="G9" s="117" t="s">
        <v>1777</v>
      </c>
      <c r="H9" s="295" t="s">
        <v>1558</v>
      </c>
      <c r="I9" s="123" t="s">
        <v>1582</v>
      </c>
    </row>
    <row r="10" spans="1:9" x14ac:dyDescent="0.3">
      <c r="A10" s="279" t="s">
        <v>2215</v>
      </c>
      <c r="B10" s="348" t="s">
        <v>2206</v>
      </c>
      <c r="C10" s="279" t="s">
        <v>1549</v>
      </c>
      <c r="D10" s="279" t="s">
        <v>1208</v>
      </c>
      <c r="E10" s="279" t="s">
        <v>1577</v>
      </c>
      <c r="F10" s="279" t="s">
        <v>1596</v>
      </c>
      <c r="G10" s="280"/>
      <c r="H10" s="296" t="s">
        <v>1575</v>
      </c>
      <c r="I10" s="279" t="s">
        <v>1594</v>
      </c>
    </row>
    <row r="11" spans="1:9" x14ac:dyDescent="0.3">
      <c r="A11" s="281" t="s">
        <v>2216</v>
      </c>
      <c r="B11" s="292" t="s">
        <v>2069</v>
      </c>
      <c r="C11" s="281" t="s">
        <v>1542</v>
      </c>
      <c r="D11" s="281" t="s">
        <v>1551</v>
      </c>
      <c r="E11" s="281" t="s">
        <v>1577</v>
      </c>
      <c r="F11" s="281" t="s">
        <v>1596</v>
      </c>
      <c r="G11" s="282" t="s">
        <v>1983</v>
      </c>
      <c r="H11" s="297" t="s">
        <v>1559</v>
      </c>
      <c r="I11" s="281" t="s">
        <v>1583</v>
      </c>
    </row>
    <row r="12" spans="1:9" x14ac:dyDescent="0.3">
      <c r="A12" s="123" t="s">
        <v>2217</v>
      </c>
      <c r="B12" s="292" t="s">
        <v>2070</v>
      </c>
      <c r="C12" s="123" t="s">
        <v>1542</v>
      </c>
      <c r="D12" s="123" t="s">
        <v>1551</v>
      </c>
      <c r="E12" s="123" t="s">
        <v>1576</v>
      </c>
      <c r="F12" s="123" t="s">
        <v>1596</v>
      </c>
      <c r="G12" s="121" t="s">
        <v>2006</v>
      </c>
      <c r="H12" s="295" t="s">
        <v>1560</v>
      </c>
      <c r="I12" s="123" t="s">
        <v>1584</v>
      </c>
    </row>
    <row r="13" spans="1:9" x14ac:dyDescent="0.3">
      <c r="A13" s="123" t="s">
        <v>2218</v>
      </c>
      <c r="B13" s="292" t="s">
        <v>2071</v>
      </c>
      <c r="C13" s="123" t="s">
        <v>1542</v>
      </c>
      <c r="D13" s="123" t="s">
        <v>1551</v>
      </c>
      <c r="E13" s="123" t="s">
        <v>1576</v>
      </c>
      <c r="F13" s="123" t="s">
        <v>1596</v>
      </c>
      <c r="G13" s="117" t="s">
        <v>1774</v>
      </c>
      <c r="H13" s="295" t="s">
        <v>1561</v>
      </c>
      <c r="I13" s="123" t="s">
        <v>1585</v>
      </c>
    </row>
    <row r="14" spans="1:9" x14ac:dyDescent="0.3">
      <c r="A14" s="123" t="s">
        <v>2219</v>
      </c>
      <c r="B14" s="292" t="s">
        <v>2072</v>
      </c>
      <c r="C14" s="123" t="s">
        <v>1542</v>
      </c>
      <c r="D14" s="123" t="s">
        <v>1551</v>
      </c>
      <c r="E14" s="123" t="s">
        <v>1576</v>
      </c>
      <c r="F14" s="123" t="s">
        <v>1596</v>
      </c>
      <c r="G14" s="121" t="s">
        <v>1846</v>
      </c>
      <c r="H14" s="295" t="s">
        <v>1562</v>
      </c>
      <c r="I14" s="123" t="s">
        <v>1583</v>
      </c>
    </row>
    <row r="15" spans="1:9" x14ac:dyDescent="0.3">
      <c r="A15" s="123" t="s">
        <v>2220</v>
      </c>
      <c r="B15" s="292" t="s">
        <v>2073</v>
      </c>
      <c r="C15" s="123" t="s">
        <v>1542</v>
      </c>
      <c r="D15" s="123" t="s">
        <v>1551</v>
      </c>
      <c r="E15" s="123" t="s">
        <v>1576</v>
      </c>
      <c r="F15" s="123" t="s">
        <v>1596</v>
      </c>
      <c r="G15" s="121" t="s">
        <v>1847</v>
      </c>
      <c r="H15" s="295" t="s">
        <v>1563</v>
      </c>
      <c r="I15" s="123" t="s">
        <v>1587</v>
      </c>
    </row>
    <row r="16" spans="1:9" x14ac:dyDescent="0.3">
      <c r="A16" s="123" t="s">
        <v>2221</v>
      </c>
      <c r="B16" s="292" t="s">
        <v>2074</v>
      </c>
      <c r="C16" s="123" t="s">
        <v>1542</v>
      </c>
      <c r="D16" s="123" t="s">
        <v>1551</v>
      </c>
      <c r="E16" s="123" t="s">
        <v>1578</v>
      </c>
      <c r="F16" s="123" t="s">
        <v>1596</v>
      </c>
      <c r="G16" s="121" t="s">
        <v>1772</v>
      </c>
      <c r="H16" s="295" t="s">
        <v>1564</v>
      </c>
      <c r="I16" s="123" t="s">
        <v>2059</v>
      </c>
    </row>
    <row r="17" spans="1:9" x14ac:dyDescent="0.3">
      <c r="A17" s="123" t="s">
        <v>2222</v>
      </c>
      <c r="B17" s="292" t="s">
        <v>2075</v>
      </c>
      <c r="C17" s="123" t="s">
        <v>1544</v>
      </c>
      <c r="D17" s="123" t="s">
        <v>1553</v>
      </c>
      <c r="E17" s="123" t="s">
        <v>1579</v>
      </c>
      <c r="F17" s="123" t="s">
        <v>1596</v>
      </c>
      <c r="G17" s="117" t="s">
        <v>1848</v>
      </c>
      <c r="H17" s="295" t="s">
        <v>1568</v>
      </c>
      <c r="I17" s="123" t="s">
        <v>1586</v>
      </c>
    </row>
    <row r="18" spans="1:9" x14ac:dyDescent="0.3">
      <c r="A18" s="123" t="s">
        <v>2223</v>
      </c>
      <c r="B18" s="292" t="s">
        <v>2076</v>
      </c>
      <c r="C18" s="123" t="s">
        <v>1543</v>
      </c>
      <c r="D18" s="123" t="s">
        <v>1552</v>
      </c>
      <c r="E18" s="123" t="s">
        <v>1579</v>
      </c>
      <c r="F18" s="123" t="s">
        <v>1596</v>
      </c>
      <c r="G18" s="117" t="s">
        <v>2007</v>
      </c>
      <c r="H18" s="295" t="s">
        <v>1565</v>
      </c>
      <c r="I18" s="123" t="s">
        <v>1588</v>
      </c>
    </row>
    <row r="19" spans="1:9" x14ac:dyDescent="0.3">
      <c r="A19" s="123" t="s">
        <v>2224</v>
      </c>
      <c r="B19" s="292" t="s">
        <v>2077</v>
      </c>
      <c r="C19" s="123" t="s">
        <v>1543</v>
      </c>
      <c r="D19" s="123" t="s">
        <v>1552</v>
      </c>
      <c r="E19" s="123" t="s">
        <v>1577</v>
      </c>
      <c r="F19" s="123" t="s">
        <v>1596</v>
      </c>
      <c r="G19" s="117" t="s">
        <v>2003</v>
      </c>
      <c r="H19" s="295" t="s">
        <v>1566</v>
      </c>
      <c r="I19" s="123" t="s">
        <v>1589</v>
      </c>
    </row>
    <row r="20" spans="1:9" x14ac:dyDescent="0.3">
      <c r="A20" s="123" t="s">
        <v>2225</v>
      </c>
      <c r="B20" s="292" t="s">
        <v>2078</v>
      </c>
      <c r="C20" s="123" t="s">
        <v>1543</v>
      </c>
      <c r="D20" s="123" t="s">
        <v>1552</v>
      </c>
      <c r="E20" s="123" t="s">
        <v>1979</v>
      </c>
      <c r="F20" s="123" t="s">
        <v>1596</v>
      </c>
      <c r="G20" s="117" t="s">
        <v>1978</v>
      </c>
      <c r="H20" s="295" t="s">
        <v>1567</v>
      </c>
      <c r="I20" s="123" t="s">
        <v>1590</v>
      </c>
    </row>
    <row r="21" spans="1:9" x14ac:dyDescent="0.3">
      <c r="A21" s="123" t="s">
        <v>2226</v>
      </c>
      <c r="B21" s="292" t="s">
        <v>2079</v>
      </c>
      <c r="C21" s="123" t="s">
        <v>1540</v>
      </c>
      <c r="D21" s="123" t="s">
        <v>1211</v>
      </c>
      <c r="E21" s="123" t="s">
        <v>1576</v>
      </c>
      <c r="F21" s="123" t="s">
        <v>1596</v>
      </c>
      <c r="G21" s="117" t="s">
        <v>2005</v>
      </c>
      <c r="H21" s="298" t="s">
        <v>1557</v>
      </c>
      <c r="I21" s="123" t="s">
        <v>1581</v>
      </c>
    </row>
    <row r="22" spans="1:9" x14ac:dyDescent="0.3">
      <c r="A22" s="123" t="s">
        <v>2227</v>
      </c>
      <c r="B22" s="292" t="s">
        <v>2080</v>
      </c>
      <c r="C22" s="123" t="s">
        <v>1987</v>
      </c>
      <c r="D22" s="123" t="s">
        <v>1208</v>
      </c>
      <c r="E22" s="123" t="s">
        <v>1577</v>
      </c>
      <c r="F22" s="123" t="s">
        <v>1596</v>
      </c>
      <c r="G22" s="117" t="s">
        <v>1849</v>
      </c>
      <c r="H22" s="123" t="s">
        <v>1573</v>
      </c>
      <c r="I22" s="123" t="s">
        <v>1588</v>
      </c>
    </row>
    <row r="23" spans="1:9" x14ac:dyDescent="0.3">
      <c r="A23" s="123" t="s">
        <v>2228</v>
      </c>
      <c r="B23" s="292" t="s">
        <v>2081</v>
      </c>
      <c r="C23" s="123" t="s">
        <v>1526</v>
      </c>
      <c r="D23" s="123" t="s">
        <v>1555</v>
      </c>
      <c r="E23" s="123" t="s">
        <v>1577</v>
      </c>
      <c r="F23" s="123" t="s">
        <v>1596</v>
      </c>
      <c r="G23" s="117" t="s">
        <v>1844</v>
      </c>
      <c r="H23" s="123" t="s">
        <v>1574</v>
      </c>
      <c r="I23" s="123" t="s">
        <v>1588</v>
      </c>
    </row>
    <row r="25" spans="1:9" x14ac:dyDescent="0.3">
      <c r="A25" s="6" t="s">
        <v>1055</v>
      </c>
      <c r="B25" s="6"/>
      <c r="C25" s="6" t="s">
        <v>0</v>
      </c>
      <c r="D25" s="7" t="s">
        <v>1157</v>
      </c>
      <c r="E25" s="274" t="s">
        <v>1760</v>
      </c>
      <c r="F25" s="7" t="s">
        <v>1169</v>
      </c>
      <c r="G25" s="51" t="s">
        <v>1517</v>
      </c>
      <c r="H25" s="272" t="s">
        <v>1518</v>
      </c>
    </row>
    <row r="26" spans="1:9" x14ac:dyDescent="0.3">
      <c r="A26" s="123" t="s">
        <v>2229</v>
      </c>
      <c r="B26" s="266" t="s">
        <v>2087</v>
      </c>
      <c r="C26" s="123" t="s">
        <v>1598</v>
      </c>
      <c r="D26" s="123" t="s">
        <v>1607</v>
      </c>
      <c r="E26" s="123" t="s">
        <v>1577</v>
      </c>
      <c r="F26" s="123" t="s">
        <v>1525</v>
      </c>
      <c r="G26" s="121" t="s">
        <v>1779</v>
      </c>
      <c r="H26" s="123" t="s">
        <v>1778</v>
      </c>
    </row>
    <row r="27" spans="1:9" x14ac:dyDescent="0.3">
      <c r="A27" s="123" t="s">
        <v>2230</v>
      </c>
      <c r="B27" s="266" t="s">
        <v>2088</v>
      </c>
      <c r="C27" s="123" t="s">
        <v>1598</v>
      </c>
      <c r="D27" s="123" t="s">
        <v>1607</v>
      </c>
      <c r="E27" s="123" t="s">
        <v>1623</v>
      </c>
      <c r="F27" s="123" t="s">
        <v>1525</v>
      </c>
      <c r="G27" s="121" t="s">
        <v>1986</v>
      </c>
      <c r="H27" s="123" t="s">
        <v>1614</v>
      </c>
    </row>
    <row r="28" spans="1:9" x14ac:dyDescent="0.3">
      <c r="A28" s="123" t="s">
        <v>2231</v>
      </c>
      <c r="B28" s="266" t="s">
        <v>2089</v>
      </c>
      <c r="C28" s="123" t="s">
        <v>1599</v>
      </c>
      <c r="D28" s="123" t="s">
        <v>1608</v>
      </c>
      <c r="E28" s="123" t="s">
        <v>1579</v>
      </c>
      <c r="F28" s="123" t="s">
        <v>1525</v>
      </c>
      <c r="G28" s="117"/>
      <c r="H28" s="123" t="s">
        <v>1615</v>
      </c>
    </row>
    <row r="29" spans="1:9" x14ac:dyDescent="0.3">
      <c r="A29" s="281" t="s">
        <v>2232</v>
      </c>
      <c r="B29" s="266" t="s">
        <v>2090</v>
      </c>
      <c r="C29" s="281" t="s">
        <v>1600</v>
      </c>
      <c r="D29" s="281" t="s">
        <v>1609</v>
      </c>
      <c r="E29" s="281" t="s">
        <v>1577</v>
      </c>
      <c r="F29" s="281" t="s">
        <v>1525</v>
      </c>
      <c r="G29" s="282" t="s">
        <v>1988</v>
      </c>
      <c r="H29" s="281" t="s">
        <v>1616</v>
      </c>
    </row>
    <row r="30" spans="1:9" x14ac:dyDescent="0.3">
      <c r="A30" s="123" t="s">
        <v>2233</v>
      </c>
      <c r="B30" s="266" t="s">
        <v>2091</v>
      </c>
      <c r="C30" s="123" t="s">
        <v>1601</v>
      </c>
      <c r="D30" s="123" t="s">
        <v>1208</v>
      </c>
      <c r="E30" s="123" t="s">
        <v>1577</v>
      </c>
      <c r="F30" s="123" t="s">
        <v>1525</v>
      </c>
      <c r="G30" s="117" t="s">
        <v>1985</v>
      </c>
      <c r="H30" s="265" t="s">
        <v>1617</v>
      </c>
    </row>
    <row r="31" spans="1:9" x14ac:dyDescent="0.3">
      <c r="A31" s="123" t="s">
        <v>2234</v>
      </c>
      <c r="B31" s="266" t="s">
        <v>2092</v>
      </c>
      <c r="C31" s="123" t="s">
        <v>1602</v>
      </c>
      <c r="D31" s="123" t="s">
        <v>1550</v>
      </c>
      <c r="E31" s="123" t="s">
        <v>1577</v>
      </c>
      <c r="F31" s="123" t="s">
        <v>1525</v>
      </c>
      <c r="G31" s="117" t="s">
        <v>1984</v>
      </c>
      <c r="H31" s="123" t="s">
        <v>1618</v>
      </c>
    </row>
    <row r="32" spans="1:9" x14ac:dyDescent="0.3">
      <c r="A32" s="123" t="s">
        <v>2235</v>
      </c>
      <c r="B32" s="266" t="s">
        <v>2093</v>
      </c>
      <c r="C32" s="123" t="s">
        <v>1603</v>
      </c>
      <c r="D32" s="123" t="s">
        <v>1208</v>
      </c>
      <c r="E32" s="123" t="s">
        <v>1577</v>
      </c>
      <c r="F32" s="123" t="s">
        <v>1525</v>
      </c>
      <c r="G32" s="117" t="s">
        <v>1852</v>
      </c>
      <c r="H32" s="123" t="s">
        <v>1619</v>
      </c>
    </row>
    <row r="33" spans="1:8" x14ac:dyDescent="0.3">
      <c r="A33" s="123" t="s">
        <v>2236</v>
      </c>
      <c r="B33" s="266" t="s">
        <v>2094</v>
      </c>
      <c r="C33" s="123" t="s">
        <v>1604</v>
      </c>
      <c r="D33" s="123" t="s">
        <v>1610</v>
      </c>
      <c r="E33" s="123" t="s">
        <v>1577</v>
      </c>
      <c r="F33" s="123" t="s">
        <v>1525</v>
      </c>
      <c r="G33" s="117" t="s">
        <v>1989</v>
      </c>
      <c r="H33" s="123" t="s">
        <v>2004</v>
      </c>
    </row>
    <row r="34" spans="1:8" x14ac:dyDescent="0.3">
      <c r="A34" s="123" t="s">
        <v>2237</v>
      </c>
      <c r="B34" s="266" t="s">
        <v>2095</v>
      </c>
      <c r="C34" s="123" t="s">
        <v>1605</v>
      </c>
      <c r="D34" s="123" t="s">
        <v>1611</v>
      </c>
      <c r="E34" s="123" t="s">
        <v>1577</v>
      </c>
      <c r="F34" s="123" t="s">
        <v>1525</v>
      </c>
      <c r="G34" s="117">
        <v>61275</v>
      </c>
      <c r="H34" s="123" t="s">
        <v>1621</v>
      </c>
    </row>
    <row r="35" spans="1:8" x14ac:dyDescent="0.3">
      <c r="A35" s="123" t="s">
        <v>2238</v>
      </c>
      <c r="B35" s="266" t="s">
        <v>2096</v>
      </c>
      <c r="C35" s="123" t="s">
        <v>1606</v>
      </c>
      <c r="D35" s="123" t="s">
        <v>1612</v>
      </c>
      <c r="E35" s="123" t="s">
        <v>1577</v>
      </c>
      <c r="F35" s="123" t="s">
        <v>1525</v>
      </c>
      <c r="G35" s="117" t="s">
        <v>1844</v>
      </c>
      <c r="H35" s="123" t="s">
        <v>1622</v>
      </c>
    </row>
    <row r="37" spans="1:8" x14ac:dyDescent="0.3">
      <c r="A37" s="299" t="s">
        <v>1055</v>
      </c>
      <c r="B37" s="299"/>
      <c r="C37" s="299" t="s">
        <v>0</v>
      </c>
      <c r="D37" s="339" t="s">
        <v>1157</v>
      </c>
      <c r="E37" s="339" t="s">
        <v>48</v>
      </c>
      <c r="F37" s="339" t="s">
        <v>1169</v>
      </c>
      <c r="G37" s="340" t="s">
        <v>1517</v>
      </c>
      <c r="H37" s="341" t="s">
        <v>1154</v>
      </c>
    </row>
    <row r="38" spans="1:8" x14ac:dyDescent="0.3">
      <c r="A38" s="123" t="s">
        <v>2716</v>
      </c>
      <c r="B38" s="266" t="s">
        <v>2116</v>
      </c>
      <c r="C38" s="267" t="s">
        <v>1630</v>
      </c>
      <c r="D38" s="123" t="s">
        <v>1647</v>
      </c>
      <c r="E38" s="267" t="s">
        <v>1577</v>
      </c>
      <c r="F38" s="267" t="s">
        <v>1523</v>
      </c>
      <c r="G38" s="117"/>
      <c r="H38" s="268"/>
    </row>
    <row r="39" spans="1:8" x14ac:dyDescent="0.3">
      <c r="A39" s="123" t="s">
        <v>2717</v>
      </c>
      <c r="B39" s="266" t="s">
        <v>2117</v>
      </c>
      <c r="C39" s="123" t="s">
        <v>2053</v>
      </c>
      <c r="D39" s="123" t="s">
        <v>1648</v>
      </c>
      <c r="E39" s="123" t="s">
        <v>1579</v>
      </c>
      <c r="F39" s="123" t="s">
        <v>1523</v>
      </c>
      <c r="G39" s="117" t="s">
        <v>1994</v>
      </c>
      <c r="H39" s="123" t="s">
        <v>1651</v>
      </c>
    </row>
    <row r="40" spans="1:8" x14ac:dyDescent="0.3">
      <c r="A40" s="123" t="s">
        <v>2239</v>
      </c>
      <c r="B40" s="266" t="s">
        <v>2118</v>
      </c>
      <c r="C40" s="123" t="s">
        <v>1632</v>
      </c>
      <c r="D40" s="123" t="s">
        <v>1647</v>
      </c>
      <c r="E40" s="123" t="s">
        <v>1577</v>
      </c>
      <c r="F40" s="123" t="s">
        <v>1523</v>
      </c>
      <c r="G40" s="117" t="s">
        <v>1995</v>
      </c>
      <c r="H40" s="123" t="s">
        <v>1652</v>
      </c>
    </row>
    <row r="41" spans="1:8" x14ac:dyDescent="0.3">
      <c r="A41" s="123" t="s">
        <v>2240</v>
      </c>
      <c r="B41" s="266" t="s">
        <v>2119</v>
      </c>
      <c r="C41" s="123" t="s">
        <v>1633</v>
      </c>
      <c r="D41" s="123" t="s">
        <v>1647</v>
      </c>
      <c r="E41" s="123" t="s">
        <v>1577</v>
      </c>
      <c r="F41" s="123" t="s">
        <v>1523</v>
      </c>
      <c r="G41" s="117"/>
      <c r="H41" s="123" t="s">
        <v>1652</v>
      </c>
    </row>
    <row r="42" spans="1:8" x14ac:dyDescent="0.3">
      <c r="A42" s="123" t="s">
        <v>2241</v>
      </c>
      <c r="B42" s="266" t="s">
        <v>2120</v>
      </c>
      <c r="C42" s="123" t="s">
        <v>2054</v>
      </c>
      <c r="D42" s="123" t="s">
        <v>1648</v>
      </c>
      <c r="E42" s="123" t="s">
        <v>1579</v>
      </c>
      <c r="F42" s="123" t="s">
        <v>1523</v>
      </c>
      <c r="G42" s="117" t="s">
        <v>2055</v>
      </c>
      <c r="H42" s="123"/>
    </row>
    <row r="43" spans="1:8" x14ac:dyDescent="0.3">
      <c r="A43" s="123" t="s">
        <v>2242</v>
      </c>
      <c r="B43" s="266" t="s">
        <v>2102</v>
      </c>
      <c r="C43" s="123" t="s">
        <v>1634</v>
      </c>
      <c r="D43" s="123" t="s">
        <v>1647</v>
      </c>
      <c r="E43" s="123" t="s">
        <v>1577</v>
      </c>
      <c r="F43" s="123" t="s">
        <v>1523</v>
      </c>
      <c r="G43" s="117" t="s">
        <v>1996</v>
      </c>
      <c r="H43" s="123" t="s">
        <v>1652</v>
      </c>
    </row>
    <row r="44" spans="1:8" x14ac:dyDescent="0.3">
      <c r="A44" s="123" t="s">
        <v>2243</v>
      </c>
      <c r="B44" s="266" t="s">
        <v>2103</v>
      </c>
      <c r="C44" s="123" t="s">
        <v>1635</v>
      </c>
      <c r="D44" s="123" t="s">
        <v>1302</v>
      </c>
      <c r="E44" s="123" t="s">
        <v>1579</v>
      </c>
      <c r="F44" s="123" t="s">
        <v>1523</v>
      </c>
      <c r="G44" s="271" t="s">
        <v>1997</v>
      </c>
      <c r="H44" s="123" t="s">
        <v>1651</v>
      </c>
    </row>
    <row r="45" spans="1:8" x14ac:dyDescent="0.3">
      <c r="A45" s="123" t="s">
        <v>2244</v>
      </c>
      <c r="B45" s="266" t="s">
        <v>2104</v>
      </c>
      <c r="C45" s="123" t="s">
        <v>1636</v>
      </c>
      <c r="D45" s="123" t="s">
        <v>1649</v>
      </c>
      <c r="E45" s="123" t="s">
        <v>1577</v>
      </c>
      <c r="F45" s="123" t="s">
        <v>1523</v>
      </c>
      <c r="G45" s="117"/>
      <c r="H45" s="123" t="s">
        <v>1652</v>
      </c>
    </row>
    <row r="46" spans="1:8" x14ac:dyDescent="0.3">
      <c r="A46" s="123" t="s">
        <v>2245</v>
      </c>
      <c r="B46" s="266" t="s">
        <v>2105</v>
      </c>
      <c r="C46" s="123" t="s">
        <v>1637</v>
      </c>
      <c r="D46" s="123" t="s">
        <v>1302</v>
      </c>
      <c r="E46" s="123" t="s">
        <v>1577</v>
      </c>
      <c r="F46" s="123" t="s">
        <v>1523</v>
      </c>
      <c r="G46" s="271">
        <v>861100823056</v>
      </c>
      <c r="H46" s="123"/>
    </row>
    <row r="47" spans="1:8" x14ac:dyDescent="0.3">
      <c r="A47" s="123" t="s">
        <v>2246</v>
      </c>
      <c r="B47" s="266" t="s">
        <v>2106</v>
      </c>
      <c r="C47" s="123" t="s">
        <v>1850</v>
      </c>
      <c r="D47" s="123" t="s">
        <v>1647</v>
      </c>
      <c r="E47" s="123" t="s">
        <v>1577</v>
      </c>
      <c r="F47" s="123" t="s">
        <v>1523</v>
      </c>
      <c r="G47" s="117" t="s">
        <v>1998</v>
      </c>
      <c r="H47" s="123" t="s">
        <v>1653</v>
      </c>
    </row>
    <row r="48" spans="1:8" x14ac:dyDescent="0.3">
      <c r="A48" s="123" t="s">
        <v>2247</v>
      </c>
      <c r="B48" s="266" t="s">
        <v>2107</v>
      </c>
      <c r="C48" s="123" t="s">
        <v>1851</v>
      </c>
      <c r="D48" s="123" t="s">
        <v>1647</v>
      </c>
      <c r="E48" s="123" t="s">
        <v>1577</v>
      </c>
      <c r="F48" s="123" t="s">
        <v>1523</v>
      </c>
      <c r="G48" s="117" t="s">
        <v>1999</v>
      </c>
      <c r="H48" s="123" t="s">
        <v>1654</v>
      </c>
    </row>
    <row r="49" spans="1:8" x14ac:dyDescent="0.3">
      <c r="A49" s="123" t="s">
        <v>2248</v>
      </c>
      <c r="B49" s="266" t="s">
        <v>2108</v>
      </c>
      <c r="C49" s="123" t="s">
        <v>1640</v>
      </c>
      <c r="D49" s="123" t="s">
        <v>1647</v>
      </c>
      <c r="E49" s="123" t="s">
        <v>1980</v>
      </c>
      <c r="F49" s="123" t="s">
        <v>1523</v>
      </c>
      <c r="G49" s="117" t="s">
        <v>2001</v>
      </c>
      <c r="H49" s="123" t="s">
        <v>1655</v>
      </c>
    </row>
    <row r="50" spans="1:8" x14ac:dyDescent="0.3">
      <c r="A50" s="123" t="s">
        <v>2249</v>
      </c>
      <c r="B50" s="266" t="s">
        <v>2109</v>
      </c>
      <c r="C50" s="123" t="s">
        <v>1640</v>
      </c>
      <c r="D50" s="123" t="s">
        <v>1647</v>
      </c>
      <c r="E50" s="123" t="s">
        <v>1577</v>
      </c>
      <c r="F50" s="123" t="s">
        <v>1523</v>
      </c>
      <c r="G50" s="117" t="s">
        <v>2000</v>
      </c>
      <c r="H50" s="123" t="s">
        <v>1656</v>
      </c>
    </row>
    <row r="51" spans="1:8" x14ac:dyDescent="0.3">
      <c r="A51" s="123" t="s">
        <v>2250</v>
      </c>
      <c r="B51" s="266" t="s">
        <v>2110</v>
      </c>
      <c r="C51" s="123" t="s">
        <v>1641</v>
      </c>
      <c r="D51" s="123" t="s">
        <v>1647</v>
      </c>
      <c r="E51" s="123" t="s">
        <v>1579</v>
      </c>
      <c r="F51" s="123" t="s">
        <v>1523</v>
      </c>
      <c r="G51" s="117" t="s">
        <v>2002</v>
      </c>
      <c r="H51" s="123" t="s">
        <v>1657</v>
      </c>
    </row>
    <row r="52" spans="1:8" x14ac:dyDescent="0.3">
      <c r="A52" s="123" t="s">
        <v>2251</v>
      </c>
      <c r="B52" s="266" t="s">
        <v>2111</v>
      </c>
      <c r="C52" s="123" t="s">
        <v>1642</v>
      </c>
      <c r="D52" s="123" t="s">
        <v>1647</v>
      </c>
      <c r="E52" s="123" t="s">
        <v>1579</v>
      </c>
      <c r="F52" s="123" t="s">
        <v>1523</v>
      </c>
      <c r="G52" s="117"/>
      <c r="H52" s="123" t="s">
        <v>1658</v>
      </c>
    </row>
    <row r="53" spans="1:8" x14ac:dyDescent="0.3">
      <c r="A53" s="123" t="s">
        <v>2252</v>
      </c>
      <c r="B53" s="266" t="s">
        <v>2112</v>
      </c>
      <c r="C53" s="123" t="s">
        <v>1643</v>
      </c>
      <c r="D53" s="123" t="s">
        <v>1647</v>
      </c>
      <c r="E53" s="123" t="s">
        <v>1577</v>
      </c>
      <c r="F53" s="123" t="s">
        <v>1523</v>
      </c>
      <c r="G53" s="117"/>
      <c r="H53" s="123" t="s">
        <v>1659</v>
      </c>
    </row>
    <row r="54" spans="1:8" x14ac:dyDescent="0.3">
      <c r="A54" s="281" t="s">
        <v>2253</v>
      </c>
      <c r="B54" s="266" t="s">
        <v>2113</v>
      </c>
      <c r="C54" s="281" t="s">
        <v>1644</v>
      </c>
      <c r="D54" s="281" t="s">
        <v>1650</v>
      </c>
      <c r="E54" s="281" t="s">
        <v>1577</v>
      </c>
      <c r="F54" s="281" t="s">
        <v>1523</v>
      </c>
      <c r="G54" s="282"/>
      <c r="H54" s="281" t="s">
        <v>1659</v>
      </c>
    </row>
    <row r="55" spans="1:8" x14ac:dyDescent="0.3">
      <c r="A55" s="123" t="s">
        <v>2254</v>
      </c>
      <c r="B55" s="266" t="s">
        <v>2114</v>
      </c>
      <c r="C55" s="123" t="s">
        <v>1645</v>
      </c>
      <c r="D55" s="123" t="s">
        <v>1647</v>
      </c>
      <c r="E55" s="123" t="s">
        <v>1980</v>
      </c>
      <c r="F55" s="123" t="s">
        <v>1523</v>
      </c>
      <c r="G55" s="117"/>
      <c r="H55" s="123" t="s">
        <v>1660</v>
      </c>
    </row>
    <row r="56" spans="1:8" x14ac:dyDescent="0.3">
      <c r="A56" s="123" t="s">
        <v>2255</v>
      </c>
      <c r="B56" s="266" t="s">
        <v>2115</v>
      </c>
      <c r="C56" s="123" t="s">
        <v>1646</v>
      </c>
      <c r="D56" s="123" t="s">
        <v>1647</v>
      </c>
      <c r="E56" s="123" t="s">
        <v>1976</v>
      </c>
      <c r="F56" s="123" t="s">
        <v>1523</v>
      </c>
      <c r="G56" s="117" t="s">
        <v>1977</v>
      </c>
      <c r="H56" s="123" t="s">
        <v>1652</v>
      </c>
    </row>
    <row r="60" spans="1:8" s="124" customFormat="1" x14ac:dyDescent="0.3">
      <c r="A60" s="6" t="s">
        <v>1055</v>
      </c>
      <c r="B60" s="6"/>
      <c r="C60" s="6" t="s">
        <v>0</v>
      </c>
      <c r="D60" s="7" t="s">
        <v>1760</v>
      </c>
      <c r="E60" s="7" t="s">
        <v>1522</v>
      </c>
      <c r="F60" s="51" t="s">
        <v>1517</v>
      </c>
    </row>
    <row r="61" spans="1:8" s="124" customFormat="1" x14ac:dyDescent="0.3">
      <c r="A61" s="123" t="s">
        <v>2688</v>
      </c>
      <c r="B61" s="266" t="s">
        <v>2178</v>
      </c>
      <c r="C61" s="123" t="s">
        <v>1970</v>
      </c>
      <c r="D61" s="123" t="s">
        <v>1726</v>
      </c>
      <c r="E61" s="123"/>
      <c r="F61" s="117"/>
    </row>
    <row r="62" spans="1:8" x14ac:dyDescent="0.3">
      <c r="A62" s="123" t="s">
        <v>2689</v>
      </c>
      <c r="B62" s="266" t="s">
        <v>2182</v>
      </c>
      <c r="C62" s="123" t="s">
        <v>1970</v>
      </c>
      <c r="D62" s="123" t="s">
        <v>1577</v>
      </c>
      <c r="E62" s="123"/>
      <c r="F62" s="117"/>
    </row>
    <row r="63" spans="1:8" x14ac:dyDescent="0.3">
      <c r="A63" s="123" t="s">
        <v>2690</v>
      </c>
      <c r="B63" s="266" t="s">
        <v>2184</v>
      </c>
      <c r="C63" s="123" t="s">
        <v>1970</v>
      </c>
      <c r="D63" s="123" t="s">
        <v>1759</v>
      </c>
      <c r="E63" s="123"/>
      <c r="F63" s="117"/>
    </row>
    <row r="64" spans="1:8" x14ac:dyDescent="0.3">
      <c r="A64" s="123" t="s">
        <v>2691</v>
      </c>
      <c r="B64" s="266" t="s">
        <v>2185</v>
      </c>
      <c r="C64" s="123" t="s">
        <v>1970</v>
      </c>
      <c r="D64" s="123" t="s">
        <v>1980</v>
      </c>
      <c r="E64" s="123"/>
      <c r="F64" s="117"/>
    </row>
    <row r="65" spans="1:6" x14ac:dyDescent="0.3">
      <c r="A65" s="123" t="s">
        <v>2692</v>
      </c>
      <c r="B65" s="266" t="s">
        <v>2204</v>
      </c>
      <c r="C65" s="123" t="s">
        <v>1970</v>
      </c>
      <c r="D65" s="123" t="s">
        <v>1980</v>
      </c>
      <c r="E65" s="123"/>
      <c r="F65" s="117"/>
    </row>
    <row r="66" spans="1:6" x14ac:dyDescent="0.3">
      <c r="A66" s="123" t="s">
        <v>2693</v>
      </c>
      <c r="B66" s="266" t="s">
        <v>2205</v>
      </c>
      <c r="C66" s="123" t="s">
        <v>1970</v>
      </c>
      <c r="D66" s="123" t="s">
        <v>1980</v>
      </c>
      <c r="E66" s="123"/>
      <c r="F66" s="117"/>
    </row>
    <row r="67" spans="1:6" x14ac:dyDescent="0.3">
      <c r="A67" s="123" t="s">
        <v>2694</v>
      </c>
      <c r="B67" s="266" t="s">
        <v>2186</v>
      </c>
      <c r="C67" s="123" t="s">
        <v>1971</v>
      </c>
      <c r="D67" s="123" t="s">
        <v>1726</v>
      </c>
      <c r="E67" s="123"/>
      <c r="F67" s="117"/>
    </row>
    <row r="68" spans="1:6" x14ac:dyDescent="0.3">
      <c r="A68" s="123" t="s">
        <v>2695</v>
      </c>
      <c r="B68" s="266" t="s">
        <v>2179</v>
      </c>
      <c r="C68" s="123" t="s">
        <v>1971</v>
      </c>
      <c r="D68" s="123" t="s">
        <v>1726</v>
      </c>
      <c r="E68" s="123"/>
      <c r="F68" s="117"/>
    </row>
    <row r="69" spans="1:6" x14ac:dyDescent="0.3">
      <c r="A69" s="123" t="s">
        <v>2696</v>
      </c>
      <c r="B69" s="266" t="s">
        <v>2180</v>
      </c>
      <c r="C69" s="123" t="s">
        <v>1971</v>
      </c>
      <c r="D69" s="123" t="s">
        <v>1726</v>
      </c>
      <c r="E69" s="123"/>
      <c r="F69" s="117"/>
    </row>
    <row r="70" spans="1:6" x14ac:dyDescent="0.3">
      <c r="A70" s="123" t="s">
        <v>2697</v>
      </c>
      <c r="B70" s="266" t="s">
        <v>2187</v>
      </c>
      <c r="C70" s="123" t="s">
        <v>1971</v>
      </c>
      <c r="D70" s="123" t="s">
        <v>1577</v>
      </c>
      <c r="E70" s="123"/>
      <c r="F70" s="117"/>
    </row>
    <row r="71" spans="1:6" x14ac:dyDescent="0.3">
      <c r="A71" s="123" t="s">
        <v>2698</v>
      </c>
      <c r="B71" s="266" t="s">
        <v>2188</v>
      </c>
      <c r="C71" s="123" t="s">
        <v>1971</v>
      </c>
      <c r="D71" s="123" t="s">
        <v>1577</v>
      </c>
      <c r="E71" s="123"/>
      <c r="F71" s="117"/>
    </row>
    <row r="72" spans="1:6" x14ac:dyDescent="0.3">
      <c r="A72" s="123" t="s">
        <v>2699</v>
      </c>
      <c r="B72" s="266" t="s">
        <v>2189</v>
      </c>
      <c r="C72" s="123" t="s">
        <v>1971</v>
      </c>
      <c r="D72" s="123" t="s">
        <v>1577</v>
      </c>
      <c r="E72" s="123"/>
      <c r="F72" s="117"/>
    </row>
    <row r="73" spans="1:6" x14ac:dyDescent="0.3">
      <c r="A73" s="123" t="s">
        <v>2700</v>
      </c>
      <c r="B73" s="266" t="s">
        <v>2190</v>
      </c>
      <c r="C73" s="123" t="s">
        <v>1971</v>
      </c>
      <c r="D73" s="123" t="s">
        <v>1759</v>
      </c>
      <c r="E73" s="123"/>
      <c r="F73" s="117"/>
    </row>
    <row r="74" spans="1:6" x14ac:dyDescent="0.3">
      <c r="A74" s="123" t="s">
        <v>2701</v>
      </c>
      <c r="B74" s="266" t="s">
        <v>2191</v>
      </c>
      <c r="C74" s="123" t="s">
        <v>1971</v>
      </c>
      <c r="D74" s="123" t="s">
        <v>1980</v>
      </c>
      <c r="E74" s="123"/>
      <c r="F74" s="117"/>
    </row>
    <row r="75" spans="1:6" s="124" customFormat="1" x14ac:dyDescent="0.3">
      <c r="A75" s="123" t="s">
        <v>2702</v>
      </c>
      <c r="B75" s="266" t="s">
        <v>2192</v>
      </c>
      <c r="C75" s="123" t="s">
        <v>1971</v>
      </c>
      <c r="D75" s="123" t="s">
        <v>1980</v>
      </c>
      <c r="E75" s="123"/>
      <c r="F75" s="121"/>
    </row>
    <row r="76" spans="1:6" s="124" customFormat="1" x14ac:dyDescent="0.3">
      <c r="A76" s="123" t="s">
        <v>2703</v>
      </c>
      <c r="B76" s="266" t="s">
        <v>2193</v>
      </c>
      <c r="C76" s="123" t="s">
        <v>1971</v>
      </c>
      <c r="D76" s="123" t="s">
        <v>1973</v>
      </c>
      <c r="E76" s="123"/>
      <c r="F76" s="121"/>
    </row>
    <row r="77" spans="1:6" s="124" customFormat="1" x14ac:dyDescent="0.3">
      <c r="A77" s="123" t="s">
        <v>2704</v>
      </c>
      <c r="B77" s="266" t="s">
        <v>2194</v>
      </c>
      <c r="C77" s="123" t="s">
        <v>1972</v>
      </c>
      <c r="D77" s="123" t="s">
        <v>1726</v>
      </c>
      <c r="E77" s="123"/>
      <c r="F77" s="121"/>
    </row>
    <row r="78" spans="1:6" x14ac:dyDescent="0.3">
      <c r="A78" s="123" t="s">
        <v>2705</v>
      </c>
      <c r="B78" s="266" t="s">
        <v>2183</v>
      </c>
      <c r="C78" s="123" t="s">
        <v>1972</v>
      </c>
      <c r="D78" s="123" t="s">
        <v>1726</v>
      </c>
      <c r="E78" s="123"/>
      <c r="F78" s="121"/>
    </row>
    <row r="79" spans="1:6" x14ac:dyDescent="0.3">
      <c r="A79" s="123" t="s">
        <v>2706</v>
      </c>
      <c r="B79" s="266" t="s">
        <v>2195</v>
      </c>
      <c r="C79" s="123" t="s">
        <v>1972</v>
      </c>
      <c r="D79" s="123" t="s">
        <v>1759</v>
      </c>
      <c r="E79" s="123"/>
      <c r="F79" s="117"/>
    </row>
    <row r="80" spans="1:6" x14ac:dyDescent="0.3">
      <c r="A80" s="123" t="s">
        <v>2707</v>
      </c>
      <c r="B80" s="266" t="s">
        <v>2181</v>
      </c>
      <c r="C80" s="123" t="s">
        <v>1972</v>
      </c>
      <c r="D80" s="123" t="s">
        <v>1980</v>
      </c>
      <c r="E80" s="123"/>
      <c r="F80" s="117"/>
    </row>
    <row r="81" spans="1:6" x14ac:dyDescent="0.3">
      <c r="A81" s="123" t="s">
        <v>2708</v>
      </c>
      <c r="B81" s="266" t="s">
        <v>2196</v>
      </c>
      <c r="C81" s="123" t="s">
        <v>1972</v>
      </c>
      <c r="D81" s="123" t="s">
        <v>1980</v>
      </c>
      <c r="E81" s="123"/>
      <c r="F81" s="117"/>
    </row>
    <row r="82" spans="1:6" x14ac:dyDescent="0.3">
      <c r="A82" s="123" t="s">
        <v>2709</v>
      </c>
      <c r="B82" s="266" t="s">
        <v>2197</v>
      </c>
      <c r="C82" s="123" t="s">
        <v>1972</v>
      </c>
      <c r="D82" s="123" t="s">
        <v>1980</v>
      </c>
      <c r="E82" s="123"/>
      <c r="F82" s="117"/>
    </row>
    <row r="83" spans="1:6" x14ac:dyDescent="0.3">
      <c r="A83" s="123" t="s">
        <v>2710</v>
      </c>
      <c r="B83" s="266" t="s">
        <v>2198</v>
      </c>
      <c r="C83" s="123" t="s">
        <v>1972</v>
      </c>
      <c r="D83" s="123" t="s">
        <v>1980</v>
      </c>
      <c r="E83" s="123"/>
      <c r="F83" s="117"/>
    </row>
    <row r="84" spans="1:6" x14ac:dyDescent="0.3">
      <c r="A84" s="346" t="s">
        <v>2711</v>
      </c>
      <c r="B84" s="266" t="s">
        <v>2199</v>
      </c>
      <c r="C84" s="346" t="s">
        <v>1972</v>
      </c>
      <c r="D84" s="346" t="s">
        <v>2052</v>
      </c>
      <c r="E84" s="346"/>
      <c r="F84" s="347"/>
    </row>
    <row r="85" spans="1:6" x14ac:dyDescent="0.3">
      <c r="A85" s="346" t="s">
        <v>2712</v>
      </c>
      <c r="B85" s="266" t="s">
        <v>2200</v>
      </c>
      <c r="C85" s="346" t="s">
        <v>1972</v>
      </c>
      <c r="D85" s="346" t="s">
        <v>2052</v>
      </c>
      <c r="E85" s="346"/>
      <c r="F85" s="347"/>
    </row>
    <row r="86" spans="1:6" x14ac:dyDescent="0.3">
      <c r="A86" s="116" t="s">
        <v>2713</v>
      </c>
      <c r="B86" s="292" t="s">
        <v>2201</v>
      </c>
      <c r="C86" s="116" t="s">
        <v>1972</v>
      </c>
      <c r="D86" s="116" t="s">
        <v>1973</v>
      </c>
      <c r="E86" s="116"/>
      <c r="F86" s="117"/>
    </row>
    <row r="87" spans="1:6" x14ac:dyDescent="0.3">
      <c r="A87" s="116" t="s">
        <v>2714</v>
      </c>
      <c r="B87" s="292" t="s">
        <v>2202</v>
      </c>
      <c r="C87" s="116" t="s">
        <v>1972</v>
      </c>
      <c r="D87" s="116" t="s">
        <v>1973</v>
      </c>
      <c r="E87" s="116"/>
      <c r="F87" s="117"/>
    </row>
    <row r="88" spans="1:6" x14ac:dyDescent="0.3">
      <c r="A88" s="123" t="s">
        <v>2715</v>
      </c>
      <c r="B88" s="266" t="s">
        <v>2203</v>
      </c>
      <c r="C88" s="123" t="s">
        <v>2027</v>
      </c>
      <c r="D88" s="123" t="s">
        <v>1980</v>
      </c>
      <c r="E88" s="123"/>
      <c r="F88" s="117"/>
    </row>
    <row r="90" spans="1:6" x14ac:dyDescent="0.3">
      <c r="A90" s="299" t="s">
        <v>1055</v>
      </c>
      <c r="B90" s="352"/>
      <c r="C90" s="299" t="s">
        <v>0</v>
      </c>
      <c r="D90" s="339" t="s">
        <v>2014</v>
      </c>
      <c r="E90" s="339" t="s">
        <v>1760</v>
      </c>
      <c r="F90" s="339" t="s">
        <v>1522</v>
      </c>
    </row>
    <row r="91" spans="1:6" x14ac:dyDescent="0.3">
      <c r="A91" s="123" t="s">
        <v>2275</v>
      </c>
      <c r="B91" s="266" t="s">
        <v>2133</v>
      </c>
      <c r="C91" s="123" t="s">
        <v>873</v>
      </c>
      <c r="D91" s="123"/>
      <c r="E91" s="123" t="s">
        <v>1577</v>
      </c>
      <c r="F91" s="123" t="s">
        <v>1725</v>
      </c>
    </row>
    <row r="92" spans="1:6" x14ac:dyDescent="0.3">
      <c r="A92" s="116" t="s">
        <v>2279</v>
      </c>
      <c r="B92" s="266" t="s">
        <v>2276</v>
      </c>
      <c r="C92" s="116" t="s">
        <v>2058</v>
      </c>
      <c r="D92" s="116"/>
      <c r="E92" s="116" t="s">
        <v>1726</v>
      </c>
      <c r="F92" s="116" t="s">
        <v>1725</v>
      </c>
    </row>
    <row r="93" spans="1:6" x14ac:dyDescent="0.3">
      <c r="A93" s="123" t="s">
        <v>2277</v>
      </c>
      <c r="B93" s="266" t="s">
        <v>2140</v>
      </c>
      <c r="C93" s="123" t="s">
        <v>1768</v>
      </c>
      <c r="D93" s="123"/>
      <c r="E93" s="123" t="s">
        <v>1577</v>
      </c>
      <c r="F93" s="123" t="s">
        <v>1725</v>
      </c>
    </row>
    <row r="94" spans="1:6" x14ac:dyDescent="0.3">
      <c r="A94" s="123" t="s">
        <v>2278</v>
      </c>
      <c r="B94" s="266" t="s">
        <v>2141</v>
      </c>
      <c r="C94" s="123" t="s">
        <v>2050</v>
      </c>
      <c r="D94" s="123"/>
      <c r="E94" s="123" t="s">
        <v>1980</v>
      </c>
      <c r="F94" s="123" t="s">
        <v>1725</v>
      </c>
    </row>
    <row r="95" spans="1:6" x14ac:dyDescent="0.3">
      <c r="A95" s="123" t="s">
        <v>2280</v>
      </c>
      <c r="B95" s="266" t="s">
        <v>2142</v>
      </c>
      <c r="C95" s="123" t="s">
        <v>2050</v>
      </c>
      <c r="D95" s="123"/>
      <c r="E95" s="123" t="s">
        <v>1980</v>
      </c>
      <c r="F95" s="123" t="s">
        <v>1725</v>
      </c>
    </row>
    <row r="96" spans="1:6" x14ac:dyDescent="0.3">
      <c r="A96" s="123" t="s">
        <v>2281</v>
      </c>
      <c r="B96" s="266" t="s">
        <v>2143</v>
      </c>
      <c r="C96" s="123" t="s">
        <v>1769</v>
      </c>
      <c r="D96" s="123"/>
      <c r="E96" s="123" t="s">
        <v>1726</v>
      </c>
      <c r="F96" s="123" t="s">
        <v>1725</v>
      </c>
    </row>
    <row r="97" spans="1:6" x14ac:dyDescent="0.3">
      <c r="A97" s="123" t="s">
        <v>2282</v>
      </c>
      <c r="B97" s="266" t="s">
        <v>2144</v>
      </c>
      <c r="C97" s="123" t="s">
        <v>1770</v>
      </c>
      <c r="D97" s="123"/>
      <c r="E97" s="123" t="s">
        <v>1577</v>
      </c>
      <c r="F97" s="123" t="s">
        <v>1725</v>
      </c>
    </row>
    <row r="98" spans="1:6" x14ac:dyDescent="0.3">
      <c r="A98" s="123" t="s">
        <v>2283</v>
      </c>
      <c r="B98" s="266" t="s">
        <v>2145</v>
      </c>
      <c r="C98" s="123" t="s">
        <v>1534</v>
      </c>
      <c r="D98" s="123"/>
      <c r="E98" s="266" t="s">
        <v>1980</v>
      </c>
      <c r="F98" s="123" t="s">
        <v>1725</v>
      </c>
    </row>
    <row r="99" spans="1:6" x14ac:dyDescent="0.3">
      <c r="A99" s="123" t="s">
        <v>2284</v>
      </c>
      <c r="B99" s="266" t="s">
        <v>2146</v>
      </c>
      <c r="C99" s="123" t="s">
        <v>1534</v>
      </c>
      <c r="D99" s="123"/>
      <c r="E99" s="266" t="s">
        <v>1578</v>
      </c>
      <c r="F99" s="123" t="s">
        <v>1725</v>
      </c>
    </row>
    <row r="100" spans="1:6" x14ac:dyDescent="0.3">
      <c r="A100" s="123" t="s">
        <v>2285</v>
      </c>
      <c r="B100" s="266" t="s">
        <v>2147</v>
      </c>
      <c r="C100" s="123" t="s">
        <v>1981</v>
      </c>
      <c r="D100" s="123"/>
      <c r="E100" s="266" t="s">
        <v>1980</v>
      </c>
      <c r="F100" s="123" t="s">
        <v>1725</v>
      </c>
    </row>
    <row r="101" spans="1:6" x14ac:dyDescent="0.3">
      <c r="A101" s="123" t="s">
        <v>2286</v>
      </c>
      <c r="B101" s="266" t="s">
        <v>2731</v>
      </c>
      <c r="C101" s="123" t="s">
        <v>1981</v>
      </c>
      <c r="D101" s="123"/>
      <c r="E101" s="266" t="s">
        <v>1578</v>
      </c>
      <c r="F101" s="123" t="s">
        <v>1725</v>
      </c>
    </row>
    <row r="102" spans="1:6" x14ac:dyDescent="0.3">
      <c r="A102" s="123" t="s">
        <v>2287</v>
      </c>
      <c r="B102" s="266" t="s">
        <v>2288</v>
      </c>
      <c r="C102" s="123" t="s">
        <v>1771</v>
      </c>
      <c r="D102" s="123"/>
      <c r="E102" s="123" t="s">
        <v>1726</v>
      </c>
      <c r="F102" s="123" t="s">
        <v>1725</v>
      </c>
    </row>
    <row r="103" spans="1:6" x14ac:dyDescent="0.3">
      <c r="A103" s="123" t="s">
        <v>2289</v>
      </c>
      <c r="B103" s="266" t="s">
        <v>2290</v>
      </c>
      <c r="C103" s="123" t="s">
        <v>1535</v>
      </c>
      <c r="D103" s="123"/>
      <c r="E103" s="279" t="s">
        <v>2752</v>
      </c>
      <c r="F103" s="123" t="s">
        <v>1725</v>
      </c>
    </row>
    <row r="104" spans="1:6" x14ac:dyDescent="0.3">
      <c r="A104" s="203" t="s">
        <v>2291</v>
      </c>
      <c r="B104" s="344" t="s">
        <v>2292</v>
      </c>
      <c r="C104" s="203" t="s">
        <v>2024</v>
      </c>
      <c r="D104" s="203"/>
      <c r="E104" s="279" t="s">
        <v>2752</v>
      </c>
      <c r="F104" s="123" t="s">
        <v>1725</v>
      </c>
    </row>
    <row r="105" spans="1:6" x14ac:dyDescent="0.3">
      <c r="A105" s="123" t="s">
        <v>2293</v>
      </c>
      <c r="B105" s="266" t="s">
        <v>2294</v>
      </c>
      <c r="C105" s="123" t="s">
        <v>2207</v>
      </c>
      <c r="D105" s="123"/>
      <c r="E105" s="123" t="s">
        <v>2208</v>
      </c>
      <c r="F105" s="123" t="s">
        <v>1725</v>
      </c>
    </row>
    <row r="106" spans="1:6" ht="15" thickBot="1" x14ac:dyDescent="0.35">
      <c r="A106" s="301" t="s">
        <v>2295</v>
      </c>
      <c r="B106" s="345" t="s">
        <v>2296</v>
      </c>
      <c r="C106" s="301" t="s">
        <v>2051</v>
      </c>
      <c r="D106" s="301"/>
      <c r="E106" s="301" t="s">
        <v>1980</v>
      </c>
      <c r="F106" s="301" t="s">
        <v>1725</v>
      </c>
    </row>
    <row r="107" spans="1:6" ht="15" thickBot="1" x14ac:dyDescent="0.35">
      <c r="A107" s="449" t="s">
        <v>2297</v>
      </c>
      <c r="B107" s="349"/>
      <c r="C107" s="452" t="s">
        <v>2015</v>
      </c>
      <c r="D107" s="300">
        <v>115</v>
      </c>
      <c r="E107" s="300" t="s">
        <v>2016</v>
      </c>
      <c r="F107" s="342" t="s">
        <v>1725</v>
      </c>
    </row>
    <row r="108" spans="1:6" x14ac:dyDescent="0.3">
      <c r="A108" s="450"/>
      <c r="B108" s="350" t="s">
        <v>2298</v>
      </c>
      <c r="C108" s="453"/>
      <c r="D108" s="165">
        <v>26</v>
      </c>
      <c r="E108" s="165" t="s">
        <v>2062</v>
      </c>
      <c r="F108" s="342" t="s">
        <v>1725</v>
      </c>
    </row>
    <row r="109" spans="1:6" ht="15" thickBot="1" x14ac:dyDescent="0.35">
      <c r="A109" s="451"/>
      <c r="B109" s="351"/>
      <c r="C109" s="454"/>
      <c r="D109" s="301">
        <v>0</v>
      </c>
      <c r="E109" s="301" t="s">
        <v>2061</v>
      </c>
      <c r="F109" s="343" t="s">
        <v>1725</v>
      </c>
    </row>
    <row r="110" spans="1:6" x14ac:dyDescent="0.3">
      <c r="A110" s="376" t="s">
        <v>2297</v>
      </c>
      <c r="B110" s="378" t="s">
        <v>2298</v>
      </c>
      <c r="C110" s="380" t="s">
        <v>2753</v>
      </c>
      <c r="D110" s="203">
        <v>6</v>
      </c>
      <c r="E110" s="203" t="s">
        <v>1980</v>
      </c>
      <c r="F110" s="375"/>
    </row>
    <row r="111" spans="1:6" x14ac:dyDescent="0.3">
      <c r="A111" s="377" t="s">
        <v>2297</v>
      </c>
      <c r="B111" s="379" t="s">
        <v>2298</v>
      </c>
      <c r="C111" s="377" t="s">
        <v>2754</v>
      </c>
      <c r="D111" s="123">
        <v>117</v>
      </c>
      <c r="E111" s="123" t="s">
        <v>1980</v>
      </c>
      <c r="F111" s="238"/>
    </row>
    <row r="112" spans="1:6" x14ac:dyDescent="0.3">
      <c r="A112" s="377" t="s">
        <v>2297</v>
      </c>
      <c r="B112" s="379" t="s">
        <v>2298</v>
      </c>
      <c r="C112" s="377" t="s">
        <v>2755</v>
      </c>
      <c r="D112" s="123">
        <v>25</v>
      </c>
      <c r="E112" s="123" t="s">
        <v>1980</v>
      </c>
      <c r="F112" s="238"/>
    </row>
    <row r="113" spans="1:6" x14ac:dyDescent="0.3">
      <c r="A113" s="377" t="s">
        <v>2297</v>
      </c>
      <c r="B113" s="379" t="s">
        <v>2298</v>
      </c>
      <c r="C113" s="377" t="s">
        <v>2756</v>
      </c>
      <c r="D113" s="123">
        <v>12</v>
      </c>
      <c r="E113" s="123" t="s">
        <v>1980</v>
      </c>
      <c r="F113" s="238"/>
    </row>
    <row r="114" spans="1:6" x14ac:dyDescent="0.3">
      <c r="A114" s="123" t="s">
        <v>2299</v>
      </c>
      <c r="B114" s="266" t="s">
        <v>2148</v>
      </c>
      <c r="C114" s="123" t="s">
        <v>2011</v>
      </c>
      <c r="D114" s="123">
        <v>42</v>
      </c>
      <c r="E114" s="123" t="s">
        <v>1577</v>
      </c>
      <c r="F114" s="123" t="s">
        <v>1725</v>
      </c>
    </row>
    <row r="115" spans="1:6" x14ac:dyDescent="0.3">
      <c r="A115" s="123" t="s">
        <v>2300</v>
      </c>
      <c r="B115" s="266" t="s">
        <v>2149</v>
      </c>
      <c r="C115" s="123" t="s">
        <v>2012</v>
      </c>
      <c r="D115" s="123"/>
      <c r="E115" s="123" t="s">
        <v>1577</v>
      </c>
      <c r="F115" s="123" t="s">
        <v>1725</v>
      </c>
    </row>
    <row r="116" spans="1:6" x14ac:dyDescent="0.3">
      <c r="A116" s="123" t="s">
        <v>2301</v>
      </c>
      <c r="B116" s="266" t="s">
        <v>2150</v>
      </c>
      <c r="C116" s="123" t="s">
        <v>2013</v>
      </c>
      <c r="D116" s="123"/>
      <c r="E116" s="123" t="s">
        <v>1577</v>
      </c>
      <c r="F116" s="123" t="s">
        <v>1725</v>
      </c>
    </row>
    <row r="117" spans="1:6" x14ac:dyDescent="0.3">
      <c r="A117" s="123" t="s">
        <v>2302</v>
      </c>
      <c r="B117" s="266" t="s">
        <v>2155</v>
      </c>
      <c r="C117" s="123" t="s">
        <v>2017</v>
      </c>
      <c r="D117" s="123"/>
      <c r="E117" s="123" t="s">
        <v>1576</v>
      </c>
      <c r="F117" s="123" t="s">
        <v>1725</v>
      </c>
    </row>
    <row r="118" spans="1:6" x14ac:dyDescent="0.3">
      <c r="A118" s="123" t="s">
        <v>2307</v>
      </c>
      <c r="B118" s="266" t="s">
        <v>2308</v>
      </c>
      <c r="C118" s="123" t="s">
        <v>2718</v>
      </c>
      <c r="D118" s="123"/>
      <c r="E118" s="123" t="s">
        <v>1577</v>
      </c>
      <c r="F118" s="123" t="s">
        <v>1725</v>
      </c>
    </row>
    <row r="119" spans="1:6" x14ac:dyDescent="0.3">
      <c r="A119" s="123" t="s">
        <v>2719</v>
      </c>
      <c r="B119" s="266" t="s">
        <v>2725</v>
      </c>
      <c r="C119" s="123" t="s">
        <v>2718</v>
      </c>
      <c r="D119" s="123"/>
      <c r="E119" s="123" t="s">
        <v>2742</v>
      </c>
      <c r="F119" s="123" t="s">
        <v>1725</v>
      </c>
    </row>
    <row r="120" spans="1:6" x14ac:dyDescent="0.3">
      <c r="A120" s="123" t="s">
        <v>2720</v>
      </c>
      <c r="B120" s="266" t="s">
        <v>2726</v>
      </c>
      <c r="C120" s="123" t="s">
        <v>2718</v>
      </c>
      <c r="D120" s="123"/>
      <c r="E120" s="123" t="s">
        <v>2208</v>
      </c>
      <c r="F120" s="123" t="s">
        <v>1725</v>
      </c>
    </row>
    <row r="121" spans="1:6" x14ac:dyDescent="0.3">
      <c r="A121" s="123" t="s">
        <v>2721</v>
      </c>
      <c r="B121" s="266" t="s">
        <v>2727</v>
      </c>
      <c r="C121" s="123" t="s">
        <v>2718</v>
      </c>
      <c r="D121" s="123"/>
      <c r="E121" s="123" t="s">
        <v>2061</v>
      </c>
      <c r="F121" s="123" t="s">
        <v>1725</v>
      </c>
    </row>
    <row r="122" spans="1:6" x14ac:dyDescent="0.3">
      <c r="A122" s="123" t="s">
        <v>2722</v>
      </c>
      <c r="B122" s="266" t="s">
        <v>2728</v>
      </c>
      <c r="C122" s="123" t="s">
        <v>2718</v>
      </c>
      <c r="D122" s="123"/>
      <c r="E122" s="123" t="s">
        <v>2061</v>
      </c>
      <c r="F122" s="123" t="s">
        <v>1725</v>
      </c>
    </row>
    <row r="123" spans="1:6" x14ac:dyDescent="0.3">
      <c r="A123" s="123" t="s">
        <v>2723</v>
      </c>
      <c r="B123" s="266" t="s">
        <v>2729</v>
      </c>
      <c r="C123" s="123" t="s">
        <v>2718</v>
      </c>
      <c r="D123" s="123"/>
      <c r="E123" s="123" t="s">
        <v>1578</v>
      </c>
      <c r="F123" s="123" t="s">
        <v>1725</v>
      </c>
    </row>
    <row r="124" spans="1:6" x14ac:dyDescent="0.3">
      <c r="A124" s="123" t="s">
        <v>2724</v>
      </c>
      <c r="B124" s="266" t="s">
        <v>2730</v>
      </c>
      <c r="C124" s="123" t="s">
        <v>2718</v>
      </c>
      <c r="D124" s="123"/>
      <c r="E124" s="123" t="s">
        <v>1578</v>
      </c>
      <c r="F124" s="123" t="s">
        <v>1725</v>
      </c>
    </row>
    <row r="125" spans="1:6" x14ac:dyDescent="0.3">
      <c r="A125" s="346" t="s">
        <v>2733</v>
      </c>
      <c r="B125" s="353" t="s">
        <v>2732</v>
      </c>
      <c r="C125" s="346" t="s">
        <v>2741</v>
      </c>
      <c r="D125" s="346"/>
      <c r="E125" s="346" t="s">
        <v>2061</v>
      </c>
      <c r="F125" s="346" t="s">
        <v>1725</v>
      </c>
    </row>
    <row r="126" spans="1:6" x14ac:dyDescent="0.3">
      <c r="A126" s="123" t="s">
        <v>2309</v>
      </c>
      <c r="B126" s="266" t="s">
        <v>2152</v>
      </c>
      <c r="C126" s="123" t="s">
        <v>1714</v>
      </c>
      <c r="D126" s="123"/>
      <c r="E126" s="123" t="s">
        <v>1980</v>
      </c>
      <c r="F126" s="123" t="s">
        <v>1725</v>
      </c>
    </row>
    <row r="127" spans="1:6" x14ac:dyDescent="0.3">
      <c r="A127" s="123" t="s">
        <v>2310</v>
      </c>
      <c r="B127" s="266" t="s">
        <v>2151</v>
      </c>
      <c r="C127" s="123" t="s">
        <v>1714</v>
      </c>
      <c r="D127" s="123"/>
      <c r="E127" s="123" t="s">
        <v>1980</v>
      </c>
      <c r="F127" s="123" t="s">
        <v>1725</v>
      </c>
    </row>
    <row r="128" spans="1:6" x14ac:dyDescent="0.3">
      <c r="A128" s="123" t="s">
        <v>2311</v>
      </c>
      <c r="B128" s="266" t="s">
        <v>2153</v>
      </c>
      <c r="C128" s="123" t="s">
        <v>1714</v>
      </c>
      <c r="D128" s="123"/>
      <c r="E128" s="123" t="s">
        <v>1980</v>
      </c>
      <c r="F128" s="123" t="s">
        <v>1725</v>
      </c>
    </row>
    <row r="129" spans="1:6" ht="15" thickBot="1" x14ac:dyDescent="0.35">
      <c r="A129" s="203" t="s">
        <v>2312</v>
      </c>
      <c r="B129" s="344" t="s">
        <v>2154</v>
      </c>
      <c r="C129" s="203" t="s">
        <v>1714</v>
      </c>
      <c r="D129" s="203"/>
      <c r="E129" s="203" t="s">
        <v>1980</v>
      </c>
      <c r="F129" s="203" t="s">
        <v>1725</v>
      </c>
    </row>
    <row r="130" spans="1:6" x14ac:dyDescent="0.3">
      <c r="A130" s="449" t="s">
        <v>2313</v>
      </c>
      <c r="B130" s="447" t="s">
        <v>2314</v>
      </c>
      <c r="C130" s="300" t="s">
        <v>2018</v>
      </c>
      <c r="D130" s="300">
        <v>228</v>
      </c>
      <c r="E130" s="300" t="s">
        <v>1577</v>
      </c>
      <c r="F130" s="300" t="s">
        <v>1725</v>
      </c>
    </row>
    <row r="131" spans="1:6" x14ac:dyDescent="0.3">
      <c r="A131" s="450"/>
      <c r="B131" s="455"/>
      <c r="C131" s="123" t="s">
        <v>2018</v>
      </c>
      <c r="D131" s="123">
        <v>260</v>
      </c>
      <c r="E131" s="123" t="s">
        <v>1980</v>
      </c>
      <c r="F131" s="123" t="s">
        <v>1725</v>
      </c>
    </row>
    <row r="132" spans="1:6" ht="15" thickBot="1" x14ac:dyDescent="0.35">
      <c r="A132" s="451"/>
      <c r="B132" s="448"/>
      <c r="C132" s="301" t="s">
        <v>2018</v>
      </c>
      <c r="D132" s="301">
        <v>650</v>
      </c>
      <c r="E132" s="301" t="s">
        <v>1578</v>
      </c>
      <c r="F132" s="301" t="s">
        <v>1725</v>
      </c>
    </row>
    <row r="133" spans="1:6" x14ac:dyDescent="0.3">
      <c r="A133" s="445" t="s">
        <v>2315</v>
      </c>
      <c r="B133" s="447" t="s">
        <v>2160</v>
      </c>
      <c r="C133" s="300" t="s">
        <v>2019</v>
      </c>
      <c r="D133" s="300">
        <v>482</v>
      </c>
      <c r="E133" s="300" t="s">
        <v>1577</v>
      </c>
      <c r="F133" s="300" t="s">
        <v>1725</v>
      </c>
    </row>
    <row r="134" spans="1:6" ht="15" thickBot="1" x14ac:dyDescent="0.35">
      <c r="A134" s="446"/>
      <c r="B134" s="448"/>
      <c r="C134" s="383" t="s">
        <v>2019</v>
      </c>
      <c r="D134" s="383">
        <v>280</v>
      </c>
      <c r="E134" s="383" t="s">
        <v>1578</v>
      </c>
      <c r="F134" s="383" t="s">
        <v>1725</v>
      </c>
    </row>
    <row r="135" spans="1:6" x14ac:dyDescent="0.3">
      <c r="A135" s="382" t="s">
        <v>2316</v>
      </c>
      <c r="B135" s="381" t="s">
        <v>2317</v>
      </c>
      <c r="C135" s="382" t="s">
        <v>2025</v>
      </c>
      <c r="D135" s="382"/>
      <c r="E135" s="382" t="s">
        <v>1980</v>
      </c>
      <c r="F135" s="382" t="s">
        <v>1725</v>
      </c>
    </row>
    <row r="136" spans="1:6" x14ac:dyDescent="0.3">
      <c r="A136" s="123" t="s">
        <v>2318</v>
      </c>
      <c r="B136" s="266" t="s">
        <v>2319</v>
      </c>
      <c r="C136" s="123" t="s">
        <v>2025</v>
      </c>
      <c r="D136" s="123"/>
      <c r="E136" s="123" t="s">
        <v>1980</v>
      </c>
      <c r="F136" s="123" t="s">
        <v>1725</v>
      </c>
    </row>
    <row r="137" spans="1:6" x14ac:dyDescent="0.3">
      <c r="A137" s="123" t="s">
        <v>2320</v>
      </c>
      <c r="B137" s="266" t="s">
        <v>2321</v>
      </c>
      <c r="C137" s="123" t="s">
        <v>2026</v>
      </c>
      <c r="D137" s="123"/>
      <c r="E137" s="123" t="s">
        <v>1980</v>
      </c>
      <c r="F137" s="123" t="s">
        <v>1725</v>
      </c>
    </row>
    <row r="138" spans="1:6" x14ac:dyDescent="0.3">
      <c r="A138" s="123" t="s">
        <v>2322</v>
      </c>
      <c r="B138" s="266" t="s">
        <v>2323</v>
      </c>
      <c r="C138" s="123" t="s">
        <v>2026</v>
      </c>
      <c r="D138" s="123"/>
      <c r="E138" s="123" t="s">
        <v>1980</v>
      </c>
      <c r="F138" s="123" t="s">
        <v>1725</v>
      </c>
    </row>
    <row r="139" spans="1:6" x14ac:dyDescent="0.3">
      <c r="A139" s="123" t="s">
        <v>2031</v>
      </c>
      <c r="B139" s="266" t="s">
        <v>2161</v>
      </c>
      <c r="C139" s="123" t="s">
        <v>2030</v>
      </c>
      <c r="D139" s="123"/>
      <c r="E139" s="123" t="s">
        <v>1577</v>
      </c>
      <c r="F139" s="123" t="s">
        <v>1725</v>
      </c>
    </row>
    <row r="140" spans="1:6" x14ac:dyDescent="0.3">
      <c r="A140" s="123" t="s">
        <v>2032</v>
      </c>
      <c r="B140" s="266" t="s">
        <v>2162</v>
      </c>
      <c r="C140" s="123" t="s">
        <v>2030</v>
      </c>
      <c r="D140" s="123"/>
      <c r="E140" s="123" t="s">
        <v>1726</v>
      </c>
      <c r="F140" s="123" t="s">
        <v>1725</v>
      </c>
    </row>
    <row r="149" s="124" customFormat="1" x14ac:dyDescent="0.3"/>
    <row r="150" s="124" customFormat="1" x14ac:dyDescent="0.3"/>
    <row r="151" s="124" customFormat="1" x14ac:dyDescent="0.3"/>
    <row r="152" s="124" customFormat="1" x14ac:dyDescent="0.3"/>
    <row r="153" s="124" customFormat="1" x14ac:dyDescent="0.3"/>
    <row r="154" s="124" customFormat="1" x14ac:dyDescent="0.3"/>
    <row r="155" s="124" customFormat="1" x14ac:dyDescent="0.3"/>
    <row r="156" s="124" customFormat="1" x14ac:dyDescent="0.3"/>
    <row r="157" s="124" customFormat="1" x14ac:dyDescent="0.3"/>
    <row r="158" s="124" customFormat="1" x14ac:dyDescent="0.3"/>
    <row r="159" s="124" customFormat="1" x14ac:dyDescent="0.3"/>
    <row r="160" s="124" customFormat="1" x14ac:dyDescent="0.3"/>
    <row r="161" s="124" customFormat="1" x14ac:dyDescent="0.3"/>
    <row r="162" s="124" customFormat="1" x14ac:dyDescent="0.3"/>
    <row r="251" s="124" customFormat="1" x14ac:dyDescent="0.3"/>
    <row r="252" s="124" customFormat="1" x14ac:dyDescent="0.3"/>
  </sheetData>
  <mergeCells count="6">
    <mergeCell ref="A133:A134"/>
    <mergeCell ref="B133:B134"/>
    <mergeCell ref="A107:A109"/>
    <mergeCell ref="C107:C109"/>
    <mergeCell ref="A130:A132"/>
    <mergeCell ref="B130:B132"/>
  </mergeCells>
  <conditionalFormatting sqref="C20:C21">
    <cfRule type="expression" dxfId="13" priority="10" stopIfTrue="1">
      <formula>#REF!="A Reformer"</formula>
    </cfRule>
    <cfRule type="expression" dxfId="12" priority="11" stopIfTrue="1">
      <formula>#REF!="En cours"</formula>
    </cfRule>
    <cfRule type="expression" dxfId="11" priority="12" stopIfTrue="1">
      <formula>#REF!="Introuvable"</formula>
    </cfRule>
  </conditionalFormatting>
  <conditionalFormatting sqref="C34:C35">
    <cfRule type="expression" dxfId="10" priority="7" stopIfTrue="1">
      <formula>#REF!="A Reformer"</formula>
    </cfRule>
    <cfRule type="expression" dxfId="9" priority="8" stopIfTrue="1">
      <formula>#REF!="En cours"</formula>
    </cfRule>
    <cfRule type="expression" dxfId="8" priority="9" stopIfTrue="1">
      <formula>#REF!="Introuvable"</formula>
    </cfRule>
  </conditionalFormatting>
  <conditionalFormatting sqref="C47:C48">
    <cfRule type="expression" dxfId="7" priority="4" stopIfTrue="1">
      <formula>#REF!="A Reformer"</formula>
    </cfRule>
    <cfRule type="expression" dxfId="6" priority="5" stopIfTrue="1">
      <formula>#REF!="En cours"</formula>
    </cfRule>
    <cfRule type="expression" dxfId="5" priority="6" stopIfTrue="1">
      <formula>#REF!="Introuvable"</formula>
    </cfRule>
  </conditionalFormatting>
  <dataValidations disablePrompts="1" count="4">
    <dataValidation allowBlank="1" showInputMessage="1" showErrorMessage="1" prompt="Entrez une description de l’article dans cette colonne" sqref="E38" xr:uid="{00000000-0002-0000-0C00-000000000000}"/>
    <dataValidation allowBlank="1" showInputMessage="1" showErrorMessage="1" prompt="Entrez la référence de stock de l’article dans cette colonne" sqref="F38" xr:uid="{00000000-0002-0000-0C00-000001000000}"/>
    <dataValidation allowBlank="1" showInputMessage="1" showErrorMessage="1" prompt="Entrez le prix unitaire de chaque article dans cette colonne" sqref="H38" xr:uid="{00000000-0002-0000-0C00-000002000000}"/>
    <dataValidation allowBlank="1" showInputMessage="1" showErrorMessage="1" prompt="Colonne automatisée. _x000a__x000a_Un drapeau dans cette colonne indique les articles de l'inventaire prêts à être recommandés. Les drapeaux n'apparaissent qu’avec un Oui dans L2 et quand l'élément répond aux critères de réapprovisionnement." sqref="C38" xr:uid="{00000000-0002-0000-0C00-000003000000}"/>
  </dataValidations>
  <printOptions horizontalCentered="1" verticalCentered="1"/>
  <pageMargins left="0.23622047244094491" right="0.23622047244094491" top="0.15748031496062992" bottom="0.15748031496062992" header="0.11811023622047245" footer="0.11811023622047245"/>
  <pageSetup paperSize="9" scale="18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2:BE133"/>
  <sheetViews>
    <sheetView view="pageBreakPreview" zoomScale="60" zoomScaleNormal="100" workbookViewId="0">
      <pane xSplit="4" ySplit="13" topLeftCell="E24" activePane="bottomRight" state="frozen"/>
      <selection pane="topRight" activeCell="E1" sqref="E1"/>
      <selection pane="bottomLeft" activeCell="A14" sqref="A14"/>
      <selection pane="bottomRight" activeCell="D26" sqref="D26"/>
    </sheetView>
  </sheetViews>
  <sheetFormatPr baseColWidth="10" defaultRowHeight="14.4" x14ac:dyDescent="0.3"/>
  <cols>
    <col min="1" max="2" width="38.44140625" customWidth="1"/>
    <col min="3" max="3" width="58.44140625" customWidth="1"/>
    <col min="4" max="4" width="31.6640625" customWidth="1"/>
    <col min="5" max="5" width="23.44140625" customWidth="1"/>
    <col min="6" max="57" width="6" customWidth="1"/>
  </cols>
  <sheetData>
    <row r="2" spans="1:57" ht="18" x14ac:dyDescent="0.35">
      <c r="A2" s="357" t="s">
        <v>2744</v>
      </c>
      <c r="B2" s="357"/>
    </row>
    <row r="3" spans="1:57" ht="18" x14ac:dyDescent="0.35">
      <c r="A3" s="357"/>
      <c r="B3" s="357"/>
    </row>
    <row r="4" spans="1:57" ht="18" x14ac:dyDescent="0.35">
      <c r="A4" s="358" t="s">
        <v>2745</v>
      </c>
      <c r="B4" s="362"/>
    </row>
    <row r="5" spans="1:57" ht="18" x14ac:dyDescent="0.35">
      <c r="A5" s="358" t="s">
        <v>2746</v>
      </c>
      <c r="B5" s="361"/>
    </row>
    <row r="6" spans="1:57" ht="18" x14ac:dyDescent="0.35">
      <c r="A6" s="358" t="s">
        <v>2747</v>
      </c>
      <c r="B6" s="360"/>
    </row>
    <row r="7" spans="1:57" ht="18" x14ac:dyDescent="0.35">
      <c r="A7" s="358" t="s">
        <v>2748</v>
      </c>
      <c r="B7" s="293"/>
    </row>
    <row r="8" spans="1:57" ht="18" x14ac:dyDescent="0.35">
      <c r="A8" s="358" t="s">
        <v>2749</v>
      </c>
      <c r="B8" s="359"/>
    </row>
    <row r="9" spans="1:57" ht="18" x14ac:dyDescent="0.35">
      <c r="A9" s="358" t="s">
        <v>2750</v>
      </c>
      <c r="B9" s="363"/>
    </row>
    <row r="10" spans="1:57" ht="15" thickBot="1" x14ac:dyDescent="0.35"/>
    <row r="11" spans="1:57" ht="27.75" customHeight="1" thickBot="1" x14ac:dyDescent="0.35">
      <c r="A11" s="364"/>
      <c r="B11" s="354"/>
      <c r="C11" s="364"/>
      <c r="D11" s="364"/>
      <c r="E11" s="305" t="s">
        <v>2023</v>
      </c>
      <c r="F11" s="456">
        <v>44805</v>
      </c>
      <c r="G11" s="457"/>
      <c r="H11" s="457"/>
      <c r="I11" s="458"/>
      <c r="J11" s="456">
        <v>44835</v>
      </c>
      <c r="K11" s="457"/>
      <c r="L11" s="457"/>
      <c r="M11" s="458"/>
      <c r="N11" s="456">
        <v>44866</v>
      </c>
      <c r="O11" s="457"/>
      <c r="P11" s="457"/>
      <c r="Q11" s="458"/>
      <c r="R11" s="456">
        <v>44896</v>
      </c>
      <c r="S11" s="457"/>
      <c r="T11" s="457"/>
      <c r="U11" s="458"/>
      <c r="V11" s="456">
        <v>44927</v>
      </c>
      <c r="W11" s="457"/>
      <c r="X11" s="457"/>
      <c r="Y11" s="458"/>
      <c r="Z11" s="456">
        <v>44958</v>
      </c>
      <c r="AA11" s="457"/>
      <c r="AB11" s="457"/>
      <c r="AC11" s="458"/>
      <c r="AD11" s="456">
        <v>44986</v>
      </c>
      <c r="AE11" s="457"/>
      <c r="AF11" s="457"/>
      <c r="AG11" s="458"/>
      <c r="AH11" s="456">
        <v>45017</v>
      </c>
      <c r="AI11" s="457"/>
      <c r="AJ11" s="457"/>
      <c r="AK11" s="458"/>
      <c r="AL11" s="456">
        <v>45047</v>
      </c>
      <c r="AM11" s="457"/>
      <c r="AN11" s="457"/>
      <c r="AO11" s="458"/>
      <c r="AP11" s="456">
        <v>45078</v>
      </c>
      <c r="AQ11" s="457"/>
      <c r="AR11" s="457"/>
      <c r="AS11" s="458"/>
      <c r="AT11" s="456">
        <v>45108</v>
      </c>
      <c r="AU11" s="457"/>
      <c r="AV11" s="457"/>
      <c r="AW11" s="458"/>
      <c r="AX11" s="456">
        <v>45139</v>
      </c>
      <c r="AY11" s="457"/>
      <c r="AZ11" s="457"/>
      <c r="BA11" s="458"/>
      <c r="BB11" s="456">
        <v>45170</v>
      </c>
      <c r="BC11" s="457"/>
      <c r="BD11" s="457"/>
      <c r="BE11" s="458"/>
    </row>
    <row r="12" spans="1:57" s="304" customFormat="1" ht="37.5" customHeight="1" thickBot="1" x14ac:dyDescent="0.35">
      <c r="A12" s="355" t="s">
        <v>2020</v>
      </c>
      <c r="B12" s="355"/>
      <c r="C12" s="355" t="s">
        <v>0</v>
      </c>
      <c r="D12" s="355" t="s">
        <v>1158</v>
      </c>
      <c r="E12" s="306" t="s">
        <v>2022</v>
      </c>
      <c r="F12" s="327">
        <v>1</v>
      </c>
      <c r="G12" s="328">
        <v>2</v>
      </c>
      <c r="H12" s="328">
        <v>3</v>
      </c>
      <c r="I12" s="329">
        <v>4</v>
      </c>
      <c r="J12" s="327">
        <v>5</v>
      </c>
      <c r="K12" s="328">
        <v>6</v>
      </c>
      <c r="L12" s="328">
        <v>7</v>
      </c>
      <c r="M12" s="329">
        <v>8</v>
      </c>
      <c r="N12" s="327">
        <v>9</v>
      </c>
      <c r="O12" s="328">
        <v>10</v>
      </c>
      <c r="P12" s="328">
        <v>11</v>
      </c>
      <c r="Q12" s="329">
        <v>12</v>
      </c>
      <c r="R12" s="327">
        <v>13</v>
      </c>
      <c r="S12" s="328">
        <v>14</v>
      </c>
      <c r="T12" s="328">
        <v>15</v>
      </c>
      <c r="U12" s="329">
        <v>16</v>
      </c>
      <c r="V12" s="330">
        <v>17</v>
      </c>
      <c r="W12" s="328">
        <v>18</v>
      </c>
      <c r="X12" s="328">
        <v>19</v>
      </c>
      <c r="Y12" s="331">
        <v>20</v>
      </c>
      <c r="Z12" s="327">
        <v>21</v>
      </c>
      <c r="AA12" s="328">
        <v>22</v>
      </c>
      <c r="AB12" s="328">
        <v>23</v>
      </c>
      <c r="AC12" s="329">
        <v>24</v>
      </c>
      <c r="AD12" s="327">
        <v>25</v>
      </c>
      <c r="AE12" s="328">
        <v>26</v>
      </c>
      <c r="AF12" s="328">
        <v>27</v>
      </c>
      <c r="AG12" s="329">
        <v>28</v>
      </c>
      <c r="AH12" s="327">
        <v>29</v>
      </c>
      <c r="AI12" s="328">
        <v>30</v>
      </c>
      <c r="AJ12" s="328">
        <v>31</v>
      </c>
      <c r="AK12" s="329">
        <v>32</v>
      </c>
      <c r="AL12" s="327">
        <v>33</v>
      </c>
      <c r="AM12" s="328">
        <v>34</v>
      </c>
      <c r="AN12" s="328">
        <v>35</v>
      </c>
      <c r="AO12" s="329">
        <v>36</v>
      </c>
      <c r="AP12" s="327">
        <v>37</v>
      </c>
      <c r="AQ12" s="328">
        <v>38</v>
      </c>
      <c r="AR12" s="328">
        <v>39</v>
      </c>
      <c r="AS12" s="329">
        <v>40</v>
      </c>
      <c r="AT12" s="332">
        <v>41</v>
      </c>
      <c r="AU12" s="333">
        <v>42</v>
      </c>
      <c r="AV12" s="333">
        <v>43</v>
      </c>
      <c r="AW12" s="334">
        <v>44</v>
      </c>
      <c r="AX12" s="332">
        <v>45</v>
      </c>
      <c r="AY12" s="333">
        <v>46</v>
      </c>
      <c r="AZ12" s="333">
        <v>47</v>
      </c>
      <c r="BA12" s="334">
        <v>48</v>
      </c>
      <c r="BB12" s="332">
        <v>49</v>
      </c>
      <c r="BC12" s="333">
        <v>50</v>
      </c>
      <c r="BD12" s="333">
        <v>51</v>
      </c>
      <c r="BE12" s="334">
        <v>52</v>
      </c>
    </row>
    <row r="13" spans="1:57" ht="30.75" customHeight="1" thickBot="1" x14ac:dyDescent="0.35">
      <c r="A13" s="365"/>
      <c r="B13" s="356"/>
      <c r="C13" s="365"/>
      <c r="D13" s="365"/>
      <c r="E13" s="305" t="s">
        <v>2021</v>
      </c>
      <c r="F13" s="335"/>
      <c r="G13" s="336"/>
      <c r="H13" s="336"/>
      <c r="I13" s="337"/>
      <c r="J13" s="335"/>
      <c r="K13" s="336"/>
      <c r="L13" s="336"/>
      <c r="M13" s="337"/>
      <c r="N13" s="335"/>
      <c r="O13" s="336"/>
      <c r="P13" s="336"/>
      <c r="Q13" s="337"/>
      <c r="R13" s="335"/>
      <c r="S13" s="336"/>
      <c r="T13" s="336"/>
      <c r="U13" s="337"/>
      <c r="V13" s="335"/>
      <c r="W13" s="336"/>
      <c r="X13" s="336"/>
      <c r="Y13" s="337"/>
      <c r="Z13" s="335"/>
      <c r="AA13" s="336"/>
      <c r="AB13" s="336"/>
      <c r="AC13" s="337"/>
      <c r="AD13" s="335"/>
      <c r="AE13" s="336"/>
      <c r="AF13" s="336"/>
      <c r="AG13" s="337"/>
      <c r="AH13" s="335"/>
      <c r="AI13" s="336"/>
      <c r="AJ13" s="336"/>
      <c r="AK13" s="337"/>
      <c r="AL13" s="335"/>
      <c r="AM13" s="336"/>
      <c r="AN13" s="336"/>
      <c r="AO13" s="337"/>
      <c r="AP13" s="335"/>
      <c r="AQ13" s="336"/>
      <c r="AR13" s="336"/>
      <c r="AS13" s="337"/>
      <c r="AT13" s="335"/>
      <c r="AU13" s="336"/>
      <c r="AV13" s="336"/>
      <c r="AW13" s="337"/>
      <c r="AX13" s="335"/>
      <c r="AY13" s="336"/>
      <c r="AZ13" s="336"/>
      <c r="BA13" s="337"/>
      <c r="BB13" s="335"/>
      <c r="BC13" s="336"/>
      <c r="BD13" s="336"/>
      <c r="BE13" s="337"/>
    </row>
    <row r="14" spans="1:57" s="303" customFormat="1" ht="26.25" customHeight="1" x14ac:dyDescent="0.3">
      <c r="A14" s="307" t="s">
        <v>2209</v>
      </c>
      <c r="B14" s="307" t="s">
        <v>2064</v>
      </c>
      <c r="C14" s="307" t="s">
        <v>1539</v>
      </c>
      <c r="D14" s="307" t="s">
        <v>1576</v>
      </c>
      <c r="E14" s="307"/>
      <c r="F14" s="308"/>
      <c r="G14" s="309"/>
      <c r="H14" s="309"/>
      <c r="I14" s="310"/>
      <c r="J14" s="308"/>
      <c r="K14" s="309"/>
      <c r="L14" s="309"/>
      <c r="M14" s="310"/>
      <c r="N14" s="308"/>
      <c r="O14" s="309"/>
      <c r="P14" s="309"/>
      <c r="Q14" s="310"/>
      <c r="R14" s="308"/>
      <c r="S14" s="309"/>
      <c r="T14" s="309"/>
      <c r="U14" s="310"/>
      <c r="V14" s="311"/>
      <c r="W14" s="309"/>
      <c r="X14" s="309"/>
      <c r="Y14" s="312"/>
      <c r="Z14" s="308"/>
      <c r="AA14" s="309"/>
      <c r="AB14" s="309"/>
      <c r="AC14" s="310"/>
      <c r="AD14" s="308"/>
      <c r="AE14" s="309"/>
      <c r="AF14" s="309"/>
      <c r="AG14" s="310"/>
      <c r="AH14" s="308"/>
      <c r="AI14" s="309"/>
      <c r="AJ14" s="309"/>
      <c r="AK14" s="310"/>
      <c r="AL14" s="308"/>
      <c r="AM14" s="309"/>
      <c r="AN14" s="309"/>
      <c r="AO14" s="310"/>
      <c r="AP14" s="308"/>
      <c r="AQ14" s="309"/>
      <c r="AR14" s="309"/>
      <c r="AS14" s="310"/>
      <c r="AT14" s="313"/>
      <c r="AU14" s="314"/>
      <c r="AV14" s="314"/>
      <c r="AW14" s="315"/>
      <c r="AX14" s="313"/>
      <c r="AY14" s="314"/>
      <c r="AZ14" s="314"/>
      <c r="BA14" s="315"/>
      <c r="BB14" s="313"/>
      <c r="BC14" s="314"/>
      <c r="BD14" s="314"/>
      <c r="BE14" s="315"/>
    </row>
    <row r="15" spans="1:57" s="303" customFormat="1" ht="26.25" customHeight="1" x14ac:dyDescent="0.3">
      <c r="A15" s="316" t="s">
        <v>2210</v>
      </c>
      <c r="B15" s="316" t="s">
        <v>2065</v>
      </c>
      <c r="C15" s="316" t="s">
        <v>1545</v>
      </c>
      <c r="D15" s="316" t="s">
        <v>1576</v>
      </c>
      <c r="E15" s="316"/>
      <c r="F15" s="317"/>
      <c r="G15" s="318"/>
      <c r="H15" s="318"/>
      <c r="I15" s="319"/>
      <c r="J15" s="317"/>
      <c r="K15" s="318"/>
      <c r="L15" s="318"/>
      <c r="M15" s="319"/>
      <c r="N15" s="317"/>
      <c r="O15" s="318"/>
      <c r="P15" s="318"/>
      <c r="Q15" s="319"/>
      <c r="R15" s="317"/>
      <c r="S15" s="318"/>
      <c r="T15" s="318"/>
      <c r="U15" s="319"/>
      <c r="V15" s="320"/>
      <c r="W15" s="318"/>
      <c r="X15" s="318"/>
      <c r="Y15" s="321"/>
      <c r="Z15" s="317"/>
      <c r="AA15" s="318"/>
      <c r="AB15" s="318"/>
      <c r="AC15" s="319"/>
      <c r="AD15" s="317"/>
      <c r="AE15" s="318"/>
      <c r="AF15" s="318"/>
      <c r="AG15" s="319"/>
      <c r="AH15" s="317"/>
      <c r="AI15" s="318"/>
      <c r="AJ15" s="318"/>
      <c r="AK15" s="319"/>
      <c r="AL15" s="317"/>
      <c r="AM15" s="318"/>
      <c r="AN15" s="318"/>
      <c r="AO15" s="319"/>
      <c r="AP15" s="317"/>
      <c r="AQ15" s="318"/>
      <c r="AR15" s="318"/>
      <c r="AS15" s="319"/>
      <c r="AT15" s="322"/>
      <c r="AU15" s="323"/>
      <c r="AV15" s="323"/>
      <c r="AW15" s="324"/>
      <c r="AX15" s="322"/>
      <c r="AY15" s="323"/>
      <c r="AZ15" s="323"/>
      <c r="BA15" s="324"/>
      <c r="BB15" s="322"/>
      <c r="BC15" s="323"/>
      <c r="BD15" s="323"/>
      <c r="BE15" s="324"/>
    </row>
    <row r="16" spans="1:57" s="303" customFormat="1" ht="26.25" customHeight="1" x14ac:dyDescent="0.3">
      <c r="A16" s="316" t="s">
        <v>2211</v>
      </c>
      <c r="B16" s="316" t="s">
        <v>2066</v>
      </c>
      <c r="C16" s="316" t="s">
        <v>1545</v>
      </c>
      <c r="D16" s="316" t="s">
        <v>1576</v>
      </c>
      <c r="E16" s="316"/>
      <c r="F16" s="317"/>
      <c r="G16" s="318"/>
      <c r="H16" s="318"/>
      <c r="I16" s="319"/>
      <c r="J16" s="317"/>
      <c r="K16" s="318"/>
      <c r="L16" s="318"/>
      <c r="M16" s="319"/>
      <c r="N16" s="317"/>
      <c r="O16" s="318"/>
      <c r="P16" s="318"/>
      <c r="Q16" s="319"/>
      <c r="R16" s="317"/>
      <c r="S16" s="318"/>
      <c r="T16" s="318"/>
      <c r="U16" s="319"/>
      <c r="V16" s="320"/>
      <c r="W16" s="318"/>
      <c r="X16" s="318"/>
      <c r="Y16" s="321"/>
      <c r="Z16" s="317"/>
      <c r="AA16" s="318"/>
      <c r="AB16" s="318"/>
      <c r="AC16" s="319"/>
      <c r="AD16" s="317"/>
      <c r="AE16" s="318"/>
      <c r="AF16" s="318"/>
      <c r="AG16" s="319"/>
      <c r="AH16" s="317"/>
      <c r="AI16" s="318"/>
      <c r="AJ16" s="318"/>
      <c r="AK16" s="319"/>
      <c r="AL16" s="317"/>
      <c r="AM16" s="318"/>
      <c r="AN16" s="318"/>
      <c r="AO16" s="319"/>
      <c r="AP16" s="317"/>
      <c r="AQ16" s="318"/>
      <c r="AR16" s="318"/>
      <c r="AS16" s="319"/>
      <c r="AT16" s="322"/>
      <c r="AU16" s="323"/>
      <c r="AV16" s="323"/>
      <c r="AW16" s="324"/>
      <c r="AX16" s="322"/>
      <c r="AY16" s="323"/>
      <c r="AZ16" s="323"/>
      <c r="BA16" s="324"/>
      <c r="BB16" s="322"/>
      <c r="BC16" s="323"/>
      <c r="BD16" s="323"/>
      <c r="BE16" s="324"/>
    </row>
    <row r="17" spans="1:57" s="303" customFormat="1" ht="26.25" customHeight="1" x14ac:dyDescent="0.3">
      <c r="A17" s="316" t="s">
        <v>2212</v>
      </c>
      <c r="B17" s="316" t="s">
        <v>2067</v>
      </c>
      <c r="C17" s="316" t="s">
        <v>1547</v>
      </c>
      <c r="D17" s="316" t="s">
        <v>1576</v>
      </c>
      <c r="E17" s="316"/>
      <c r="F17" s="317"/>
      <c r="G17" s="318"/>
      <c r="H17" s="318"/>
      <c r="I17" s="319"/>
      <c r="J17" s="317"/>
      <c r="K17" s="318"/>
      <c r="L17" s="318"/>
      <c r="M17" s="319"/>
      <c r="N17" s="317"/>
      <c r="O17" s="318"/>
      <c r="P17" s="318"/>
      <c r="Q17" s="319"/>
      <c r="R17" s="317"/>
      <c r="S17" s="318"/>
      <c r="T17" s="318"/>
      <c r="U17" s="319"/>
      <c r="V17" s="320"/>
      <c r="W17" s="318"/>
      <c r="X17" s="318"/>
      <c r="Y17" s="321"/>
      <c r="Z17" s="317"/>
      <c r="AA17" s="318"/>
      <c r="AB17" s="318"/>
      <c r="AC17" s="319"/>
      <c r="AD17" s="317"/>
      <c r="AE17" s="318"/>
      <c r="AF17" s="318"/>
      <c r="AG17" s="319"/>
      <c r="AH17" s="317"/>
      <c r="AI17" s="318"/>
      <c r="AJ17" s="318"/>
      <c r="AK17" s="319"/>
      <c r="AL17" s="317"/>
      <c r="AM17" s="318"/>
      <c r="AN17" s="318"/>
      <c r="AO17" s="319"/>
      <c r="AP17" s="317"/>
      <c r="AQ17" s="318"/>
      <c r="AR17" s="318"/>
      <c r="AS17" s="319"/>
      <c r="AT17" s="322"/>
      <c r="AU17" s="323"/>
      <c r="AV17" s="323"/>
      <c r="AW17" s="324"/>
      <c r="AX17" s="322"/>
      <c r="AY17" s="323"/>
      <c r="AZ17" s="323"/>
      <c r="BA17" s="324"/>
      <c r="BB17" s="322"/>
      <c r="BC17" s="323"/>
      <c r="BD17" s="323"/>
      <c r="BE17" s="324"/>
    </row>
    <row r="18" spans="1:57" s="303" customFormat="1" ht="26.25" customHeight="1" x14ac:dyDescent="0.3">
      <c r="A18" s="316" t="s">
        <v>2213</v>
      </c>
      <c r="B18" s="316" t="s">
        <v>2068</v>
      </c>
      <c r="C18" s="316" t="s">
        <v>1546</v>
      </c>
      <c r="D18" s="316" t="s">
        <v>1577</v>
      </c>
      <c r="E18" s="316"/>
      <c r="F18" s="366"/>
      <c r="G18" s="367"/>
      <c r="H18" s="367"/>
      <c r="I18" s="368"/>
      <c r="J18" s="366"/>
      <c r="K18" s="367"/>
      <c r="L18" s="367"/>
      <c r="M18" s="368"/>
      <c r="N18" s="366"/>
      <c r="O18" s="367"/>
      <c r="P18" s="367"/>
      <c r="Q18" s="368"/>
      <c r="R18" s="317"/>
      <c r="S18" s="318"/>
      <c r="T18" s="318"/>
      <c r="U18" s="319"/>
      <c r="V18" s="320"/>
      <c r="W18" s="318"/>
      <c r="X18" s="318"/>
      <c r="Y18" s="321"/>
      <c r="Z18" s="317"/>
      <c r="AA18" s="318"/>
      <c r="AB18" s="318"/>
      <c r="AC18" s="319"/>
      <c r="AD18" s="317"/>
      <c r="AE18" s="318"/>
      <c r="AF18" s="318"/>
      <c r="AG18" s="319"/>
      <c r="AH18" s="317"/>
      <c r="AI18" s="318"/>
      <c r="AJ18" s="318"/>
      <c r="AK18" s="319"/>
      <c r="AL18" s="317"/>
      <c r="AM18" s="318"/>
      <c r="AN18" s="318"/>
      <c r="AO18" s="319"/>
      <c r="AP18" s="317"/>
      <c r="AQ18" s="318"/>
      <c r="AR18" s="318"/>
      <c r="AS18" s="319"/>
      <c r="AT18" s="322"/>
      <c r="AU18" s="323"/>
      <c r="AV18" s="323"/>
      <c r="AW18" s="324"/>
      <c r="AX18" s="322"/>
      <c r="AY18" s="323"/>
      <c r="AZ18" s="323"/>
      <c r="BA18" s="324"/>
      <c r="BB18" s="322"/>
      <c r="BC18" s="323"/>
      <c r="BD18" s="323"/>
      <c r="BE18" s="324"/>
    </row>
    <row r="19" spans="1:57" s="303" customFormat="1" ht="26.25" customHeight="1" x14ac:dyDescent="0.3">
      <c r="A19" s="316" t="s">
        <v>2214</v>
      </c>
      <c r="B19" s="316" t="s">
        <v>2082</v>
      </c>
      <c r="C19" s="316" t="s">
        <v>1541</v>
      </c>
      <c r="D19" s="316" t="s">
        <v>1576</v>
      </c>
      <c r="E19" s="316"/>
      <c r="F19" s="317"/>
      <c r="G19" s="318"/>
      <c r="H19" s="318"/>
      <c r="I19" s="319"/>
      <c r="J19" s="317"/>
      <c r="K19" s="318"/>
      <c r="L19" s="318"/>
      <c r="M19" s="319"/>
      <c r="N19" s="317"/>
      <c r="O19" s="318"/>
      <c r="P19" s="318"/>
      <c r="Q19" s="319"/>
      <c r="R19" s="317"/>
      <c r="S19" s="318"/>
      <c r="T19" s="318"/>
      <c r="U19" s="319"/>
      <c r="V19" s="320"/>
      <c r="W19" s="318"/>
      <c r="X19" s="318"/>
      <c r="Y19" s="321"/>
      <c r="Z19" s="317"/>
      <c r="AA19" s="318"/>
      <c r="AB19" s="318"/>
      <c r="AC19" s="319"/>
      <c r="AD19" s="317"/>
      <c r="AE19" s="318"/>
      <c r="AF19" s="318"/>
      <c r="AG19" s="319"/>
      <c r="AH19" s="317"/>
      <c r="AI19" s="318"/>
      <c r="AJ19" s="318"/>
      <c r="AK19" s="319"/>
      <c r="AL19" s="317"/>
      <c r="AM19" s="318"/>
      <c r="AN19" s="318"/>
      <c r="AO19" s="319"/>
      <c r="AP19" s="317"/>
      <c r="AQ19" s="318"/>
      <c r="AR19" s="318"/>
      <c r="AS19" s="319"/>
      <c r="AT19" s="322"/>
      <c r="AU19" s="323"/>
      <c r="AV19" s="323"/>
      <c r="AW19" s="324"/>
      <c r="AX19" s="322"/>
      <c r="AY19" s="323"/>
      <c r="AZ19" s="323"/>
      <c r="BA19" s="324"/>
      <c r="BB19" s="322"/>
      <c r="BC19" s="323"/>
      <c r="BD19" s="323"/>
      <c r="BE19" s="324"/>
    </row>
    <row r="20" spans="1:57" s="303" customFormat="1" ht="26.25" customHeight="1" x14ac:dyDescent="0.3">
      <c r="A20" s="316" t="s">
        <v>2215</v>
      </c>
      <c r="B20" s="316" t="s">
        <v>2206</v>
      </c>
      <c r="C20" s="316" t="s">
        <v>1549</v>
      </c>
      <c r="D20" s="316" t="s">
        <v>1577</v>
      </c>
      <c r="E20" s="316"/>
      <c r="F20" s="369"/>
      <c r="G20" s="370"/>
      <c r="H20" s="370"/>
      <c r="I20" s="371"/>
      <c r="J20" s="369"/>
      <c r="K20" s="370"/>
      <c r="L20" s="370"/>
      <c r="M20" s="371"/>
      <c r="N20" s="369"/>
      <c r="O20" s="370"/>
      <c r="P20" s="370"/>
      <c r="Q20" s="371"/>
      <c r="R20" s="317"/>
      <c r="S20" s="318"/>
      <c r="T20" s="318"/>
      <c r="U20" s="319"/>
      <c r="V20" s="320"/>
      <c r="W20" s="318"/>
      <c r="X20" s="318"/>
      <c r="Y20" s="321"/>
      <c r="Z20" s="317"/>
      <c r="AA20" s="318"/>
      <c r="AB20" s="318"/>
      <c r="AC20" s="319"/>
      <c r="AD20" s="317"/>
      <c r="AE20" s="318"/>
      <c r="AF20" s="318"/>
      <c r="AG20" s="319"/>
      <c r="AH20" s="317"/>
      <c r="AI20" s="318"/>
      <c r="AJ20" s="318"/>
      <c r="AK20" s="319"/>
      <c r="AL20" s="317"/>
      <c r="AM20" s="318"/>
      <c r="AN20" s="318"/>
      <c r="AO20" s="319"/>
      <c r="AP20" s="317"/>
      <c r="AQ20" s="318"/>
      <c r="AR20" s="318"/>
      <c r="AS20" s="319"/>
      <c r="AT20" s="322"/>
      <c r="AU20" s="323"/>
      <c r="AV20" s="323"/>
      <c r="AW20" s="324"/>
      <c r="AX20" s="322"/>
      <c r="AY20" s="323"/>
      <c r="AZ20" s="323"/>
      <c r="BA20" s="324"/>
      <c r="BB20" s="322"/>
      <c r="BC20" s="323"/>
      <c r="BD20" s="323"/>
      <c r="BE20" s="324"/>
    </row>
    <row r="21" spans="1:57" s="303" customFormat="1" ht="26.25" customHeight="1" x14ac:dyDescent="0.3">
      <c r="A21" s="316" t="s">
        <v>2216</v>
      </c>
      <c r="B21" s="316" t="s">
        <v>2069</v>
      </c>
      <c r="C21" s="316" t="s">
        <v>1542</v>
      </c>
      <c r="D21" s="316" t="s">
        <v>1577</v>
      </c>
      <c r="E21" s="316"/>
      <c r="F21" s="369"/>
      <c r="G21" s="370"/>
      <c r="H21" s="370"/>
      <c r="I21" s="371"/>
      <c r="J21" s="369"/>
      <c r="K21" s="370"/>
      <c r="L21" s="370"/>
      <c r="M21" s="371"/>
      <c r="N21" s="369"/>
      <c r="O21" s="370"/>
      <c r="P21" s="370"/>
      <c r="Q21" s="371"/>
      <c r="R21" s="317"/>
      <c r="S21" s="318"/>
      <c r="T21" s="318"/>
      <c r="U21" s="319"/>
      <c r="V21" s="320"/>
      <c r="W21" s="318"/>
      <c r="X21" s="318"/>
      <c r="Y21" s="321"/>
      <c r="Z21" s="317"/>
      <c r="AA21" s="318"/>
      <c r="AB21" s="318"/>
      <c r="AC21" s="319"/>
      <c r="AD21" s="317"/>
      <c r="AE21" s="318"/>
      <c r="AF21" s="318"/>
      <c r="AG21" s="319"/>
      <c r="AH21" s="317"/>
      <c r="AI21" s="318"/>
      <c r="AJ21" s="318"/>
      <c r="AK21" s="319"/>
      <c r="AL21" s="317"/>
      <c r="AM21" s="318"/>
      <c r="AN21" s="318"/>
      <c r="AO21" s="319"/>
      <c r="AP21" s="317"/>
      <c r="AQ21" s="318"/>
      <c r="AR21" s="318"/>
      <c r="AS21" s="319"/>
      <c r="AT21" s="322"/>
      <c r="AU21" s="323"/>
      <c r="AV21" s="323"/>
      <c r="AW21" s="324"/>
      <c r="AX21" s="322"/>
      <c r="AY21" s="323"/>
      <c r="AZ21" s="323"/>
      <c r="BA21" s="324"/>
      <c r="BB21" s="322"/>
      <c r="BC21" s="323"/>
      <c r="BD21" s="323"/>
      <c r="BE21" s="324"/>
    </row>
    <row r="22" spans="1:57" s="303" customFormat="1" ht="26.25" customHeight="1" x14ac:dyDescent="0.3">
      <c r="A22" s="316" t="s">
        <v>2217</v>
      </c>
      <c r="B22" s="316" t="s">
        <v>2070</v>
      </c>
      <c r="C22" s="316" t="s">
        <v>1542</v>
      </c>
      <c r="D22" s="316" t="s">
        <v>1576</v>
      </c>
      <c r="E22" s="316"/>
      <c r="F22" s="317"/>
      <c r="G22" s="318"/>
      <c r="H22" s="318"/>
      <c r="I22" s="319"/>
      <c r="J22" s="317"/>
      <c r="K22" s="318"/>
      <c r="L22" s="318"/>
      <c r="M22" s="319"/>
      <c r="N22" s="317"/>
      <c r="O22" s="318"/>
      <c r="P22" s="318"/>
      <c r="Q22" s="319"/>
      <c r="R22" s="317"/>
      <c r="S22" s="318"/>
      <c r="T22" s="318"/>
      <c r="U22" s="319"/>
      <c r="V22" s="320"/>
      <c r="W22" s="318"/>
      <c r="X22" s="318"/>
      <c r="Y22" s="321"/>
      <c r="Z22" s="317"/>
      <c r="AA22" s="318"/>
      <c r="AB22" s="318"/>
      <c r="AC22" s="319"/>
      <c r="AD22" s="317"/>
      <c r="AE22" s="318"/>
      <c r="AF22" s="318"/>
      <c r="AG22" s="319"/>
      <c r="AH22" s="317"/>
      <c r="AI22" s="318"/>
      <c r="AJ22" s="318"/>
      <c r="AK22" s="319"/>
      <c r="AL22" s="317"/>
      <c r="AM22" s="318"/>
      <c r="AN22" s="318"/>
      <c r="AO22" s="319"/>
      <c r="AP22" s="317"/>
      <c r="AQ22" s="318"/>
      <c r="AR22" s="318"/>
      <c r="AS22" s="319"/>
      <c r="AT22" s="322"/>
      <c r="AU22" s="323"/>
      <c r="AV22" s="323"/>
      <c r="AW22" s="324"/>
      <c r="AX22" s="322"/>
      <c r="AY22" s="323"/>
      <c r="AZ22" s="323"/>
      <c r="BA22" s="324"/>
      <c r="BB22" s="322"/>
      <c r="BC22" s="323"/>
      <c r="BD22" s="323"/>
      <c r="BE22" s="324"/>
    </row>
    <row r="23" spans="1:57" s="303" customFormat="1" ht="26.25" customHeight="1" x14ac:dyDescent="0.3">
      <c r="A23" s="316" t="s">
        <v>2218</v>
      </c>
      <c r="B23" s="316" t="s">
        <v>2071</v>
      </c>
      <c r="C23" s="316" t="s">
        <v>1542</v>
      </c>
      <c r="D23" s="316" t="s">
        <v>1576</v>
      </c>
      <c r="E23" s="316"/>
      <c r="F23" s="317"/>
      <c r="G23" s="318"/>
      <c r="H23" s="318"/>
      <c r="I23" s="319"/>
      <c r="J23" s="317"/>
      <c r="K23" s="318"/>
      <c r="L23" s="318"/>
      <c r="M23" s="319"/>
      <c r="N23" s="317"/>
      <c r="O23" s="318"/>
      <c r="P23" s="318"/>
      <c r="Q23" s="319"/>
      <c r="R23" s="317"/>
      <c r="S23" s="318"/>
      <c r="T23" s="318"/>
      <c r="U23" s="319"/>
      <c r="V23" s="320"/>
      <c r="W23" s="318"/>
      <c r="X23" s="318"/>
      <c r="Y23" s="321"/>
      <c r="Z23" s="317"/>
      <c r="AA23" s="318"/>
      <c r="AB23" s="318"/>
      <c r="AC23" s="319"/>
      <c r="AD23" s="317"/>
      <c r="AE23" s="318"/>
      <c r="AF23" s="318"/>
      <c r="AG23" s="319"/>
      <c r="AH23" s="317"/>
      <c r="AI23" s="318"/>
      <c r="AJ23" s="318"/>
      <c r="AK23" s="319"/>
      <c r="AL23" s="317"/>
      <c r="AM23" s="318"/>
      <c r="AN23" s="318"/>
      <c r="AO23" s="319"/>
      <c r="AP23" s="317"/>
      <c r="AQ23" s="318"/>
      <c r="AR23" s="318"/>
      <c r="AS23" s="319"/>
      <c r="AT23" s="322"/>
      <c r="AU23" s="323"/>
      <c r="AV23" s="323"/>
      <c r="AW23" s="324"/>
      <c r="AX23" s="322"/>
      <c r="AY23" s="323"/>
      <c r="AZ23" s="323"/>
      <c r="BA23" s="324"/>
      <c r="BB23" s="322"/>
      <c r="BC23" s="323"/>
      <c r="BD23" s="323"/>
      <c r="BE23" s="324"/>
    </row>
    <row r="24" spans="1:57" s="303" customFormat="1" ht="26.25" customHeight="1" x14ac:dyDescent="0.3">
      <c r="A24" s="316" t="s">
        <v>2219</v>
      </c>
      <c r="B24" s="316" t="s">
        <v>2072</v>
      </c>
      <c r="C24" s="316" t="s">
        <v>1542</v>
      </c>
      <c r="D24" s="316" t="s">
        <v>1576</v>
      </c>
      <c r="E24" s="316"/>
      <c r="F24" s="317"/>
      <c r="G24" s="318"/>
      <c r="H24" s="318"/>
      <c r="I24" s="319"/>
      <c r="J24" s="317"/>
      <c r="K24" s="318"/>
      <c r="L24" s="318"/>
      <c r="M24" s="319"/>
      <c r="N24" s="317"/>
      <c r="O24" s="318"/>
      <c r="P24" s="318"/>
      <c r="Q24" s="319"/>
      <c r="R24" s="317"/>
      <c r="S24" s="318"/>
      <c r="T24" s="318"/>
      <c r="U24" s="319"/>
      <c r="V24" s="320"/>
      <c r="W24" s="318"/>
      <c r="X24" s="318"/>
      <c r="Y24" s="321"/>
      <c r="Z24" s="317"/>
      <c r="AA24" s="318"/>
      <c r="AB24" s="318"/>
      <c r="AC24" s="319"/>
      <c r="AD24" s="317"/>
      <c r="AE24" s="318"/>
      <c r="AF24" s="318"/>
      <c r="AG24" s="319"/>
      <c r="AH24" s="317"/>
      <c r="AI24" s="318"/>
      <c r="AJ24" s="318"/>
      <c r="AK24" s="319"/>
      <c r="AL24" s="317"/>
      <c r="AM24" s="318"/>
      <c r="AN24" s="318"/>
      <c r="AO24" s="319"/>
      <c r="AP24" s="317"/>
      <c r="AQ24" s="318"/>
      <c r="AR24" s="318"/>
      <c r="AS24" s="319"/>
      <c r="AT24" s="322"/>
      <c r="AU24" s="323"/>
      <c r="AV24" s="323"/>
      <c r="AW24" s="324"/>
      <c r="AX24" s="322"/>
      <c r="AY24" s="323"/>
      <c r="AZ24" s="323"/>
      <c r="BA24" s="324"/>
      <c r="BB24" s="322"/>
      <c r="BC24" s="323"/>
      <c r="BD24" s="323"/>
      <c r="BE24" s="324"/>
    </row>
    <row r="25" spans="1:57" s="303" customFormat="1" ht="26.25" customHeight="1" x14ac:dyDescent="0.3">
      <c r="A25" s="316" t="s">
        <v>2220</v>
      </c>
      <c r="B25" s="316" t="s">
        <v>2073</v>
      </c>
      <c r="C25" s="316" t="s">
        <v>1542</v>
      </c>
      <c r="D25" s="316" t="s">
        <v>1576</v>
      </c>
      <c r="E25" s="316"/>
      <c r="F25" s="317"/>
      <c r="G25" s="318"/>
      <c r="H25" s="318"/>
      <c r="I25" s="319"/>
      <c r="J25" s="317"/>
      <c r="K25" s="318"/>
      <c r="L25" s="318"/>
      <c r="M25" s="319"/>
      <c r="N25" s="317"/>
      <c r="O25" s="318"/>
      <c r="P25" s="318"/>
      <c r="Q25" s="319"/>
      <c r="R25" s="317"/>
      <c r="S25" s="318"/>
      <c r="T25" s="318"/>
      <c r="U25" s="319"/>
      <c r="V25" s="320"/>
      <c r="W25" s="318"/>
      <c r="X25" s="318"/>
      <c r="Y25" s="321"/>
      <c r="Z25" s="317"/>
      <c r="AA25" s="318"/>
      <c r="AB25" s="318"/>
      <c r="AC25" s="319"/>
      <c r="AD25" s="317"/>
      <c r="AE25" s="318"/>
      <c r="AF25" s="318"/>
      <c r="AG25" s="319"/>
      <c r="AH25" s="317"/>
      <c r="AI25" s="318"/>
      <c r="AJ25" s="318"/>
      <c r="AK25" s="319"/>
      <c r="AL25" s="317"/>
      <c r="AM25" s="318"/>
      <c r="AN25" s="318"/>
      <c r="AO25" s="319"/>
      <c r="AP25" s="317"/>
      <c r="AQ25" s="318"/>
      <c r="AR25" s="318"/>
      <c r="AS25" s="319"/>
      <c r="AT25" s="322"/>
      <c r="AU25" s="323"/>
      <c r="AV25" s="323"/>
      <c r="AW25" s="324"/>
      <c r="AX25" s="322"/>
      <c r="AY25" s="323"/>
      <c r="AZ25" s="323"/>
      <c r="BA25" s="324"/>
      <c r="BB25" s="322"/>
      <c r="BC25" s="323"/>
      <c r="BD25" s="323"/>
      <c r="BE25" s="324"/>
    </row>
    <row r="26" spans="1:57" s="303" customFormat="1" ht="26.25" customHeight="1" x14ac:dyDescent="0.3">
      <c r="A26" s="316" t="s">
        <v>2221</v>
      </c>
      <c r="B26" s="316" t="s">
        <v>2074</v>
      </c>
      <c r="C26" s="316" t="s">
        <v>1542</v>
      </c>
      <c r="D26" s="316" t="s">
        <v>1578</v>
      </c>
      <c r="E26" s="316"/>
      <c r="F26" s="372"/>
      <c r="G26" s="373"/>
      <c r="H26" s="373"/>
      <c r="I26" s="374"/>
      <c r="J26" s="372"/>
      <c r="K26" s="373"/>
      <c r="L26" s="373"/>
      <c r="M26" s="374"/>
      <c r="N26" s="372"/>
      <c r="O26" s="373"/>
      <c r="P26" s="373"/>
      <c r="Q26" s="374"/>
      <c r="R26" s="317"/>
      <c r="S26" s="318"/>
      <c r="T26" s="318"/>
      <c r="U26" s="319"/>
      <c r="V26" s="320"/>
      <c r="W26" s="318"/>
      <c r="X26" s="318"/>
      <c r="Y26" s="321"/>
      <c r="Z26" s="317"/>
      <c r="AA26" s="318"/>
      <c r="AB26" s="318"/>
      <c r="AC26" s="319"/>
      <c r="AD26" s="317"/>
      <c r="AE26" s="318"/>
      <c r="AF26" s="318"/>
      <c r="AG26" s="319"/>
      <c r="AH26" s="317"/>
      <c r="AI26" s="318"/>
      <c r="AJ26" s="318"/>
      <c r="AK26" s="319"/>
      <c r="AL26" s="317"/>
      <c r="AM26" s="318"/>
      <c r="AN26" s="318"/>
      <c r="AO26" s="319"/>
      <c r="AP26" s="317"/>
      <c r="AQ26" s="318"/>
      <c r="AR26" s="318"/>
      <c r="AS26" s="319"/>
      <c r="AT26" s="322"/>
      <c r="AU26" s="323"/>
      <c r="AV26" s="323"/>
      <c r="AW26" s="324"/>
      <c r="AX26" s="322"/>
      <c r="AY26" s="323"/>
      <c r="AZ26" s="323"/>
      <c r="BA26" s="324"/>
      <c r="BB26" s="322"/>
      <c r="BC26" s="323"/>
      <c r="BD26" s="323"/>
      <c r="BE26" s="324"/>
    </row>
    <row r="27" spans="1:57" s="303" customFormat="1" ht="26.25" customHeight="1" x14ac:dyDescent="0.3">
      <c r="A27" s="316" t="s">
        <v>2222</v>
      </c>
      <c r="B27" s="316" t="s">
        <v>2075</v>
      </c>
      <c r="C27" s="316" t="s">
        <v>1544</v>
      </c>
      <c r="D27" s="316" t="s">
        <v>1579</v>
      </c>
      <c r="E27" s="316"/>
      <c r="F27" s="317"/>
      <c r="G27" s="318"/>
      <c r="H27" s="318"/>
      <c r="I27" s="319"/>
      <c r="J27" s="317"/>
      <c r="K27" s="318"/>
      <c r="L27" s="318"/>
      <c r="M27" s="319"/>
      <c r="N27" s="317"/>
      <c r="O27" s="318"/>
      <c r="P27" s="318"/>
      <c r="Q27" s="319"/>
      <c r="R27" s="317"/>
      <c r="S27" s="318"/>
      <c r="T27" s="318"/>
      <c r="U27" s="319"/>
      <c r="V27" s="320"/>
      <c r="W27" s="318"/>
      <c r="X27" s="318"/>
      <c r="Y27" s="321"/>
      <c r="Z27" s="317"/>
      <c r="AA27" s="318"/>
      <c r="AB27" s="318"/>
      <c r="AC27" s="319"/>
      <c r="AD27" s="317"/>
      <c r="AE27" s="318"/>
      <c r="AF27" s="318"/>
      <c r="AG27" s="319"/>
      <c r="AH27" s="317"/>
      <c r="AI27" s="318"/>
      <c r="AJ27" s="318"/>
      <c r="AK27" s="319"/>
      <c r="AL27" s="317"/>
      <c r="AM27" s="318"/>
      <c r="AN27" s="318"/>
      <c r="AO27" s="319"/>
      <c r="AP27" s="317"/>
      <c r="AQ27" s="318"/>
      <c r="AR27" s="318"/>
      <c r="AS27" s="319"/>
      <c r="AT27" s="322"/>
      <c r="AU27" s="323"/>
      <c r="AV27" s="323"/>
      <c r="AW27" s="324"/>
      <c r="AX27" s="322"/>
      <c r="AY27" s="323"/>
      <c r="AZ27" s="323"/>
      <c r="BA27" s="324"/>
      <c r="BB27" s="322"/>
      <c r="BC27" s="323"/>
      <c r="BD27" s="323"/>
      <c r="BE27" s="324"/>
    </row>
    <row r="28" spans="1:57" s="303" customFormat="1" ht="26.25" customHeight="1" x14ac:dyDescent="0.3">
      <c r="A28" s="316" t="s">
        <v>2223</v>
      </c>
      <c r="B28" s="316" t="s">
        <v>2076</v>
      </c>
      <c r="C28" s="316" t="s">
        <v>1543</v>
      </c>
      <c r="D28" s="316" t="s">
        <v>1579</v>
      </c>
      <c r="E28" s="316"/>
      <c r="F28" s="317"/>
      <c r="G28" s="318"/>
      <c r="H28" s="318"/>
      <c r="I28" s="319"/>
      <c r="J28" s="317"/>
      <c r="K28" s="318"/>
      <c r="L28" s="318"/>
      <c r="M28" s="319"/>
      <c r="N28" s="317"/>
      <c r="O28" s="318"/>
      <c r="P28" s="318"/>
      <c r="Q28" s="319"/>
      <c r="R28" s="317"/>
      <c r="S28" s="318"/>
      <c r="T28" s="318"/>
      <c r="U28" s="319"/>
      <c r="V28" s="320"/>
      <c r="W28" s="318"/>
      <c r="X28" s="318"/>
      <c r="Y28" s="321"/>
      <c r="Z28" s="317"/>
      <c r="AA28" s="318"/>
      <c r="AB28" s="318"/>
      <c r="AC28" s="319"/>
      <c r="AD28" s="317"/>
      <c r="AE28" s="318"/>
      <c r="AF28" s="318"/>
      <c r="AG28" s="319"/>
      <c r="AH28" s="317"/>
      <c r="AI28" s="318"/>
      <c r="AJ28" s="318"/>
      <c r="AK28" s="319"/>
      <c r="AL28" s="317"/>
      <c r="AM28" s="318"/>
      <c r="AN28" s="318"/>
      <c r="AO28" s="319"/>
      <c r="AP28" s="317"/>
      <c r="AQ28" s="318"/>
      <c r="AR28" s="318"/>
      <c r="AS28" s="319"/>
      <c r="AT28" s="322"/>
      <c r="AU28" s="323"/>
      <c r="AV28" s="323"/>
      <c r="AW28" s="324"/>
      <c r="AX28" s="322"/>
      <c r="AY28" s="323"/>
      <c r="AZ28" s="323"/>
      <c r="BA28" s="324"/>
      <c r="BB28" s="322"/>
      <c r="BC28" s="323"/>
      <c r="BD28" s="323"/>
      <c r="BE28" s="324"/>
    </row>
    <row r="29" spans="1:57" s="303" customFormat="1" ht="26.25" customHeight="1" x14ac:dyDescent="0.3">
      <c r="A29" s="316" t="s">
        <v>2224</v>
      </c>
      <c r="B29" s="316" t="s">
        <v>2077</v>
      </c>
      <c r="C29" s="316" t="s">
        <v>1543</v>
      </c>
      <c r="D29" s="316" t="s">
        <v>1577</v>
      </c>
      <c r="E29" s="316"/>
      <c r="F29" s="317"/>
      <c r="G29" s="318"/>
      <c r="H29" s="318"/>
      <c r="I29" s="319"/>
      <c r="J29" s="317"/>
      <c r="K29" s="318"/>
      <c r="L29" s="318"/>
      <c r="M29" s="319"/>
      <c r="N29" s="317"/>
      <c r="O29" s="318"/>
      <c r="P29" s="318"/>
      <c r="Q29" s="319"/>
      <c r="R29" s="317"/>
      <c r="S29" s="318"/>
      <c r="T29" s="318"/>
      <c r="U29" s="319"/>
      <c r="V29" s="320"/>
      <c r="W29" s="318"/>
      <c r="X29" s="318"/>
      <c r="Y29" s="321"/>
      <c r="Z29" s="317"/>
      <c r="AA29" s="318"/>
      <c r="AB29" s="318"/>
      <c r="AC29" s="319"/>
      <c r="AD29" s="317"/>
      <c r="AE29" s="318"/>
      <c r="AF29" s="318"/>
      <c r="AG29" s="319"/>
      <c r="AH29" s="317"/>
      <c r="AI29" s="318"/>
      <c r="AJ29" s="318"/>
      <c r="AK29" s="319"/>
      <c r="AL29" s="317"/>
      <c r="AM29" s="318"/>
      <c r="AN29" s="318"/>
      <c r="AO29" s="319"/>
      <c r="AP29" s="317"/>
      <c r="AQ29" s="318"/>
      <c r="AR29" s="318"/>
      <c r="AS29" s="319"/>
      <c r="AT29" s="322"/>
      <c r="AU29" s="323"/>
      <c r="AV29" s="323"/>
      <c r="AW29" s="324"/>
      <c r="AX29" s="322"/>
      <c r="AY29" s="323"/>
      <c r="AZ29" s="323"/>
      <c r="BA29" s="324"/>
      <c r="BB29" s="322"/>
      <c r="BC29" s="323"/>
      <c r="BD29" s="323"/>
      <c r="BE29" s="324"/>
    </row>
    <row r="30" spans="1:57" s="303" customFormat="1" ht="26.25" customHeight="1" x14ac:dyDescent="0.3">
      <c r="A30" s="316" t="s">
        <v>2225</v>
      </c>
      <c r="B30" s="316" t="s">
        <v>2078</v>
      </c>
      <c r="C30" s="316" t="s">
        <v>1543</v>
      </c>
      <c r="D30" s="316" t="s">
        <v>1979</v>
      </c>
      <c r="E30" s="316"/>
      <c r="F30" s="317"/>
      <c r="G30" s="318"/>
      <c r="H30" s="318"/>
      <c r="I30" s="319"/>
      <c r="J30" s="317"/>
      <c r="K30" s="318"/>
      <c r="L30" s="318"/>
      <c r="M30" s="319"/>
      <c r="N30" s="317"/>
      <c r="O30" s="318"/>
      <c r="P30" s="318"/>
      <c r="Q30" s="319"/>
      <c r="R30" s="317"/>
      <c r="S30" s="318"/>
      <c r="T30" s="318"/>
      <c r="U30" s="319"/>
      <c r="V30" s="320"/>
      <c r="W30" s="318"/>
      <c r="X30" s="318"/>
      <c r="Y30" s="321"/>
      <c r="Z30" s="317"/>
      <c r="AA30" s="318"/>
      <c r="AB30" s="318"/>
      <c r="AC30" s="319"/>
      <c r="AD30" s="317"/>
      <c r="AE30" s="318"/>
      <c r="AF30" s="318"/>
      <c r="AG30" s="319"/>
      <c r="AH30" s="317"/>
      <c r="AI30" s="318"/>
      <c r="AJ30" s="318"/>
      <c r="AK30" s="319"/>
      <c r="AL30" s="317"/>
      <c r="AM30" s="318"/>
      <c r="AN30" s="318"/>
      <c r="AO30" s="319"/>
      <c r="AP30" s="317"/>
      <c r="AQ30" s="318"/>
      <c r="AR30" s="318"/>
      <c r="AS30" s="319"/>
      <c r="AT30" s="322"/>
      <c r="AU30" s="323"/>
      <c r="AV30" s="323"/>
      <c r="AW30" s="324"/>
      <c r="AX30" s="322"/>
      <c r="AY30" s="323"/>
      <c r="AZ30" s="323"/>
      <c r="BA30" s="324"/>
      <c r="BB30" s="322"/>
      <c r="BC30" s="323"/>
      <c r="BD30" s="323"/>
      <c r="BE30" s="324"/>
    </row>
    <row r="31" spans="1:57" s="303" customFormat="1" ht="26.25" customHeight="1" x14ac:dyDescent="0.3">
      <c r="A31" s="316" t="s">
        <v>2226</v>
      </c>
      <c r="B31" s="316" t="s">
        <v>2079</v>
      </c>
      <c r="C31" s="316" t="s">
        <v>1540</v>
      </c>
      <c r="D31" s="316" t="s">
        <v>1576</v>
      </c>
      <c r="E31" s="316"/>
      <c r="F31" s="317"/>
      <c r="G31" s="318"/>
      <c r="H31" s="318"/>
      <c r="I31" s="319"/>
      <c r="J31" s="317"/>
      <c r="K31" s="318"/>
      <c r="L31" s="318"/>
      <c r="M31" s="319"/>
      <c r="N31" s="317"/>
      <c r="O31" s="318"/>
      <c r="P31" s="318"/>
      <c r="Q31" s="319"/>
      <c r="R31" s="317"/>
      <c r="S31" s="318"/>
      <c r="T31" s="318"/>
      <c r="U31" s="319"/>
      <c r="V31" s="320"/>
      <c r="W31" s="318"/>
      <c r="X31" s="318"/>
      <c r="Y31" s="321"/>
      <c r="Z31" s="317"/>
      <c r="AA31" s="318"/>
      <c r="AB31" s="318"/>
      <c r="AC31" s="319"/>
      <c r="AD31" s="317"/>
      <c r="AE31" s="318"/>
      <c r="AF31" s="318"/>
      <c r="AG31" s="319"/>
      <c r="AH31" s="317"/>
      <c r="AI31" s="318"/>
      <c r="AJ31" s="318"/>
      <c r="AK31" s="319"/>
      <c r="AL31" s="317"/>
      <c r="AM31" s="318"/>
      <c r="AN31" s="318"/>
      <c r="AO31" s="319"/>
      <c r="AP31" s="317"/>
      <c r="AQ31" s="318"/>
      <c r="AR31" s="318"/>
      <c r="AS31" s="319"/>
      <c r="AT31" s="322"/>
      <c r="AU31" s="323"/>
      <c r="AV31" s="323"/>
      <c r="AW31" s="324"/>
      <c r="AX31" s="322"/>
      <c r="AY31" s="323"/>
      <c r="AZ31" s="323"/>
      <c r="BA31" s="324"/>
      <c r="BB31" s="322"/>
      <c r="BC31" s="323"/>
      <c r="BD31" s="323"/>
      <c r="BE31" s="324"/>
    </row>
    <row r="32" spans="1:57" s="303" customFormat="1" ht="26.25" customHeight="1" x14ac:dyDescent="0.3">
      <c r="A32" s="316" t="s">
        <v>2227</v>
      </c>
      <c r="B32" s="316" t="s">
        <v>2080</v>
      </c>
      <c r="C32" s="316" t="s">
        <v>1987</v>
      </c>
      <c r="D32" s="316" t="s">
        <v>1577</v>
      </c>
      <c r="E32" s="316"/>
      <c r="F32" s="317"/>
      <c r="G32" s="318"/>
      <c r="H32" s="318"/>
      <c r="I32" s="319"/>
      <c r="J32" s="317"/>
      <c r="K32" s="318"/>
      <c r="L32" s="318"/>
      <c r="M32" s="319"/>
      <c r="N32" s="317"/>
      <c r="O32" s="318"/>
      <c r="P32" s="318"/>
      <c r="Q32" s="319"/>
      <c r="R32" s="317"/>
      <c r="S32" s="318"/>
      <c r="T32" s="318"/>
      <c r="U32" s="319"/>
      <c r="V32" s="320"/>
      <c r="W32" s="318"/>
      <c r="X32" s="318"/>
      <c r="Y32" s="321"/>
      <c r="Z32" s="317"/>
      <c r="AA32" s="318"/>
      <c r="AB32" s="318"/>
      <c r="AC32" s="319"/>
      <c r="AD32" s="317"/>
      <c r="AE32" s="318"/>
      <c r="AF32" s="318"/>
      <c r="AG32" s="319"/>
      <c r="AH32" s="317"/>
      <c r="AI32" s="318"/>
      <c r="AJ32" s="318"/>
      <c r="AK32" s="319"/>
      <c r="AL32" s="317"/>
      <c r="AM32" s="318"/>
      <c r="AN32" s="318"/>
      <c r="AO32" s="319"/>
      <c r="AP32" s="317"/>
      <c r="AQ32" s="318"/>
      <c r="AR32" s="318"/>
      <c r="AS32" s="319"/>
      <c r="AT32" s="322"/>
      <c r="AU32" s="323"/>
      <c r="AV32" s="323"/>
      <c r="AW32" s="324"/>
      <c r="AX32" s="322"/>
      <c r="AY32" s="323"/>
      <c r="AZ32" s="323"/>
      <c r="BA32" s="324"/>
      <c r="BB32" s="322"/>
      <c r="BC32" s="323"/>
      <c r="BD32" s="323"/>
      <c r="BE32" s="324"/>
    </row>
    <row r="33" spans="1:57" s="303" customFormat="1" ht="26.25" customHeight="1" x14ac:dyDescent="0.3">
      <c r="A33" s="316" t="s">
        <v>2228</v>
      </c>
      <c r="B33" s="316" t="s">
        <v>2081</v>
      </c>
      <c r="C33" s="316" t="s">
        <v>1526</v>
      </c>
      <c r="D33" s="316" t="s">
        <v>1577</v>
      </c>
      <c r="E33" s="316"/>
      <c r="F33" s="317"/>
      <c r="G33" s="318"/>
      <c r="H33" s="318"/>
      <c r="I33" s="319"/>
      <c r="J33" s="317"/>
      <c r="K33" s="318"/>
      <c r="L33" s="318"/>
      <c r="M33" s="319"/>
      <c r="N33" s="317"/>
      <c r="O33" s="318"/>
      <c r="P33" s="318"/>
      <c r="Q33" s="319"/>
      <c r="R33" s="317"/>
      <c r="S33" s="318"/>
      <c r="T33" s="318"/>
      <c r="U33" s="319"/>
      <c r="V33" s="320"/>
      <c r="W33" s="318"/>
      <c r="X33" s="318"/>
      <c r="Y33" s="321"/>
      <c r="Z33" s="317"/>
      <c r="AA33" s="318"/>
      <c r="AB33" s="318"/>
      <c r="AC33" s="319"/>
      <c r="AD33" s="317"/>
      <c r="AE33" s="318"/>
      <c r="AF33" s="318"/>
      <c r="AG33" s="319"/>
      <c r="AH33" s="317"/>
      <c r="AI33" s="318"/>
      <c r="AJ33" s="318"/>
      <c r="AK33" s="319"/>
      <c r="AL33" s="317"/>
      <c r="AM33" s="318"/>
      <c r="AN33" s="318"/>
      <c r="AO33" s="319"/>
      <c r="AP33" s="317"/>
      <c r="AQ33" s="318"/>
      <c r="AR33" s="318"/>
      <c r="AS33" s="319"/>
      <c r="AT33" s="322"/>
      <c r="AU33" s="323"/>
      <c r="AV33" s="323"/>
      <c r="AW33" s="324"/>
      <c r="AX33" s="322"/>
      <c r="AY33" s="323"/>
      <c r="AZ33" s="323"/>
      <c r="BA33" s="324"/>
      <c r="BB33" s="322"/>
      <c r="BC33" s="323"/>
      <c r="BD33" s="323"/>
      <c r="BE33" s="324"/>
    </row>
    <row r="34" spans="1:57" s="303" customFormat="1" ht="26.25" customHeight="1" x14ac:dyDescent="0.3">
      <c r="A34" s="316"/>
      <c r="B34" s="316"/>
      <c r="C34" s="316"/>
      <c r="D34" s="316"/>
      <c r="E34" s="316"/>
      <c r="F34" s="317"/>
      <c r="G34" s="318"/>
      <c r="H34" s="318"/>
      <c r="I34" s="319"/>
      <c r="J34" s="317"/>
      <c r="K34" s="318"/>
      <c r="L34" s="318"/>
      <c r="M34" s="319"/>
      <c r="N34" s="317"/>
      <c r="O34" s="318"/>
      <c r="P34" s="318"/>
      <c r="Q34" s="319"/>
      <c r="R34" s="317"/>
      <c r="S34" s="318"/>
      <c r="T34" s="318"/>
      <c r="U34" s="319"/>
      <c r="V34" s="320"/>
      <c r="W34" s="318"/>
      <c r="X34" s="318"/>
      <c r="Y34" s="321"/>
      <c r="Z34" s="317"/>
      <c r="AA34" s="318"/>
      <c r="AB34" s="318"/>
      <c r="AC34" s="319"/>
      <c r="AD34" s="317"/>
      <c r="AE34" s="318"/>
      <c r="AF34" s="318"/>
      <c r="AG34" s="319"/>
      <c r="AH34" s="317"/>
      <c r="AI34" s="318"/>
      <c r="AJ34" s="318"/>
      <c r="AK34" s="319"/>
      <c r="AL34" s="317"/>
      <c r="AM34" s="318"/>
      <c r="AN34" s="318"/>
      <c r="AO34" s="319"/>
      <c r="AP34" s="317"/>
      <c r="AQ34" s="318"/>
      <c r="AR34" s="318"/>
      <c r="AS34" s="319"/>
      <c r="AT34" s="322"/>
      <c r="AU34" s="323"/>
      <c r="AV34" s="323"/>
      <c r="AW34" s="324"/>
      <c r="AX34" s="322"/>
      <c r="AY34" s="323"/>
      <c r="AZ34" s="323"/>
      <c r="BA34" s="324"/>
      <c r="BB34" s="322"/>
      <c r="BC34" s="323"/>
      <c r="BD34" s="323"/>
      <c r="BE34" s="324"/>
    </row>
    <row r="35" spans="1:57" s="303" customFormat="1" ht="26.25" customHeight="1" x14ac:dyDescent="0.3">
      <c r="A35" s="316"/>
      <c r="B35" s="316"/>
      <c r="C35" s="316"/>
      <c r="D35" s="316"/>
      <c r="E35" s="316"/>
      <c r="F35" s="317"/>
      <c r="G35" s="318"/>
      <c r="H35" s="318"/>
      <c r="I35" s="319"/>
      <c r="J35" s="317"/>
      <c r="K35" s="318"/>
      <c r="L35" s="318"/>
      <c r="M35" s="319"/>
      <c r="N35" s="317"/>
      <c r="O35" s="318"/>
      <c r="P35" s="318"/>
      <c r="Q35" s="319"/>
      <c r="R35" s="317"/>
      <c r="S35" s="318"/>
      <c r="T35" s="318"/>
      <c r="U35" s="319"/>
      <c r="V35" s="320"/>
      <c r="W35" s="318"/>
      <c r="X35" s="318"/>
      <c r="Y35" s="321"/>
      <c r="Z35" s="317"/>
      <c r="AA35" s="318"/>
      <c r="AB35" s="318"/>
      <c r="AC35" s="319"/>
      <c r="AD35" s="317"/>
      <c r="AE35" s="318"/>
      <c r="AF35" s="318"/>
      <c r="AG35" s="319"/>
      <c r="AH35" s="317"/>
      <c r="AI35" s="318"/>
      <c r="AJ35" s="318"/>
      <c r="AK35" s="319"/>
      <c r="AL35" s="317"/>
      <c r="AM35" s="318"/>
      <c r="AN35" s="318"/>
      <c r="AO35" s="319"/>
      <c r="AP35" s="317"/>
      <c r="AQ35" s="318"/>
      <c r="AR35" s="318"/>
      <c r="AS35" s="319"/>
      <c r="AT35" s="322"/>
      <c r="AU35" s="323"/>
      <c r="AV35" s="323"/>
      <c r="AW35" s="324"/>
      <c r="AX35" s="322"/>
      <c r="AY35" s="323"/>
      <c r="AZ35" s="323"/>
      <c r="BA35" s="324"/>
      <c r="BB35" s="322"/>
      <c r="BC35" s="323"/>
      <c r="BD35" s="323"/>
      <c r="BE35" s="324"/>
    </row>
    <row r="36" spans="1:57" s="303" customFormat="1" ht="26.25" customHeight="1" x14ac:dyDescent="0.3">
      <c r="A36" s="316"/>
      <c r="B36" s="316"/>
      <c r="C36" s="316"/>
      <c r="D36" s="316"/>
      <c r="E36" s="316"/>
      <c r="F36" s="317"/>
      <c r="G36" s="318"/>
      <c r="H36" s="318"/>
      <c r="I36" s="319"/>
      <c r="J36" s="317"/>
      <c r="K36" s="318"/>
      <c r="L36" s="318"/>
      <c r="M36" s="319"/>
      <c r="N36" s="317"/>
      <c r="O36" s="318"/>
      <c r="P36" s="318"/>
      <c r="Q36" s="319"/>
      <c r="R36" s="317"/>
      <c r="S36" s="318"/>
      <c r="T36" s="318"/>
      <c r="U36" s="319"/>
      <c r="V36" s="320"/>
      <c r="W36" s="318"/>
      <c r="X36" s="318"/>
      <c r="Y36" s="321"/>
      <c r="Z36" s="317"/>
      <c r="AA36" s="318"/>
      <c r="AB36" s="318"/>
      <c r="AC36" s="319"/>
      <c r="AD36" s="317"/>
      <c r="AE36" s="318"/>
      <c r="AF36" s="318"/>
      <c r="AG36" s="319"/>
      <c r="AH36" s="317"/>
      <c r="AI36" s="318"/>
      <c r="AJ36" s="318"/>
      <c r="AK36" s="319"/>
      <c r="AL36" s="317"/>
      <c r="AM36" s="318"/>
      <c r="AN36" s="318"/>
      <c r="AO36" s="319"/>
      <c r="AP36" s="317"/>
      <c r="AQ36" s="318"/>
      <c r="AR36" s="318"/>
      <c r="AS36" s="319"/>
      <c r="AT36" s="322"/>
      <c r="AU36" s="323"/>
      <c r="AV36" s="323"/>
      <c r="AW36" s="324"/>
      <c r="AX36" s="322"/>
      <c r="AY36" s="323"/>
      <c r="AZ36" s="323"/>
      <c r="BA36" s="324"/>
      <c r="BB36" s="322"/>
      <c r="BC36" s="323"/>
      <c r="BD36" s="323"/>
      <c r="BE36" s="324"/>
    </row>
    <row r="37" spans="1:57" s="303" customFormat="1" ht="26.25" customHeight="1" x14ac:dyDescent="0.3">
      <c r="A37" s="316"/>
      <c r="B37" s="316"/>
      <c r="C37" s="316"/>
      <c r="D37" s="316"/>
      <c r="E37" s="316"/>
      <c r="F37" s="317"/>
      <c r="G37" s="318"/>
      <c r="H37" s="318"/>
      <c r="I37" s="319"/>
      <c r="J37" s="317"/>
      <c r="K37" s="318"/>
      <c r="L37" s="318"/>
      <c r="M37" s="319"/>
      <c r="N37" s="317"/>
      <c r="O37" s="318"/>
      <c r="P37" s="318"/>
      <c r="Q37" s="319"/>
      <c r="R37" s="317"/>
      <c r="S37" s="318"/>
      <c r="T37" s="318"/>
      <c r="U37" s="319"/>
      <c r="V37" s="320"/>
      <c r="W37" s="318"/>
      <c r="X37" s="318"/>
      <c r="Y37" s="321"/>
      <c r="Z37" s="317"/>
      <c r="AA37" s="318"/>
      <c r="AB37" s="318"/>
      <c r="AC37" s="319"/>
      <c r="AD37" s="317"/>
      <c r="AE37" s="318"/>
      <c r="AF37" s="318"/>
      <c r="AG37" s="319"/>
      <c r="AH37" s="317"/>
      <c r="AI37" s="318"/>
      <c r="AJ37" s="318"/>
      <c r="AK37" s="319"/>
      <c r="AL37" s="317"/>
      <c r="AM37" s="318"/>
      <c r="AN37" s="318"/>
      <c r="AO37" s="319"/>
      <c r="AP37" s="317"/>
      <c r="AQ37" s="318"/>
      <c r="AR37" s="318"/>
      <c r="AS37" s="319"/>
      <c r="AT37" s="322"/>
      <c r="AU37" s="323"/>
      <c r="AV37" s="323"/>
      <c r="AW37" s="324"/>
      <c r="AX37" s="322"/>
      <c r="AY37" s="323"/>
      <c r="AZ37" s="323"/>
      <c r="BA37" s="324"/>
      <c r="BB37" s="322"/>
      <c r="BC37" s="323"/>
      <c r="BD37" s="323"/>
      <c r="BE37" s="324"/>
    </row>
    <row r="38" spans="1:57" s="303" customFormat="1" ht="26.25" customHeight="1" x14ac:dyDescent="0.3">
      <c r="A38" s="316"/>
      <c r="B38" s="316"/>
      <c r="C38" s="316"/>
      <c r="D38" s="316"/>
      <c r="E38" s="316"/>
      <c r="F38" s="317"/>
      <c r="G38" s="318"/>
      <c r="H38" s="318"/>
      <c r="I38" s="319"/>
      <c r="J38" s="317"/>
      <c r="K38" s="318"/>
      <c r="L38" s="318"/>
      <c r="M38" s="319"/>
      <c r="N38" s="317"/>
      <c r="O38" s="318"/>
      <c r="P38" s="318"/>
      <c r="Q38" s="319"/>
      <c r="R38" s="317"/>
      <c r="S38" s="318"/>
      <c r="T38" s="318"/>
      <c r="U38" s="319"/>
      <c r="V38" s="320"/>
      <c r="W38" s="318"/>
      <c r="X38" s="318"/>
      <c r="Y38" s="321"/>
      <c r="Z38" s="317"/>
      <c r="AA38" s="318"/>
      <c r="AB38" s="318"/>
      <c r="AC38" s="319"/>
      <c r="AD38" s="317"/>
      <c r="AE38" s="318"/>
      <c r="AF38" s="318"/>
      <c r="AG38" s="319"/>
      <c r="AH38" s="317"/>
      <c r="AI38" s="318"/>
      <c r="AJ38" s="318"/>
      <c r="AK38" s="319"/>
      <c r="AL38" s="317"/>
      <c r="AM38" s="318"/>
      <c r="AN38" s="318"/>
      <c r="AO38" s="319"/>
      <c r="AP38" s="317"/>
      <c r="AQ38" s="318"/>
      <c r="AR38" s="318"/>
      <c r="AS38" s="319"/>
      <c r="AT38" s="322"/>
      <c r="AU38" s="323"/>
      <c r="AV38" s="323"/>
      <c r="AW38" s="324"/>
      <c r="AX38" s="322"/>
      <c r="AY38" s="323"/>
      <c r="AZ38" s="323"/>
      <c r="BA38" s="324"/>
      <c r="BB38" s="322"/>
      <c r="BC38" s="323"/>
      <c r="BD38" s="323"/>
      <c r="BE38" s="324"/>
    </row>
    <row r="39" spans="1:57" s="303" customFormat="1" ht="26.25" customHeight="1" x14ac:dyDescent="0.3">
      <c r="A39" s="316"/>
      <c r="B39" s="316"/>
      <c r="C39" s="316"/>
      <c r="D39" s="316"/>
      <c r="E39" s="316"/>
      <c r="F39" s="317"/>
      <c r="G39" s="318"/>
      <c r="H39" s="318"/>
      <c r="I39" s="319"/>
      <c r="J39" s="317"/>
      <c r="K39" s="318"/>
      <c r="L39" s="318"/>
      <c r="M39" s="319"/>
      <c r="N39" s="317"/>
      <c r="O39" s="318"/>
      <c r="P39" s="318"/>
      <c r="Q39" s="319"/>
      <c r="R39" s="317"/>
      <c r="S39" s="318"/>
      <c r="T39" s="318"/>
      <c r="U39" s="319"/>
      <c r="V39" s="320"/>
      <c r="W39" s="318"/>
      <c r="X39" s="318"/>
      <c r="Y39" s="321"/>
      <c r="Z39" s="317"/>
      <c r="AA39" s="318"/>
      <c r="AB39" s="318"/>
      <c r="AC39" s="319"/>
      <c r="AD39" s="317"/>
      <c r="AE39" s="318"/>
      <c r="AF39" s="318"/>
      <c r="AG39" s="319"/>
      <c r="AH39" s="317"/>
      <c r="AI39" s="318"/>
      <c r="AJ39" s="318"/>
      <c r="AK39" s="319"/>
      <c r="AL39" s="317"/>
      <c r="AM39" s="318"/>
      <c r="AN39" s="318"/>
      <c r="AO39" s="319"/>
      <c r="AP39" s="317"/>
      <c r="AQ39" s="318"/>
      <c r="AR39" s="318"/>
      <c r="AS39" s="319"/>
      <c r="AT39" s="322"/>
      <c r="AU39" s="323"/>
      <c r="AV39" s="323"/>
      <c r="AW39" s="324"/>
      <c r="AX39" s="322"/>
      <c r="AY39" s="323"/>
      <c r="AZ39" s="323"/>
      <c r="BA39" s="324"/>
      <c r="BB39" s="322"/>
      <c r="BC39" s="323"/>
      <c r="BD39" s="323"/>
      <c r="BE39" s="324"/>
    </row>
    <row r="40" spans="1:57" s="303" customFormat="1" ht="26.25" customHeight="1" x14ac:dyDescent="0.3">
      <c r="A40" s="316"/>
      <c r="B40" s="316"/>
      <c r="C40" s="316"/>
      <c r="D40" s="316"/>
      <c r="E40" s="316"/>
      <c r="F40" s="317"/>
      <c r="G40" s="318"/>
      <c r="H40" s="318"/>
      <c r="I40" s="319"/>
      <c r="J40" s="317"/>
      <c r="K40" s="318"/>
      <c r="L40" s="318"/>
      <c r="M40" s="319"/>
      <c r="N40" s="317"/>
      <c r="O40" s="318"/>
      <c r="P40" s="318"/>
      <c r="Q40" s="319"/>
      <c r="R40" s="317"/>
      <c r="S40" s="318"/>
      <c r="T40" s="318"/>
      <c r="U40" s="319"/>
      <c r="V40" s="320"/>
      <c r="W40" s="318"/>
      <c r="X40" s="318"/>
      <c r="Y40" s="321"/>
      <c r="Z40" s="317"/>
      <c r="AA40" s="318"/>
      <c r="AB40" s="318"/>
      <c r="AC40" s="319"/>
      <c r="AD40" s="317"/>
      <c r="AE40" s="318"/>
      <c r="AF40" s="318"/>
      <c r="AG40" s="319"/>
      <c r="AH40" s="317"/>
      <c r="AI40" s="318"/>
      <c r="AJ40" s="318"/>
      <c r="AK40" s="319"/>
      <c r="AL40" s="317"/>
      <c r="AM40" s="318"/>
      <c r="AN40" s="318"/>
      <c r="AO40" s="319"/>
      <c r="AP40" s="317"/>
      <c r="AQ40" s="318"/>
      <c r="AR40" s="318"/>
      <c r="AS40" s="319"/>
      <c r="AT40" s="322"/>
      <c r="AU40" s="323"/>
      <c r="AV40" s="323"/>
      <c r="AW40" s="324"/>
      <c r="AX40" s="322"/>
      <c r="AY40" s="323"/>
      <c r="AZ40" s="323"/>
      <c r="BA40" s="324"/>
      <c r="BB40" s="322"/>
      <c r="BC40" s="323"/>
      <c r="BD40" s="323"/>
      <c r="BE40" s="324"/>
    </row>
    <row r="41" spans="1:57" s="303" customFormat="1" ht="26.25" customHeight="1" x14ac:dyDescent="0.3">
      <c r="A41" s="316"/>
      <c r="B41" s="316"/>
      <c r="C41" s="316"/>
      <c r="D41" s="316"/>
      <c r="E41" s="316"/>
      <c r="F41" s="317"/>
      <c r="G41" s="318"/>
      <c r="H41" s="318"/>
      <c r="I41" s="319"/>
      <c r="J41" s="317"/>
      <c r="K41" s="318"/>
      <c r="L41" s="318"/>
      <c r="M41" s="319"/>
      <c r="N41" s="317"/>
      <c r="O41" s="318"/>
      <c r="P41" s="318"/>
      <c r="Q41" s="319"/>
      <c r="R41" s="317"/>
      <c r="S41" s="318"/>
      <c r="T41" s="318"/>
      <c r="U41" s="319"/>
      <c r="V41" s="320"/>
      <c r="W41" s="318"/>
      <c r="X41" s="318"/>
      <c r="Y41" s="321"/>
      <c r="Z41" s="317"/>
      <c r="AA41" s="318"/>
      <c r="AB41" s="318"/>
      <c r="AC41" s="319"/>
      <c r="AD41" s="317"/>
      <c r="AE41" s="318"/>
      <c r="AF41" s="318"/>
      <c r="AG41" s="319"/>
      <c r="AH41" s="317"/>
      <c r="AI41" s="318"/>
      <c r="AJ41" s="318"/>
      <c r="AK41" s="319"/>
      <c r="AL41" s="317"/>
      <c r="AM41" s="318"/>
      <c r="AN41" s="318"/>
      <c r="AO41" s="319"/>
      <c r="AP41" s="317"/>
      <c r="AQ41" s="318"/>
      <c r="AR41" s="318"/>
      <c r="AS41" s="319"/>
      <c r="AT41" s="322"/>
      <c r="AU41" s="323"/>
      <c r="AV41" s="323"/>
      <c r="AW41" s="324"/>
      <c r="AX41" s="322"/>
      <c r="AY41" s="323"/>
      <c r="AZ41" s="323"/>
      <c r="BA41" s="324"/>
      <c r="BB41" s="322"/>
      <c r="BC41" s="323"/>
      <c r="BD41" s="323"/>
      <c r="BE41" s="324"/>
    </row>
    <row r="42" spans="1:57" s="303" customFormat="1" ht="26.25" customHeight="1" x14ac:dyDescent="0.3">
      <c r="A42" s="316"/>
      <c r="B42" s="316"/>
      <c r="C42" s="316"/>
      <c r="D42" s="316"/>
      <c r="E42" s="316"/>
      <c r="F42" s="317"/>
      <c r="G42" s="318"/>
      <c r="H42" s="318"/>
      <c r="I42" s="319"/>
      <c r="J42" s="317"/>
      <c r="K42" s="318"/>
      <c r="L42" s="318"/>
      <c r="M42" s="319"/>
      <c r="N42" s="317"/>
      <c r="O42" s="318"/>
      <c r="P42" s="318"/>
      <c r="Q42" s="319"/>
      <c r="R42" s="317"/>
      <c r="S42" s="318"/>
      <c r="T42" s="318"/>
      <c r="U42" s="319"/>
      <c r="V42" s="320"/>
      <c r="W42" s="318"/>
      <c r="X42" s="318"/>
      <c r="Y42" s="321"/>
      <c r="Z42" s="317"/>
      <c r="AA42" s="318"/>
      <c r="AB42" s="318"/>
      <c r="AC42" s="319"/>
      <c r="AD42" s="317"/>
      <c r="AE42" s="318"/>
      <c r="AF42" s="318"/>
      <c r="AG42" s="319"/>
      <c r="AH42" s="317"/>
      <c r="AI42" s="318"/>
      <c r="AJ42" s="318"/>
      <c r="AK42" s="319"/>
      <c r="AL42" s="317"/>
      <c r="AM42" s="318"/>
      <c r="AN42" s="318"/>
      <c r="AO42" s="319"/>
      <c r="AP42" s="317"/>
      <c r="AQ42" s="318"/>
      <c r="AR42" s="318"/>
      <c r="AS42" s="319"/>
      <c r="AT42" s="322"/>
      <c r="AU42" s="323"/>
      <c r="AV42" s="323"/>
      <c r="AW42" s="324"/>
      <c r="AX42" s="322"/>
      <c r="AY42" s="323"/>
      <c r="AZ42" s="323"/>
      <c r="BA42" s="324"/>
      <c r="BB42" s="322"/>
      <c r="BC42" s="323"/>
      <c r="BD42" s="323"/>
      <c r="BE42" s="324"/>
    </row>
    <row r="43" spans="1:57" s="303" customFormat="1" ht="26.25" customHeight="1" x14ac:dyDescent="0.3">
      <c r="A43" s="316"/>
      <c r="B43" s="316"/>
      <c r="C43" s="316"/>
      <c r="D43" s="316"/>
      <c r="E43" s="316"/>
      <c r="F43" s="317"/>
      <c r="G43" s="318"/>
      <c r="H43" s="318"/>
      <c r="I43" s="319"/>
      <c r="J43" s="317"/>
      <c r="K43" s="318"/>
      <c r="L43" s="318"/>
      <c r="M43" s="319"/>
      <c r="N43" s="317"/>
      <c r="O43" s="318"/>
      <c r="P43" s="318"/>
      <c r="Q43" s="319"/>
      <c r="R43" s="317"/>
      <c r="S43" s="318"/>
      <c r="T43" s="318"/>
      <c r="U43" s="319"/>
      <c r="V43" s="320"/>
      <c r="W43" s="318"/>
      <c r="X43" s="318"/>
      <c r="Y43" s="321"/>
      <c r="Z43" s="317"/>
      <c r="AA43" s="318"/>
      <c r="AB43" s="318"/>
      <c r="AC43" s="319"/>
      <c r="AD43" s="317"/>
      <c r="AE43" s="318"/>
      <c r="AF43" s="318"/>
      <c r="AG43" s="319"/>
      <c r="AH43" s="317"/>
      <c r="AI43" s="318"/>
      <c r="AJ43" s="318"/>
      <c r="AK43" s="319"/>
      <c r="AL43" s="317"/>
      <c r="AM43" s="318"/>
      <c r="AN43" s="318"/>
      <c r="AO43" s="319"/>
      <c r="AP43" s="317"/>
      <c r="AQ43" s="318"/>
      <c r="AR43" s="318"/>
      <c r="AS43" s="319"/>
      <c r="AT43" s="322"/>
      <c r="AU43" s="323"/>
      <c r="AV43" s="323"/>
      <c r="AW43" s="324"/>
      <c r="AX43" s="322"/>
      <c r="AY43" s="323"/>
      <c r="AZ43" s="323"/>
      <c r="BA43" s="324"/>
      <c r="BB43" s="322"/>
      <c r="BC43" s="323"/>
      <c r="BD43" s="323"/>
      <c r="BE43" s="324"/>
    </row>
    <row r="44" spans="1:57" s="303" customFormat="1" ht="26.25" customHeight="1" x14ac:dyDescent="0.3">
      <c r="A44" s="316"/>
      <c r="B44" s="316"/>
      <c r="C44" s="316"/>
      <c r="D44" s="316"/>
      <c r="E44" s="316"/>
      <c r="F44" s="317"/>
      <c r="G44" s="318"/>
      <c r="H44" s="318"/>
      <c r="I44" s="319"/>
      <c r="J44" s="317"/>
      <c r="K44" s="318"/>
      <c r="L44" s="318"/>
      <c r="M44" s="319"/>
      <c r="N44" s="317"/>
      <c r="O44" s="318"/>
      <c r="P44" s="318"/>
      <c r="Q44" s="319"/>
      <c r="R44" s="317"/>
      <c r="S44" s="318"/>
      <c r="T44" s="318"/>
      <c r="U44" s="319"/>
      <c r="V44" s="320"/>
      <c r="W44" s="318"/>
      <c r="X44" s="318"/>
      <c r="Y44" s="321"/>
      <c r="Z44" s="317"/>
      <c r="AA44" s="318"/>
      <c r="AB44" s="318"/>
      <c r="AC44" s="319"/>
      <c r="AD44" s="317"/>
      <c r="AE44" s="318"/>
      <c r="AF44" s="318"/>
      <c r="AG44" s="319"/>
      <c r="AH44" s="317"/>
      <c r="AI44" s="318"/>
      <c r="AJ44" s="318"/>
      <c r="AK44" s="319"/>
      <c r="AL44" s="317"/>
      <c r="AM44" s="318"/>
      <c r="AN44" s="318"/>
      <c r="AO44" s="319"/>
      <c r="AP44" s="317"/>
      <c r="AQ44" s="318"/>
      <c r="AR44" s="318"/>
      <c r="AS44" s="319"/>
      <c r="AT44" s="322"/>
      <c r="AU44" s="323"/>
      <c r="AV44" s="323"/>
      <c r="AW44" s="324"/>
      <c r="AX44" s="322"/>
      <c r="AY44" s="323"/>
      <c r="AZ44" s="323"/>
      <c r="BA44" s="324"/>
      <c r="BB44" s="322"/>
      <c r="BC44" s="323"/>
      <c r="BD44" s="323"/>
      <c r="BE44" s="324"/>
    </row>
    <row r="45" spans="1:57" s="303" customFormat="1" ht="26.25" customHeight="1" x14ac:dyDescent="0.3">
      <c r="A45" s="316"/>
      <c r="B45" s="316"/>
      <c r="C45" s="316"/>
      <c r="D45" s="316"/>
      <c r="E45" s="316"/>
      <c r="F45" s="317"/>
      <c r="G45" s="318"/>
      <c r="H45" s="318"/>
      <c r="I45" s="319"/>
      <c r="J45" s="317"/>
      <c r="K45" s="318"/>
      <c r="L45" s="318"/>
      <c r="M45" s="319"/>
      <c r="N45" s="317"/>
      <c r="O45" s="318"/>
      <c r="P45" s="318"/>
      <c r="Q45" s="319"/>
      <c r="R45" s="317"/>
      <c r="S45" s="318"/>
      <c r="T45" s="318"/>
      <c r="U45" s="319"/>
      <c r="V45" s="320"/>
      <c r="W45" s="318"/>
      <c r="X45" s="318"/>
      <c r="Y45" s="321"/>
      <c r="Z45" s="317"/>
      <c r="AA45" s="318"/>
      <c r="AB45" s="318"/>
      <c r="AC45" s="319"/>
      <c r="AD45" s="317"/>
      <c r="AE45" s="318"/>
      <c r="AF45" s="318"/>
      <c r="AG45" s="319"/>
      <c r="AH45" s="317"/>
      <c r="AI45" s="318"/>
      <c r="AJ45" s="318"/>
      <c r="AK45" s="319"/>
      <c r="AL45" s="317"/>
      <c r="AM45" s="318"/>
      <c r="AN45" s="318"/>
      <c r="AO45" s="319"/>
      <c r="AP45" s="317"/>
      <c r="AQ45" s="318"/>
      <c r="AR45" s="318"/>
      <c r="AS45" s="319"/>
      <c r="AT45" s="322"/>
      <c r="AU45" s="323"/>
      <c r="AV45" s="323"/>
      <c r="AW45" s="324"/>
      <c r="AX45" s="322"/>
      <c r="AY45" s="323"/>
      <c r="AZ45" s="323"/>
      <c r="BA45" s="324"/>
      <c r="BB45" s="322"/>
      <c r="BC45" s="323"/>
      <c r="BD45" s="323"/>
      <c r="BE45" s="324"/>
    </row>
    <row r="46" spans="1:57" s="303" customFormat="1" ht="26.25" customHeight="1" x14ac:dyDescent="0.3">
      <c r="A46" s="316"/>
      <c r="B46" s="316"/>
      <c r="C46" s="316"/>
      <c r="D46" s="316"/>
      <c r="E46" s="316"/>
      <c r="F46" s="317"/>
      <c r="G46" s="318"/>
      <c r="H46" s="318"/>
      <c r="I46" s="319"/>
      <c r="J46" s="317"/>
      <c r="K46" s="318"/>
      <c r="L46" s="318"/>
      <c r="M46" s="319"/>
      <c r="N46" s="317"/>
      <c r="O46" s="318"/>
      <c r="P46" s="318"/>
      <c r="Q46" s="319"/>
      <c r="R46" s="317"/>
      <c r="S46" s="318"/>
      <c r="T46" s="318"/>
      <c r="U46" s="319"/>
      <c r="V46" s="320"/>
      <c r="W46" s="318"/>
      <c r="X46" s="318"/>
      <c r="Y46" s="321"/>
      <c r="Z46" s="317"/>
      <c r="AA46" s="318"/>
      <c r="AB46" s="318"/>
      <c r="AC46" s="319"/>
      <c r="AD46" s="317"/>
      <c r="AE46" s="318"/>
      <c r="AF46" s="318"/>
      <c r="AG46" s="319"/>
      <c r="AH46" s="317"/>
      <c r="AI46" s="318"/>
      <c r="AJ46" s="318"/>
      <c r="AK46" s="319"/>
      <c r="AL46" s="317"/>
      <c r="AM46" s="318"/>
      <c r="AN46" s="318"/>
      <c r="AO46" s="319"/>
      <c r="AP46" s="317"/>
      <c r="AQ46" s="318"/>
      <c r="AR46" s="318"/>
      <c r="AS46" s="319"/>
      <c r="AT46" s="322"/>
      <c r="AU46" s="323"/>
      <c r="AV46" s="323"/>
      <c r="AW46" s="324"/>
      <c r="AX46" s="322"/>
      <c r="AY46" s="323"/>
      <c r="AZ46" s="323"/>
      <c r="BA46" s="324"/>
      <c r="BB46" s="322"/>
      <c r="BC46" s="323"/>
      <c r="BD46" s="323"/>
      <c r="BE46" s="324"/>
    </row>
    <row r="47" spans="1:57" s="303" customFormat="1" ht="26.25" customHeight="1" x14ac:dyDescent="0.3">
      <c r="A47" s="316"/>
      <c r="B47" s="316"/>
      <c r="C47" s="316"/>
      <c r="D47" s="316"/>
      <c r="E47" s="316"/>
      <c r="F47" s="317"/>
      <c r="G47" s="318"/>
      <c r="H47" s="318"/>
      <c r="I47" s="319"/>
      <c r="J47" s="317"/>
      <c r="K47" s="318"/>
      <c r="L47" s="318"/>
      <c r="M47" s="319"/>
      <c r="N47" s="317"/>
      <c r="O47" s="318"/>
      <c r="P47" s="318"/>
      <c r="Q47" s="319"/>
      <c r="R47" s="317"/>
      <c r="S47" s="318"/>
      <c r="T47" s="318"/>
      <c r="U47" s="319"/>
      <c r="V47" s="320"/>
      <c r="W47" s="318"/>
      <c r="X47" s="318"/>
      <c r="Y47" s="321"/>
      <c r="Z47" s="317"/>
      <c r="AA47" s="318"/>
      <c r="AB47" s="318"/>
      <c r="AC47" s="319"/>
      <c r="AD47" s="317"/>
      <c r="AE47" s="318"/>
      <c r="AF47" s="318"/>
      <c r="AG47" s="319"/>
      <c r="AH47" s="317"/>
      <c r="AI47" s="318"/>
      <c r="AJ47" s="318"/>
      <c r="AK47" s="319"/>
      <c r="AL47" s="317"/>
      <c r="AM47" s="318"/>
      <c r="AN47" s="318"/>
      <c r="AO47" s="319"/>
      <c r="AP47" s="317"/>
      <c r="AQ47" s="318"/>
      <c r="AR47" s="318"/>
      <c r="AS47" s="319"/>
      <c r="AT47" s="322"/>
      <c r="AU47" s="323"/>
      <c r="AV47" s="323"/>
      <c r="AW47" s="324"/>
      <c r="AX47" s="322"/>
      <c r="AY47" s="323"/>
      <c r="AZ47" s="323"/>
      <c r="BA47" s="324"/>
      <c r="BB47" s="322"/>
      <c r="BC47" s="323"/>
      <c r="BD47" s="323"/>
      <c r="BE47" s="324"/>
    </row>
    <row r="48" spans="1:57" s="303" customFormat="1" ht="26.25" customHeight="1" x14ac:dyDescent="0.3">
      <c r="A48" s="316"/>
      <c r="B48" s="316"/>
      <c r="C48" s="316"/>
      <c r="D48" s="316"/>
      <c r="E48" s="316"/>
      <c r="F48" s="317"/>
      <c r="G48" s="318"/>
      <c r="H48" s="318"/>
      <c r="I48" s="319"/>
      <c r="J48" s="317"/>
      <c r="K48" s="318"/>
      <c r="L48" s="318"/>
      <c r="M48" s="319"/>
      <c r="N48" s="317"/>
      <c r="O48" s="318"/>
      <c r="P48" s="318"/>
      <c r="Q48" s="319"/>
      <c r="R48" s="317"/>
      <c r="S48" s="318"/>
      <c r="T48" s="318"/>
      <c r="U48" s="319"/>
      <c r="V48" s="320"/>
      <c r="W48" s="318"/>
      <c r="X48" s="318"/>
      <c r="Y48" s="321"/>
      <c r="Z48" s="317"/>
      <c r="AA48" s="318"/>
      <c r="AB48" s="318"/>
      <c r="AC48" s="319"/>
      <c r="AD48" s="317"/>
      <c r="AE48" s="318"/>
      <c r="AF48" s="318"/>
      <c r="AG48" s="319"/>
      <c r="AH48" s="317"/>
      <c r="AI48" s="318"/>
      <c r="AJ48" s="318"/>
      <c r="AK48" s="319"/>
      <c r="AL48" s="317"/>
      <c r="AM48" s="318"/>
      <c r="AN48" s="318"/>
      <c r="AO48" s="319"/>
      <c r="AP48" s="317"/>
      <c r="AQ48" s="318"/>
      <c r="AR48" s="318"/>
      <c r="AS48" s="319"/>
      <c r="AT48" s="322"/>
      <c r="AU48" s="323"/>
      <c r="AV48" s="323"/>
      <c r="AW48" s="324"/>
      <c r="AX48" s="322"/>
      <c r="AY48" s="323"/>
      <c r="AZ48" s="323"/>
      <c r="BA48" s="324"/>
      <c r="BB48" s="322"/>
      <c r="BC48" s="323"/>
      <c r="BD48" s="323"/>
      <c r="BE48" s="324"/>
    </row>
    <row r="49" spans="1:57" s="303" customFormat="1" ht="26.25" customHeight="1" x14ac:dyDescent="0.3">
      <c r="A49" s="316"/>
      <c r="B49" s="316"/>
      <c r="C49" s="316"/>
      <c r="D49" s="316"/>
      <c r="E49" s="316"/>
      <c r="F49" s="317"/>
      <c r="G49" s="318"/>
      <c r="H49" s="318"/>
      <c r="I49" s="319"/>
      <c r="J49" s="317"/>
      <c r="K49" s="318"/>
      <c r="L49" s="318"/>
      <c r="M49" s="319"/>
      <c r="N49" s="317"/>
      <c r="O49" s="318"/>
      <c r="P49" s="318"/>
      <c r="Q49" s="319"/>
      <c r="R49" s="317"/>
      <c r="S49" s="318"/>
      <c r="T49" s="318"/>
      <c r="U49" s="319"/>
      <c r="V49" s="320"/>
      <c r="W49" s="318"/>
      <c r="X49" s="318"/>
      <c r="Y49" s="321"/>
      <c r="Z49" s="317"/>
      <c r="AA49" s="318"/>
      <c r="AB49" s="318"/>
      <c r="AC49" s="319"/>
      <c r="AD49" s="317"/>
      <c r="AE49" s="318"/>
      <c r="AF49" s="318"/>
      <c r="AG49" s="319"/>
      <c r="AH49" s="317"/>
      <c r="AI49" s="318"/>
      <c r="AJ49" s="318"/>
      <c r="AK49" s="319"/>
      <c r="AL49" s="317"/>
      <c r="AM49" s="318"/>
      <c r="AN49" s="318"/>
      <c r="AO49" s="319"/>
      <c r="AP49" s="317"/>
      <c r="AQ49" s="318"/>
      <c r="AR49" s="318"/>
      <c r="AS49" s="319"/>
      <c r="AT49" s="322"/>
      <c r="AU49" s="323"/>
      <c r="AV49" s="323"/>
      <c r="AW49" s="324"/>
      <c r="AX49" s="322"/>
      <c r="AY49" s="323"/>
      <c r="AZ49" s="323"/>
      <c r="BA49" s="324"/>
      <c r="BB49" s="322"/>
      <c r="BC49" s="323"/>
      <c r="BD49" s="323"/>
      <c r="BE49" s="324"/>
    </row>
    <row r="50" spans="1:57" s="303" customFormat="1" ht="26.25" customHeight="1" x14ac:dyDescent="0.3">
      <c r="A50" s="316"/>
      <c r="B50" s="316"/>
      <c r="C50" s="316"/>
      <c r="D50" s="316"/>
      <c r="E50" s="316"/>
      <c r="F50" s="317"/>
      <c r="G50" s="318"/>
      <c r="H50" s="318"/>
      <c r="I50" s="319"/>
      <c r="J50" s="317"/>
      <c r="K50" s="318"/>
      <c r="L50" s="318"/>
      <c r="M50" s="319"/>
      <c r="N50" s="317"/>
      <c r="O50" s="318"/>
      <c r="P50" s="318"/>
      <c r="Q50" s="319"/>
      <c r="R50" s="317"/>
      <c r="S50" s="318"/>
      <c r="T50" s="318"/>
      <c r="U50" s="319"/>
      <c r="V50" s="320"/>
      <c r="W50" s="318"/>
      <c r="X50" s="318"/>
      <c r="Y50" s="321"/>
      <c r="Z50" s="317"/>
      <c r="AA50" s="318"/>
      <c r="AB50" s="318"/>
      <c r="AC50" s="319"/>
      <c r="AD50" s="317"/>
      <c r="AE50" s="318"/>
      <c r="AF50" s="318"/>
      <c r="AG50" s="319"/>
      <c r="AH50" s="317"/>
      <c r="AI50" s="318"/>
      <c r="AJ50" s="318"/>
      <c r="AK50" s="319"/>
      <c r="AL50" s="317"/>
      <c r="AM50" s="318"/>
      <c r="AN50" s="318"/>
      <c r="AO50" s="319"/>
      <c r="AP50" s="317"/>
      <c r="AQ50" s="318"/>
      <c r="AR50" s="318"/>
      <c r="AS50" s="319"/>
      <c r="AT50" s="322"/>
      <c r="AU50" s="323"/>
      <c r="AV50" s="323"/>
      <c r="AW50" s="324"/>
      <c r="AX50" s="322"/>
      <c r="AY50" s="323"/>
      <c r="AZ50" s="323"/>
      <c r="BA50" s="324"/>
      <c r="BB50" s="322"/>
      <c r="BC50" s="323"/>
      <c r="BD50" s="323"/>
      <c r="BE50" s="324"/>
    </row>
    <row r="51" spans="1:57" s="303" customFormat="1" ht="26.25" customHeight="1" x14ac:dyDescent="0.3">
      <c r="A51" s="316"/>
      <c r="B51" s="316"/>
      <c r="C51" s="316"/>
      <c r="D51" s="316"/>
      <c r="E51" s="316"/>
      <c r="F51" s="317"/>
      <c r="G51" s="318"/>
      <c r="H51" s="318"/>
      <c r="I51" s="319"/>
      <c r="J51" s="317"/>
      <c r="K51" s="318"/>
      <c r="L51" s="318"/>
      <c r="M51" s="319"/>
      <c r="N51" s="317"/>
      <c r="O51" s="318"/>
      <c r="P51" s="318"/>
      <c r="Q51" s="319"/>
      <c r="R51" s="317"/>
      <c r="S51" s="318"/>
      <c r="T51" s="318"/>
      <c r="U51" s="319"/>
      <c r="V51" s="320"/>
      <c r="W51" s="318"/>
      <c r="X51" s="318"/>
      <c r="Y51" s="321"/>
      <c r="Z51" s="317"/>
      <c r="AA51" s="318"/>
      <c r="AB51" s="318"/>
      <c r="AC51" s="319"/>
      <c r="AD51" s="317"/>
      <c r="AE51" s="318"/>
      <c r="AF51" s="318"/>
      <c r="AG51" s="319"/>
      <c r="AH51" s="317"/>
      <c r="AI51" s="318"/>
      <c r="AJ51" s="318"/>
      <c r="AK51" s="319"/>
      <c r="AL51" s="317"/>
      <c r="AM51" s="318"/>
      <c r="AN51" s="318"/>
      <c r="AO51" s="319"/>
      <c r="AP51" s="317"/>
      <c r="AQ51" s="318"/>
      <c r="AR51" s="318"/>
      <c r="AS51" s="319"/>
      <c r="AT51" s="322"/>
      <c r="AU51" s="323"/>
      <c r="AV51" s="323"/>
      <c r="AW51" s="324"/>
      <c r="AX51" s="322"/>
      <c r="AY51" s="323"/>
      <c r="AZ51" s="323"/>
      <c r="BA51" s="324"/>
      <c r="BB51" s="322"/>
      <c r="BC51" s="323"/>
      <c r="BD51" s="323"/>
      <c r="BE51" s="324"/>
    </row>
    <row r="52" spans="1:57" s="303" customFormat="1" ht="26.25" customHeight="1" x14ac:dyDescent="0.3">
      <c r="A52" s="316"/>
      <c r="B52" s="316"/>
      <c r="C52" s="316"/>
      <c r="D52" s="316"/>
      <c r="E52" s="316"/>
      <c r="F52" s="317"/>
      <c r="G52" s="318"/>
      <c r="H52" s="318"/>
      <c r="I52" s="319"/>
      <c r="J52" s="317"/>
      <c r="K52" s="318"/>
      <c r="L52" s="318"/>
      <c r="M52" s="319"/>
      <c r="N52" s="317"/>
      <c r="O52" s="318"/>
      <c r="P52" s="318"/>
      <c r="Q52" s="319"/>
      <c r="R52" s="317"/>
      <c r="S52" s="318"/>
      <c r="T52" s="318"/>
      <c r="U52" s="319"/>
      <c r="V52" s="320"/>
      <c r="W52" s="318"/>
      <c r="X52" s="318"/>
      <c r="Y52" s="321"/>
      <c r="Z52" s="317"/>
      <c r="AA52" s="318"/>
      <c r="AB52" s="318"/>
      <c r="AC52" s="319"/>
      <c r="AD52" s="317"/>
      <c r="AE52" s="318"/>
      <c r="AF52" s="318"/>
      <c r="AG52" s="319"/>
      <c r="AH52" s="317"/>
      <c r="AI52" s="318"/>
      <c r="AJ52" s="318"/>
      <c r="AK52" s="319"/>
      <c r="AL52" s="317"/>
      <c r="AM52" s="318"/>
      <c r="AN52" s="318"/>
      <c r="AO52" s="319"/>
      <c r="AP52" s="317"/>
      <c r="AQ52" s="318"/>
      <c r="AR52" s="318"/>
      <c r="AS52" s="319"/>
      <c r="AT52" s="322"/>
      <c r="AU52" s="323"/>
      <c r="AV52" s="323"/>
      <c r="AW52" s="324"/>
      <c r="AX52" s="322"/>
      <c r="AY52" s="323"/>
      <c r="AZ52" s="323"/>
      <c r="BA52" s="324"/>
      <c r="BB52" s="322"/>
      <c r="BC52" s="323"/>
      <c r="BD52" s="323"/>
      <c r="BE52" s="324"/>
    </row>
    <row r="53" spans="1:57" s="303" customFormat="1" ht="26.25" customHeight="1" x14ac:dyDescent="0.3">
      <c r="A53" s="316"/>
      <c r="B53" s="316"/>
      <c r="C53" s="316"/>
      <c r="D53" s="316"/>
      <c r="E53" s="316"/>
      <c r="F53" s="317"/>
      <c r="G53" s="318"/>
      <c r="H53" s="318"/>
      <c r="I53" s="319"/>
      <c r="J53" s="317"/>
      <c r="K53" s="318"/>
      <c r="L53" s="318"/>
      <c r="M53" s="319"/>
      <c r="N53" s="317"/>
      <c r="O53" s="318"/>
      <c r="P53" s="318"/>
      <c r="Q53" s="319"/>
      <c r="R53" s="317"/>
      <c r="S53" s="318"/>
      <c r="T53" s="318"/>
      <c r="U53" s="319"/>
      <c r="V53" s="320"/>
      <c r="W53" s="318"/>
      <c r="X53" s="318"/>
      <c r="Y53" s="321"/>
      <c r="Z53" s="317"/>
      <c r="AA53" s="318"/>
      <c r="AB53" s="318"/>
      <c r="AC53" s="319"/>
      <c r="AD53" s="317"/>
      <c r="AE53" s="318"/>
      <c r="AF53" s="318"/>
      <c r="AG53" s="319"/>
      <c r="AH53" s="317"/>
      <c r="AI53" s="318"/>
      <c r="AJ53" s="318"/>
      <c r="AK53" s="319"/>
      <c r="AL53" s="317"/>
      <c r="AM53" s="318"/>
      <c r="AN53" s="318"/>
      <c r="AO53" s="319"/>
      <c r="AP53" s="317"/>
      <c r="AQ53" s="318"/>
      <c r="AR53" s="318"/>
      <c r="AS53" s="319"/>
      <c r="AT53" s="322"/>
      <c r="AU53" s="323"/>
      <c r="AV53" s="323"/>
      <c r="AW53" s="324"/>
      <c r="AX53" s="322"/>
      <c r="AY53" s="323"/>
      <c r="AZ53" s="323"/>
      <c r="BA53" s="324"/>
      <c r="BB53" s="322"/>
      <c r="BC53" s="323"/>
      <c r="BD53" s="323"/>
      <c r="BE53" s="324"/>
    </row>
    <row r="54" spans="1:57" s="303" customFormat="1" ht="26.25" customHeight="1" x14ac:dyDescent="0.3">
      <c r="A54" s="316"/>
      <c r="B54" s="316"/>
      <c r="C54" s="316"/>
      <c r="D54" s="316"/>
      <c r="E54" s="316"/>
      <c r="F54" s="317"/>
      <c r="G54" s="318"/>
      <c r="H54" s="318"/>
      <c r="I54" s="319"/>
      <c r="J54" s="317"/>
      <c r="K54" s="318"/>
      <c r="L54" s="318"/>
      <c r="M54" s="319"/>
      <c r="N54" s="317"/>
      <c r="O54" s="318"/>
      <c r="P54" s="318"/>
      <c r="Q54" s="319"/>
      <c r="R54" s="317"/>
      <c r="S54" s="318"/>
      <c r="T54" s="318"/>
      <c r="U54" s="319"/>
      <c r="V54" s="320"/>
      <c r="W54" s="318"/>
      <c r="X54" s="318"/>
      <c r="Y54" s="321"/>
      <c r="Z54" s="317"/>
      <c r="AA54" s="318"/>
      <c r="AB54" s="318"/>
      <c r="AC54" s="319"/>
      <c r="AD54" s="317"/>
      <c r="AE54" s="318"/>
      <c r="AF54" s="318"/>
      <c r="AG54" s="319"/>
      <c r="AH54" s="317"/>
      <c r="AI54" s="318"/>
      <c r="AJ54" s="318"/>
      <c r="AK54" s="319"/>
      <c r="AL54" s="317"/>
      <c r="AM54" s="318"/>
      <c r="AN54" s="318"/>
      <c r="AO54" s="319"/>
      <c r="AP54" s="317"/>
      <c r="AQ54" s="318"/>
      <c r="AR54" s="318"/>
      <c r="AS54" s="319"/>
      <c r="AT54" s="322"/>
      <c r="AU54" s="323"/>
      <c r="AV54" s="323"/>
      <c r="AW54" s="324"/>
      <c r="AX54" s="322"/>
      <c r="AY54" s="323"/>
      <c r="AZ54" s="323"/>
      <c r="BA54" s="324"/>
      <c r="BB54" s="322"/>
      <c r="BC54" s="323"/>
      <c r="BD54" s="323"/>
      <c r="BE54" s="324"/>
    </row>
    <row r="55" spans="1:57" s="303" customFormat="1" ht="26.25" customHeight="1" x14ac:dyDescent="0.3">
      <c r="A55" s="316"/>
      <c r="B55" s="316"/>
      <c r="C55" s="316"/>
      <c r="D55" s="316"/>
      <c r="E55" s="316"/>
      <c r="F55" s="317"/>
      <c r="G55" s="318"/>
      <c r="H55" s="318"/>
      <c r="I55" s="319"/>
      <c r="J55" s="317"/>
      <c r="K55" s="318"/>
      <c r="L55" s="318"/>
      <c r="M55" s="319"/>
      <c r="N55" s="317"/>
      <c r="O55" s="318"/>
      <c r="P55" s="318"/>
      <c r="Q55" s="319"/>
      <c r="R55" s="317"/>
      <c r="S55" s="318"/>
      <c r="T55" s="318"/>
      <c r="U55" s="319"/>
      <c r="V55" s="317"/>
      <c r="W55" s="318"/>
      <c r="X55" s="318"/>
      <c r="Y55" s="319"/>
      <c r="Z55" s="317"/>
      <c r="AA55" s="318"/>
      <c r="AB55" s="318"/>
      <c r="AC55" s="319"/>
      <c r="AD55" s="317"/>
      <c r="AE55" s="318"/>
      <c r="AF55" s="318"/>
      <c r="AG55" s="319"/>
      <c r="AH55" s="317"/>
      <c r="AI55" s="318"/>
      <c r="AJ55" s="318"/>
      <c r="AK55" s="319"/>
      <c r="AL55" s="317"/>
      <c r="AM55" s="318"/>
      <c r="AN55" s="318"/>
      <c r="AO55" s="319"/>
      <c r="AP55" s="317"/>
      <c r="AQ55" s="318"/>
      <c r="AR55" s="318"/>
      <c r="AS55" s="319"/>
      <c r="AT55" s="322"/>
      <c r="AU55" s="323"/>
      <c r="AV55" s="323"/>
      <c r="AW55" s="324"/>
      <c r="AX55" s="322"/>
      <c r="AY55" s="323"/>
      <c r="AZ55" s="323"/>
      <c r="BA55" s="324"/>
      <c r="BB55" s="322"/>
      <c r="BC55" s="323"/>
      <c r="BD55" s="323"/>
      <c r="BE55" s="324"/>
    </row>
    <row r="56" spans="1:57" s="303" customFormat="1" ht="26.25" customHeight="1" x14ac:dyDescent="0.3">
      <c r="A56" s="316"/>
      <c r="B56" s="316"/>
      <c r="C56" s="316"/>
      <c r="D56" s="316"/>
      <c r="E56" s="316"/>
      <c r="F56" s="317"/>
      <c r="G56" s="318"/>
      <c r="H56" s="318"/>
      <c r="I56" s="319"/>
      <c r="J56" s="317"/>
      <c r="K56" s="318"/>
      <c r="L56" s="318"/>
      <c r="M56" s="319"/>
      <c r="N56" s="317"/>
      <c r="O56" s="318"/>
      <c r="P56" s="318"/>
      <c r="Q56" s="319"/>
      <c r="R56" s="317"/>
      <c r="S56" s="318"/>
      <c r="T56" s="318"/>
      <c r="U56" s="319"/>
      <c r="V56" s="317"/>
      <c r="W56" s="318"/>
      <c r="X56" s="318"/>
      <c r="Y56" s="319"/>
      <c r="Z56" s="317"/>
      <c r="AA56" s="318"/>
      <c r="AB56" s="318"/>
      <c r="AC56" s="319"/>
      <c r="AD56" s="317"/>
      <c r="AE56" s="318"/>
      <c r="AF56" s="318"/>
      <c r="AG56" s="319"/>
      <c r="AH56" s="317"/>
      <c r="AI56" s="318"/>
      <c r="AJ56" s="318"/>
      <c r="AK56" s="319"/>
      <c r="AL56" s="317"/>
      <c r="AM56" s="318"/>
      <c r="AN56" s="318"/>
      <c r="AO56" s="319"/>
      <c r="AP56" s="317"/>
      <c r="AQ56" s="318"/>
      <c r="AR56" s="318"/>
      <c r="AS56" s="319"/>
      <c r="AT56" s="322"/>
      <c r="AU56" s="323"/>
      <c r="AV56" s="323"/>
      <c r="AW56" s="324"/>
      <c r="AX56" s="322"/>
      <c r="AY56" s="323"/>
      <c r="AZ56" s="323"/>
      <c r="BA56" s="324"/>
      <c r="BB56" s="322"/>
      <c r="BC56" s="323"/>
      <c r="BD56" s="323"/>
      <c r="BE56" s="324"/>
    </row>
    <row r="57" spans="1:57" s="303" customFormat="1" ht="26.25" customHeight="1" x14ac:dyDescent="0.3">
      <c r="A57" s="316"/>
      <c r="B57" s="316"/>
      <c r="C57" s="316"/>
      <c r="D57" s="316"/>
      <c r="E57" s="316"/>
      <c r="F57" s="317"/>
      <c r="G57" s="318"/>
      <c r="H57" s="318"/>
      <c r="I57" s="319"/>
      <c r="J57" s="317"/>
      <c r="K57" s="318"/>
      <c r="L57" s="318"/>
      <c r="M57" s="319"/>
      <c r="N57" s="317"/>
      <c r="O57" s="318"/>
      <c r="P57" s="318"/>
      <c r="Q57" s="319"/>
      <c r="R57" s="317"/>
      <c r="S57" s="318"/>
      <c r="T57" s="318"/>
      <c r="U57" s="319"/>
      <c r="V57" s="320"/>
      <c r="W57" s="318"/>
      <c r="X57" s="318"/>
      <c r="Y57" s="321"/>
      <c r="Z57" s="317"/>
      <c r="AA57" s="318"/>
      <c r="AB57" s="318"/>
      <c r="AC57" s="319"/>
      <c r="AD57" s="317"/>
      <c r="AE57" s="318"/>
      <c r="AF57" s="318"/>
      <c r="AG57" s="319"/>
      <c r="AH57" s="317"/>
      <c r="AI57" s="318"/>
      <c r="AJ57" s="318"/>
      <c r="AK57" s="319"/>
      <c r="AL57" s="317"/>
      <c r="AM57" s="318"/>
      <c r="AN57" s="318"/>
      <c r="AO57" s="319"/>
      <c r="AP57" s="317"/>
      <c r="AQ57" s="318"/>
      <c r="AR57" s="318"/>
      <c r="AS57" s="319"/>
      <c r="AT57" s="322"/>
      <c r="AU57" s="323"/>
      <c r="AV57" s="323"/>
      <c r="AW57" s="324"/>
      <c r="AX57" s="322"/>
      <c r="AY57" s="323"/>
      <c r="AZ57" s="323"/>
      <c r="BA57" s="324"/>
      <c r="BB57" s="322"/>
      <c r="BC57" s="323"/>
      <c r="BD57" s="323"/>
      <c r="BE57" s="324"/>
    </row>
    <row r="58" spans="1:57" s="303" customFormat="1" ht="26.25" customHeight="1" x14ac:dyDescent="0.3">
      <c r="A58" s="316"/>
      <c r="B58" s="316"/>
      <c r="C58" s="316"/>
      <c r="D58" s="316"/>
      <c r="E58" s="316"/>
      <c r="F58" s="317"/>
      <c r="G58" s="318"/>
      <c r="H58" s="318"/>
      <c r="I58" s="319"/>
      <c r="J58" s="317"/>
      <c r="K58" s="318"/>
      <c r="L58" s="318"/>
      <c r="M58" s="319"/>
      <c r="N58" s="317"/>
      <c r="O58" s="318"/>
      <c r="P58" s="318"/>
      <c r="Q58" s="319"/>
      <c r="R58" s="317"/>
      <c r="S58" s="318"/>
      <c r="T58" s="318"/>
      <c r="U58" s="319"/>
      <c r="V58" s="320"/>
      <c r="W58" s="318"/>
      <c r="X58" s="318"/>
      <c r="Y58" s="321"/>
      <c r="Z58" s="317"/>
      <c r="AA58" s="318"/>
      <c r="AB58" s="318"/>
      <c r="AC58" s="319"/>
      <c r="AD58" s="317"/>
      <c r="AE58" s="318"/>
      <c r="AF58" s="318"/>
      <c r="AG58" s="319"/>
      <c r="AH58" s="317"/>
      <c r="AI58" s="318"/>
      <c r="AJ58" s="318"/>
      <c r="AK58" s="319"/>
      <c r="AL58" s="317"/>
      <c r="AM58" s="318"/>
      <c r="AN58" s="318"/>
      <c r="AO58" s="319"/>
      <c r="AP58" s="317"/>
      <c r="AQ58" s="318"/>
      <c r="AR58" s="318"/>
      <c r="AS58" s="319"/>
      <c r="AT58" s="322"/>
      <c r="AU58" s="323"/>
      <c r="AV58" s="323"/>
      <c r="AW58" s="324"/>
      <c r="AX58" s="322"/>
      <c r="AY58" s="323"/>
      <c r="AZ58" s="323"/>
      <c r="BA58" s="324"/>
      <c r="BB58" s="322"/>
      <c r="BC58" s="323"/>
      <c r="BD58" s="323"/>
      <c r="BE58" s="324"/>
    </row>
    <row r="59" spans="1:57" s="303" customFormat="1" ht="26.25" customHeight="1" x14ac:dyDescent="0.3">
      <c r="A59" s="316"/>
      <c r="B59" s="316"/>
      <c r="C59" s="316"/>
      <c r="D59" s="316"/>
      <c r="E59" s="316"/>
      <c r="F59" s="317"/>
      <c r="G59" s="318"/>
      <c r="H59" s="318"/>
      <c r="I59" s="319"/>
      <c r="J59" s="317"/>
      <c r="K59" s="318"/>
      <c r="L59" s="318"/>
      <c r="M59" s="319"/>
      <c r="N59" s="317"/>
      <c r="O59" s="318"/>
      <c r="P59" s="318"/>
      <c r="Q59" s="319"/>
      <c r="R59" s="317"/>
      <c r="S59" s="318"/>
      <c r="T59" s="318"/>
      <c r="U59" s="319"/>
      <c r="V59" s="320"/>
      <c r="W59" s="318"/>
      <c r="X59" s="318"/>
      <c r="Y59" s="321"/>
      <c r="Z59" s="317"/>
      <c r="AA59" s="318"/>
      <c r="AB59" s="318"/>
      <c r="AC59" s="319"/>
      <c r="AD59" s="317"/>
      <c r="AE59" s="318"/>
      <c r="AF59" s="318"/>
      <c r="AG59" s="319"/>
      <c r="AH59" s="317"/>
      <c r="AI59" s="318"/>
      <c r="AJ59" s="318"/>
      <c r="AK59" s="319"/>
      <c r="AL59" s="317"/>
      <c r="AM59" s="318"/>
      <c r="AN59" s="318"/>
      <c r="AO59" s="319"/>
      <c r="AP59" s="317"/>
      <c r="AQ59" s="318"/>
      <c r="AR59" s="318"/>
      <c r="AS59" s="319"/>
      <c r="AT59" s="322"/>
      <c r="AU59" s="323"/>
      <c r="AV59" s="323"/>
      <c r="AW59" s="324"/>
      <c r="AX59" s="322"/>
      <c r="AY59" s="323"/>
      <c r="AZ59" s="323"/>
      <c r="BA59" s="324"/>
      <c r="BB59" s="322"/>
      <c r="BC59" s="323"/>
      <c r="BD59" s="323"/>
      <c r="BE59" s="324"/>
    </row>
    <row r="60" spans="1:57" s="303" customFormat="1" ht="26.25" customHeight="1" x14ac:dyDescent="0.3">
      <c r="A60" s="316"/>
      <c r="B60" s="316"/>
      <c r="C60" s="316"/>
      <c r="D60" s="316"/>
      <c r="E60" s="316"/>
      <c r="F60" s="317"/>
      <c r="G60" s="318"/>
      <c r="H60" s="318"/>
      <c r="I60" s="319"/>
      <c r="J60" s="317"/>
      <c r="K60" s="318"/>
      <c r="L60" s="318"/>
      <c r="M60" s="319"/>
      <c r="N60" s="317"/>
      <c r="O60" s="318"/>
      <c r="P60" s="318"/>
      <c r="Q60" s="319"/>
      <c r="R60" s="317"/>
      <c r="S60" s="318"/>
      <c r="T60" s="318"/>
      <c r="U60" s="319"/>
      <c r="V60" s="320"/>
      <c r="W60" s="318"/>
      <c r="X60" s="318"/>
      <c r="Y60" s="321"/>
      <c r="Z60" s="317"/>
      <c r="AA60" s="318"/>
      <c r="AB60" s="318"/>
      <c r="AC60" s="319"/>
      <c r="AD60" s="317"/>
      <c r="AE60" s="318"/>
      <c r="AF60" s="318"/>
      <c r="AG60" s="319"/>
      <c r="AH60" s="317"/>
      <c r="AI60" s="318"/>
      <c r="AJ60" s="318"/>
      <c r="AK60" s="319"/>
      <c r="AL60" s="317"/>
      <c r="AM60" s="318"/>
      <c r="AN60" s="318"/>
      <c r="AO60" s="319"/>
      <c r="AP60" s="317"/>
      <c r="AQ60" s="318"/>
      <c r="AR60" s="318"/>
      <c r="AS60" s="319"/>
      <c r="AT60" s="322"/>
      <c r="AU60" s="323"/>
      <c r="AV60" s="323"/>
      <c r="AW60" s="324"/>
      <c r="AX60" s="322"/>
      <c r="AY60" s="323"/>
      <c r="AZ60" s="323"/>
      <c r="BA60" s="324"/>
      <c r="BB60" s="322"/>
      <c r="BC60" s="323"/>
      <c r="BD60" s="323"/>
      <c r="BE60" s="324"/>
    </row>
    <row r="61" spans="1:57" s="303" customFormat="1" ht="26.25" customHeight="1" x14ac:dyDescent="0.3">
      <c r="A61" s="316"/>
      <c r="B61" s="316"/>
      <c r="C61" s="316"/>
      <c r="D61" s="316"/>
      <c r="E61" s="316"/>
      <c r="F61" s="317"/>
      <c r="G61" s="318"/>
      <c r="H61" s="318"/>
      <c r="I61" s="319"/>
      <c r="J61" s="317"/>
      <c r="K61" s="318"/>
      <c r="L61" s="318"/>
      <c r="M61" s="319"/>
      <c r="N61" s="317"/>
      <c r="O61" s="318"/>
      <c r="P61" s="318"/>
      <c r="Q61" s="319"/>
      <c r="R61" s="317"/>
      <c r="S61" s="318"/>
      <c r="T61" s="318"/>
      <c r="U61" s="319"/>
      <c r="V61" s="320"/>
      <c r="W61" s="318"/>
      <c r="X61" s="318"/>
      <c r="Y61" s="321"/>
      <c r="Z61" s="317"/>
      <c r="AA61" s="318"/>
      <c r="AB61" s="318"/>
      <c r="AC61" s="319"/>
      <c r="AD61" s="317"/>
      <c r="AE61" s="318"/>
      <c r="AF61" s="318"/>
      <c r="AG61" s="319"/>
      <c r="AH61" s="317"/>
      <c r="AI61" s="318"/>
      <c r="AJ61" s="318"/>
      <c r="AK61" s="319"/>
      <c r="AL61" s="317"/>
      <c r="AM61" s="318"/>
      <c r="AN61" s="318"/>
      <c r="AO61" s="319"/>
      <c r="AP61" s="317"/>
      <c r="AQ61" s="318"/>
      <c r="AR61" s="318"/>
      <c r="AS61" s="319"/>
      <c r="AT61" s="322"/>
      <c r="AU61" s="323"/>
      <c r="AV61" s="323"/>
      <c r="AW61" s="324"/>
      <c r="AX61" s="322"/>
      <c r="AY61" s="323"/>
      <c r="AZ61" s="323"/>
      <c r="BA61" s="324"/>
      <c r="BB61" s="322"/>
      <c r="BC61" s="323"/>
      <c r="BD61" s="323"/>
      <c r="BE61" s="324"/>
    </row>
    <row r="62" spans="1:57" s="303" customFormat="1" ht="26.25" customHeight="1" x14ac:dyDescent="0.3">
      <c r="A62" s="316"/>
      <c r="B62" s="316"/>
      <c r="C62" s="316"/>
      <c r="D62" s="316"/>
      <c r="E62" s="316"/>
      <c r="F62" s="317"/>
      <c r="G62" s="318"/>
      <c r="H62" s="318"/>
      <c r="I62" s="319"/>
      <c r="J62" s="317"/>
      <c r="K62" s="318"/>
      <c r="L62" s="318"/>
      <c r="M62" s="319"/>
      <c r="N62" s="317"/>
      <c r="O62" s="318"/>
      <c r="P62" s="318"/>
      <c r="Q62" s="319"/>
      <c r="R62" s="317"/>
      <c r="S62" s="318"/>
      <c r="T62" s="318"/>
      <c r="U62" s="319"/>
      <c r="V62" s="320"/>
      <c r="W62" s="318"/>
      <c r="X62" s="318"/>
      <c r="Y62" s="321"/>
      <c r="Z62" s="317"/>
      <c r="AA62" s="318"/>
      <c r="AB62" s="318"/>
      <c r="AC62" s="319"/>
      <c r="AD62" s="317"/>
      <c r="AE62" s="318"/>
      <c r="AF62" s="318"/>
      <c r="AG62" s="319"/>
      <c r="AH62" s="317"/>
      <c r="AI62" s="318"/>
      <c r="AJ62" s="318"/>
      <c r="AK62" s="319"/>
      <c r="AL62" s="317"/>
      <c r="AM62" s="318"/>
      <c r="AN62" s="318"/>
      <c r="AO62" s="319"/>
      <c r="AP62" s="317"/>
      <c r="AQ62" s="318"/>
      <c r="AR62" s="318"/>
      <c r="AS62" s="319"/>
      <c r="AT62" s="322"/>
      <c r="AU62" s="323"/>
      <c r="AV62" s="323"/>
      <c r="AW62" s="324"/>
      <c r="AX62" s="322"/>
      <c r="AY62" s="323"/>
      <c r="AZ62" s="323"/>
      <c r="BA62" s="324"/>
      <c r="BB62" s="322"/>
      <c r="BC62" s="323"/>
      <c r="BD62" s="323"/>
      <c r="BE62" s="324"/>
    </row>
    <row r="63" spans="1:57" s="303" customFormat="1" ht="26.25" customHeight="1" x14ac:dyDescent="0.3">
      <c r="A63" s="316"/>
      <c r="B63" s="316"/>
      <c r="C63" s="316"/>
      <c r="D63" s="316"/>
      <c r="E63" s="316"/>
      <c r="F63" s="317"/>
      <c r="G63" s="318"/>
      <c r="H63" s="318"/>
      <c r="I63" s="319"/>
      <c r="J63" s="317"/>
      <c r="K63" s="318"/>
      <c r="L63" s="318"/>
      <c r="M63" s="319"/>
      <c r="N63" s="317"/>
      <c r="O63" s="318"/>
      <c r="P63" s="318"/>
      <c r="Q63" s="319"/>
      <c r="R63" s="317"/>
      <c r="S63" s="318"/>
      <c r="T63" s="318"/>
      <c r="U63" s="319"/>
      <c r="V63" s="320"/>
      <c r="W63" s="318"/>
      <c r="X63" s="318"/>
      <c r="Y63" s="321"/>
      <c r="Z63" s="317"/>
      <c r="AA63" s="318"/>
      <c r="AB63" s="318"/>
      <c r="AC63" s="319"/>
      <c r="AD63" s="317"/>
      <c r="AE63" s="318"/>
      <c r="AF63" s="318"/>
      <c r="AG63" s="319"/>
      <c r="AH63" s="317"/>
      <c r="AI63" s="318"/>
      <c r="AJ63" s="318"/>
      <c r="AK63" s="319"/>
      <c r="AL63" s="317"/>
      <c r="AM63" s="318"/>
      <c r="AN63" s="318"/>
      <c r="AO63" s="319"/>
      <c r="AP63" s="317"/>
      <c r="AQ63" s="318"/>
      <c r="AR63" s="318"/>
      <c r="AS63" s="319"/>
      <c r="AT63" s="322"/>
      <c r="AU63" s="323"/>
      <c r="AV63" s="323"/>
      <c r="AW63" s="324"/>
      <c r="AX63" s="322"/>
      <c r="AY63" s="323"/>
      <c r="AZ63" s="323"/>
      <c r="BA63" s="324"/>
      <c r="BB63" s="322"/>
      <c r="BC63" s="323"/>
      <c r="BD63" s="323"/>
      <c r="BE63" s="324"/>
    </row>
    <row r="64" spans="1:57" s="303" customFormat="1" ht="26.25" customHeight="1" x14ac:dyDescent="0.3">
      <c r="A64" s="316"/>
      <c r="B64" s="316"/>
      <c r="C64" s="316"/>
      <c r="D64" s="316"/>
      <c r="E64" s="316"/>
      <c r="F64" s="317"/>
      <c r="G64" s="318"/>
      <c r="H64" s="318"/>
      <c r="I64" s="319"/>
      <c r="J64" s="317"/>
      <c r="K64" s="318"/>
      <c r="L64" s="318"/>
      <c r="M64" s="319"/>
      <c r="N64" s="317"/>
      <c r="O64" s="318"/>
      <c r="P64" s="318"/>
      <c r="Q64" s="319"/>
      <c r="R64" s="317"/>
      <c r="S64" s="318"/>
      <c r="T64" s="318"/>
      <c r="U64" s="319"/>
      <c r="V64" s="320"/>
      <c r="W64" s="318"/>
      <c r="X64" s="318"/>
      <c r="Y64" s="321"/>
      <c r="Z64" s="317"/>
      <c r="AA64" s="318"/>
      <c r="AB64" s="318"/>
      <c r="AC64" s="319"/>
      <c r="AD64" s="317"/>
      <c r="AE64" s="318"/>
      <c r="AF64" s="318"/>
      <c r="AG64" s="319"/>
      <c r="AH64" s="317"/>
      <c r="AI64" s="318"/>
      <c r="AJ64" s="318"/>
      <c r="AK64" s="319"/>
      <c r="AL64" s="317"/>
      <c r="AM64" s="318"/>
      <c r="AN64" s="318"/>
      <c r="AO64" s="319"/>
      <c r="AP64" s="317"/>
      <c r="AQ64" s="318"/>
      <c r="AR64" s="318"/>
      <c r="AS64" s="319"/>
      <c r="AT64" s="322"/>
      <c r="AU64" s="323"/>
      <c r="AV64" s="323"/>
      <c r="AW64" s="324"/>
      <c r="AX64" s="322"/>
      <c r="AY64" s="323"/>
      <c r="AZ64" s="323"/>
      <c r="BA64" s="324"/>
      <c r="BB64" s="322"/>
      <c r="BC64" s="323"/>
      <c r="BD64" s="323"/>
      <c r="BE64" s="324"/>
    </row>
    <row r="65" spans="1:57" s="303" customFormat="1" ht="26.25" customHeight="1" x14ac:dyDescent="0.3">
      <c r="A65" s="316"/>
      <c r="B65" s="316"/>
      <c r="C65" s="316"/>
      <c r="D65" s="316"/>
      <c r="E65" s="316"/>
      <c r="F65" s="317"/>
      <c r="G65" s="318"/>
      <c r="H65" s="318"/>
      <c r="I65" s="319"/>
      <c r="J65" s="317"/>
      <c r="K65" s="318"/>
      <c r="L65" s="318"/>
      <c r="M65" s="319"/>
      <c r="N65" s="317"/>
      <c r="O65" s="318"/>
      <c r="P65" s="318"/>
      <c r="Q65" s="319"/>
      <c r="R65" s="317"/>
      <c r="S65" s="318"/>
      <c r="T65" s="318"/>
      <c r="U65" s="319"/>
      <c r="V65" s="320"/>
      <c r="W65" s="318"/>
      <c r="X65" s="318"/>
      <c r="Y65" s="321"/>
      <c r="Z65" s="317"/>
      <c r="AA65" s="318"/>
      <c r="AB65" s="318"/>
      <c r="AC65" s="319"/>
      <c r="AD65" s="317"/>
      <c r="AE65" s="318"/>
      <c r="AF65" s="318"/>
      <c r="AG65" s="319"/>
      <c r="AH65" s="317"/>
      <c r="AI65" s="318"/>
      <c r="AJ65" s="318"/>
      <c r="AK65" s="319"/>
      <c r="AL65" s="317"/>
      <c r="AM65" s="318"/>
      <c r="AN65" s="318"/>
      <c r="AO65" s="319"/>
      <c r="AP65" s="317"/>
      <c r="AQ65" s="318"/>
      <c r="AR65" s="318"/>
      <c r="AS65" s="319"/>
      <c r="AT65" s="322"/>
      <c r="AU65" s="323"/>
      <c r="AV65" s="323"/>
      <c r="AW65" s="324"/>
      <c r="AX65" s="322"/>
      <c r="AY65" s="323"/>
      <c r="AZ65" s="323"/>
      <c r="BA65" s="324"/>
      <c r="BB65" s="322"/>
      <c r="BC65" s="323"/>
      <c r="BD65" s="323"/>
      <c r="BE65" s="324"/>
    </row>
    <row r="66" spans="1:57" s="303" customFormat="1" ht="26.25" customHeight="1" x14ac:dyDescent="0.3">
      <c r="A66" s="316"/>
      <c r="B66" s="316"/>
      <c r="C66" s="316"/>
      <c r="D66" s="316"/>
      <c r="E66" s="316"/>
      <c r="F66" s="317"/>
      <c r="G66" s="318"/>
      <c r="H66" s="318"/>
      <c r="I66" s="319"/>
      <c r="J66" s="317"/>
      <c r="K66" s="318"/>
      <c r="L66" s="318"/>
      <c r="M66" s="319"/>
      <c r="N66" s="317"/>
      <c r="O66" s="318"/>
      <c r="P66" s="318"/>
      <c r="Q66" s="319"/>
      <c r="R66" s="317"/>
      <c r="S66" s="318"/>
      <c r="T66" s="318"/>
      <c r="U66" s="319"/>
      <c r="V66" s="320"/>
      <c r="W66" s="318"/>
      <c r="X66" s="318"/>
      <c r="Y66" s="321"/>
      <c r="Z66" s="317"/>
      <c r="AA66" s="318"/>
      <c r="AB66" s="318"/>
      <c r="AC66" s="319"/>
      <c r="AD66" s="317"/>
      <c r="AE66" s="318"/>
      <c r="AF66" s="318"/>
      <c r="AG66" s="319"/>
      <c r="AH66" s="317"/>
      <c r="AI66" s="318"/>
      <c r="AJ66" s="318"/>
      <c r="AK66" s="319"/>
      <c r="AL66" s="317"/>
      <c r="AM66" s="318"/>
      <c r="AN66" s="318"/>
      <c r="AO66" s="319"/>
      <c r="AP66" s="317"/>
      <c r="AQ66" s="318"/>
      <c r="AR66" s="318"/>
      <c r="AS66" s="319"/>
      <c r="AT66" s="322"/>
      <c r="AU66" s="323"/>
      <c r="AV66" s="323"/>
      <c r="AW66" s="324"/>
      <c r="AX66" s="322"/>
      <c r="AY66" s="323"/>
      <c r="AZ66" s="323"/>
      <c r="BA66" s="324"/>
      <c r="BB66" s="322"/>
      <c r="BC66" s="323"/>
      <c r="BD66" s="323"/>
      <c r="BE66" s="324"/>
    </row>
    <row r="67" spans="1:57" s="303" customFormat="1" ht="26.25" customHeight="1" x14ac:dyDescent="0.3">
      <c r="A67" s="316"/>
      <c r="B67" s="316"/>
      <c r="C67" s="325"/>
      <c r="D67" s="316"/>
      <c r="E67" s="316"/>
      <c r="F67" s="317"/>
      <c r="G67" s="318"/>
      <c r="H67" s="318"/>
      <c r="I67" s="319"/>
      <c r="J67" s="317"/>
      <c r="K67" s="318"/>
      <c r="L67" s="318"/>
      <c r="M67" s="319"/>
      <c r="N67" s="317"/>
      <c r="O67" s="318"/>
      <c r="P67" s="318"/>
      <c r="Q67" s="319"/>
      <c r="R67" s="317"/>
      <c r="S67" s="318"/>
      <c r="T67" s="318"/>
      <c r="U67" s="319"/>
      <c r="V67" s="320"/>
      <c r="W67" s="318"/>
      <c r="X67" s="318"/>
      <c r="Y67" s="321"/>
      <c r="Z67" s="317"/>
      <c r="AA67" s="318"/>
      <c r="AB67" s="318"/>
      <c r="AC67" s="319"/>
      <c r="AD67" s="317"/>
      <c r="AE67" s="318"/>
      <c r="AF67" s="318"/>
      <c r="AG67" s="319"/>
      <c r="AH67" s="317"/>
      <c r="AI67" s="318"/>
      <c r="AJ67" s="318"/>
      <c r="AK67" s="319"/>
      <c r="AL67" s="317"/>
      <c r="AM67" s="318"/>
      <c r="AN67" s="318"/>
      <c r="AO67" s="319"/>
      <c r="AP67" s="317"/>
      <c r="AQ67" s="318"/>
      <c r="AR67" s="318"/>
      <c r="AS67" s="319"/>
      <c r="AT67" s="322"/>
      <c r="AU67" s="323"/>
      <c r="AV67" s="323"/>
      <c r="AW67" s="324"/>
      <c r="AX67" s="322"/>
      <c r="AY67" s="323"/>
      <c r="AZ67" s="323"/>
      <c r="BA67" s="324"/>
      <c r="BB67" s="322"/>
      <c r="BC67" s="323"/>
      <c r="BD67" s="323"/>
      <c r="BE67" s="324"/>
    </row>
    <row r="68" spans="1:57" s="303" customFormat="1" ht="26.25" customHeight="1" x14ac:dyDescent="0.3">
      <c r="A68" s="316"/>
      <c r="B68" s="316"/>
      <c r="C68" s="316"/>
      <c r="D68" s="316"/>
      <c r="E68" s="316"/>
      <c r="F68" s="317"/>
      <c r="G68" s="318"/>
      <c r="H68" s="318"/>
      <c r="I68" s="319"/>
      <c r="J68" s="317"/>
      <c r="K68" s="318"/>
      <c r="L68" s="318"/>
      <c r="M68" s="319"/>
      <c r="N68" s="317"/>
      <c r="O68" s="318"/>
      <c r="P68" s="318"/>
      <c r="Q68" s="319"/>
      <c r="R68" s="317"/>
      <c r="S68" s="318"/>
      <c r="T68" s="318"/>
      <c r="U68" s="319"/>
      <c r="V68" s="320"/>
      <c r="W68" s="318"/>
      <c r="X68" s="318"/>
      <c r="Y68" s="321"/>
      <c r="Z68" s="317"/>
      <c r="AA68" s="318"/>
      <c r="AB68" s="318"/>
      <c r="AC68" s="319"/>
      <c r="AD68" s="317"/>
      <c r="AE68" s="318"/>
      <c r="AF68" s="318"/>
      <c r="AG68" s="319"/>
      <c r="AH68" s="317"/>
      <c r="AI68" s="318"/>
      <c r="AJ68" s="318"/>
      <c r="AK68" s="319"/>
      <c r="AL68" s="317"/>
      <c r="AM68" s="318"/>
      <c r="AN68" s="318"/>
      <c r="AO68" s="319"/>
      <c r="AP68" s="317"/>
      <c r="AQ68" s="318"/>
      <c r="AR68" s="318"/>
      <c r="AS68" s="319"/>
      <c r="AT68" s="322"/>
      <c r="AU68" s="323"/>
      <c r="AV68" s="323"/>
      <c r="AW68" s="324"/>
      <c r="AX68" s="322"/>
      <c r="AY68" s="323"/>
      <c r="AZ68" s="323"/>
      <c r="BA68" s="324"/>
      <c r="BB68" s="322"/>
      <c r="BC68" s="323"/>
      <c r="BD68" s="323"/>
      <c r="BE68" s="324"/>
    </row>
    <row r="69" spans="1:57" s="303" customFormat="1" ht="26.25" customHeight="1" x14ac:dyDescent="0.3">
      <c r="A69" s="316"/>
      <c r="B69" s="316"/>
      <c r="C69" s="316"/>
      <c r="D69" s="316"/>
      <c r="E69" s="316"/>
      <c r="F69" s="317"/>
      <c r="G69" s="318"/>
      <c r="H69" s="318"/>
      <c r="I69" s="319"/>
      <c r="J69" s="317"/>
      <c r="K69" s="318"/>
      <c r="L69" s="318"/>
      <c r="M69" s="319"/>
      <c r="N69" s="317"/>
      <c r="O69" s="318"/>
      <c r="P69" s="318"/>
      <c r="Q69" s="319"/>
      <c r="R69" s="317"/>
      <c r="S69" s="318"/>
      <c r="T69" s="318"/>
      <c r="U69" s="319"/>
      <c r="V69" s="320"/>
      <c r="W69" s="318"/>
      <c r="X69" s="318"/>
      <c r="Y69" s="321"/>
      <c r="Z69" s="317"/>
      <c r="AA69" s="318"/>
      <c r="AB69" s="318"/>
      <c r="AC69" s="319"/>
      <c r="AD69" s="317"/>
      <c r="AE69" s="318"/>
      <c r="AF69" s="318"/>
      <c r="AG69" s="319"/>
      <c r="AH69" s="317"/>
      <c r="AI69" s="318"/>
      <c r="AJ69" s="318"/>
      <c r="AK69" s="319"/>
      <c r="AL69" s="317"/>
      <c r="AM69" s="318"/>
      <c r="AN69" s="318"/>
      <c r="AO69" s="319"/>
      <c r="AP69" s="317"/>
      <c r="AQ69" s="318"/>
      <c r="AR69" s="318"/>
      <c r="AS69" s="319"/>
      <c r="AT69" s="322"/>
      <c r="AU69" s="323"/>
      <c r="AV69" s="323"/>
      <c r="AW69" s="324"/>
      <c r="AX69" s="322"/>
      <c r="AY69" s="323"/>
      <c r="AZ69" s="323"/>
      <c r="BA69" s="324"/>
      <c r="BB69" s="322"/>
      <c r="BC69" s="323"/>
      <c r="BD69" s="323"/>
      <c r="BE69" s="324"/>
    </row>
    <row r="70" spans="1:57" s="303" customFormat="1" ht="26.25" customHeight="1" x14ac:dyDescent="0.3">
      <c r="A70" s="316"/>
      <c r="B70" s="316"/>
      <c r="C70" s="316"/>
      <c r="D70" s="316"/>
      <c r="E70" s="316"/>
      <c r="F70" s="317"/>
      <c r="G70" s="318"/>
      <c r="H70" s="318"/>
      <c r="I70" s="319"/>
      <c r="J70" s="317"/>
      <c r="K70" s="318"/>
      <c r="L70" s="318"/>
      <c r="M70" s="319"/>
      <c r="N70" s="317"/>
      <c r="O70" s="318"/>
      <c r="P70" s="318"/>
      <c r="Q70" s="319"/>
      <c r="R70" s="317"/>
      <c r="S70" s="318"/>
      <c r="T70" s="318"/>
      <c r="U70" s="319"/>
      <c r="V70" s="320"/>
      <c r="W70" s="318"/>
      <c r="X70" s="318"/>
      <c r="Y70" s="321"/>
      <c r="Z70" s="317"/>
      <c r="AA70" s="318"/>
      <c r="AB70" s="318"/>
      <c r="AC70" s="319"/>
      <c r="AD70" s="317"/>
      <c r="AE70" s="318"/>
      <c r="AF70" s="318"/>
      <c r="AG70" s="319"/>
      <c r="AH70" s="317"/>
      <c r="AI70" s="318"/>
      <c r="AJ70" s="318"/>
      <c r="AK70" s="319"/>
      <c r="AL70" s="317"/>
      <c r="AM70" s="318"/>
      <c r="AN70" s="318"/>
      <c r="AO70" s="319"/>
      <c r="AP70" s="317"/>
      <c r="AQ70" s="318"/>
      <c r="AR70" s="318"/>
      <c r="AS70" s="319"/>
      <c r="AT70" s="322"/>
      <c r="AU70" s="323"/>
      <c r="AV70" s="323"/>
      <c r="AW70" s="324"/>
      <c r="AX70" s="322"/>
      <c r="AY70" s="323"/>
      <c r="AZ70" s="323"/>
      <c r="BA70" s="324"/>
      <c r="BB70" s="322"/>
      <c r="BC70" s="323"/>
      <c r="BD70" s="323"/>
      <c r="BE70" s="324"/>
    </row>
    <row r="71" spans="1:57" s="303" customFormat="1" ht="26.25" customHeight="1" x14ac:dyDescent="0.3">
      <c r="A71" s="316"/>
      <c r="B71" s="316"/>
      <c r="C71" s="316"/>
      <c r="D71" s="316"/>
      <c r="E71" s="316"/>
      <c r="F71" s="317"/>
      <c r="G71" s="318"/>
      <c r="H71" s="318"/>
      <c r="I71" s="319"/>
      <c r="J71" s="317"/>
      <c r="K71" s="318"/>
      <c r="L71" s="318"/>
      <c r="M71" s="319"/>
      <c r="N71" s="317"/>
      <c r="O71" s="318"/>
      <c r="P71" s="318"/>
      <c r="Q71" s="319"/>
      <c r="R71" s="317"/>
      <c r="S71" s="318"/>
      <c r="T71" s="318"/>
      <c r="U71" s="319"/>
      <c r="V71" s="320"/>
      <c r="W71" s="318"/>
      <c r="X71" s="318"/>
      <c r="Y71" s="321"/>
      <c r="Z71" s="317"/>
      <c r="AA71" s="318"/>
      <c r="AB71" s="318"/>
      <c r="AC71" s="319"/>
      <c r="AD71" s="317"/>
      <c r="AE71" s="318"/>
      <c r="AF71" s="318"/>
      <c r="AG71" s="319"/>
      <c r="AH71" s="317"/>
      <c r="AI71" s="318"/>
      <c r="AJ71" s="318"/>
      <c r="AK71" s="319"/>
      <c r="AL71" s="317"/>
      <c r="AM71" s="318"/>
      <c r="AN71" s="318"/>
      <c r="AO71" s="319"/>
      <c r="AP71" s="317"/>
      <c r="AQ71" s="318"/>
      <c r="AR71" s="318"/>
      <c r="AS71" s="319"/>
      <c r="AT71" s="322"/>
      <c r="AU71" s="323"/>
      <c r="AV71" s="323"/>
      <c r="AW71" s="324"/>
      <c r="AX71" s="322"/>
      <c r="AY71" s="323"/>
      <c r="AZ71" s="323"/>
      <c r="BA71" s="324"/>
      <c r="BB71" s="322"/>
      <c r="BC71" s="323"/>
      <c r="BD71" s="323"/>
      <c r="BE71" s="324"/>
    </row>
    <row r="72" spans="1:57" s="303" customFormat="1" ht="26.25" customHeight="1" x14ac:dyDescent="0.3">
      <c r="A72" s="316"/>
      <c r="B72" s="316"/>
      <c r="C72" s="316"/>
      <c r="D72" s="316"/>
      <c r="E72" s="316"/>
      <c r="F72" s="317"/>
      <c r="G72" s="318"/>
      <c r="H72" s="318"/>
      <c r="I72" s="319"/>
      <c r="J72" s="317"/>
      <c r="K72" s="318"/>
      <c r="L72" s="318"/>
      <c r="M72" s="319"/>
      <c r="N72" s="317"/>
      <c r="O72" s="318"/>
      <c r="P72" s="318"/>
      <c r="Q72" s="319"/>
      <c r="R72" s="317"/>
      <c r="S72" s="318"/>
      <c r="T72" s="318"/>
      <c r="U72" s="319"/>
      <c r="V72" s="320"/>
      <c r="W72" s="318"/>
      <c r="X72" s="318"/>
      <c r="Y72" s="321"/>
      <c r="Z72" s="317"/>
      <c r="AA72" s="318"/>
      <c r="AB72" s="318"/>
      <c r="AC72" s="319"/>
      <c r="AD72" s="317"/>
      <c r="AE72" s="318"/>
      <c r="AF72" s="318"/>
      <c r="AG72" s="319"/>
      <c r="AH72" s="317"/>
      <c r="AI72" s="318"/>
      <c r="AJ72" s="318"/>
      <c r="AK72" s="319"/>
      <c r="AL72" s="317"/>
      <c r="AM72" s="318"/>
      <c r="AN72" s="318"/>
      <c r="AO72" s="319"/>
      <c r="AP72" s="317"/>
      <c r="AQ72" s="318"/>
      <c r="AR72" s="318"/>
      <c r="AS72" s="319"/>
      <c r="AT72" s="322"/>
      <c r="AU72" s="323"/>
      <c r="AV72" s="323"/>
      <c r="AW72" s="324"/>
      <c r="AX72" s="322"/>
      <c r="AY72" s="323"/>
      <c r="AZ72" s="323"/>
      <c r="BA72" s="324"/>
      <c r="BB72" s="322"/>
      <c r="BC72" s="323"/>
      <c r="BD72" s="323"/>
      <c r="BE72" s="324"/>
    </row>
    <row r="73" spans="1:57" s="303" customFormat="1" ht="26.25" customHeight="1" x14ac:dyDescent="0.3">
      <c r="A73" s="316"/>
      <c r="B73" s="316"/>
      <c r="C73" s="316"/>
      <c r="D73" s="316"/>
      <c r="E73" s="316"/>
      <c r="F73" s="317"/>
      <c r="G73" s="318"/>
      <c r="H73" s="318"/>
      <c r="I73" s="319"/>
      <c r="J73" s="317"/>
      <c r="K73" s="318"/>
      <c r="L73" s="318"/>
      <c r="M73" s="319"/>
      <c r="N73" s="317"/>
      <c r="O73" s="318"/>
      <c r="P73" s="318"/>
      <c r="Q73" s="319"/>
      <c r="R73" s="317"/>
      <c r="S73" s="318"/>
      <c r="T73" s="318"/>
      <c r="U73" s="319"/>
      <c r="V73" s="320"/>
      <c r="W73" s="318"/>
      <c r="X73" s="318"/>
      <c r="Y73" s="321"/>
      <c r="Z73" s="317"/>
      <c r="AA73" s="318"/>
      <c r="AB73" s="318"/>
      <c r="AC73" s="319"/>
      <c r="AD73" s="317"/>
      <c r="AE73" s="318"/>
      <c r="AF73" s="318"/>
      <c r="AG73" s="319"/>
      <c r="AH73" s="317"/>
      <c r="AI73" s="318"/>
      <c r="AJ73" s="318"/>
      <c r="AK73" s="319"/>
      <c r="AL73" s="317"/>
      <c r="AM73" s="318"/>
      <c r="AN73" s="318"/>
      <c r="AO73" s="319"/>
      <c r="AP73" s="317"/>
      <c r="AQ73" s="318"/>
      <c r="AR73" s="318"/>
      <c r="AS73" s="319"/>
      <c r="AT73" s="322"/>
      <c r="AU73" s="323"/>
      <c r="AV73" s="323"/>
      <c r="AW73" s="324"/>
      <c r="AX73" s="322"/>
      <c r="AY73" s="323"/>
      <c r="AZ73" s="323"/>
      <c r="BA73" s="324"/>
      <c r="BB73" s="322"/>
      <c r="BC73" s="323"/>
      <c r="BD73" s="323"/>
      <c r="BE73" s="324"/>
    </row>
    <row r="74" spans="1:57" s="303" customFormat="1" ht="26.25" customHeight="1" x14ac:dyDescent="0.3">
      <c r="A74" s="316"/>
      <c r="B74" s="316"/>
      <c r="C74" s="316"/>
      <c r="D74" s="316"/>
      <c r="E74" s="316"/>
      <c r="F74" s="317"/>
      <c r="G74" s="318"/>
      <c r="H74" s="318"/>
      <c r="I74" s="319"/>
      <c r="J74" s="317"/>
      <c r="K74" s="318"/>
      <c r="L74" s="318"/>
      <c r="M74" s="319"/>
      <c r="N74" s="317"/>
      <c r="O74" s="318"/>
      <c r="P74" s="318"/>
      <c r="Q74" s="319"/>
      <c r="R74" s="317"/>
      <c r="S74" s="318"/>
      <c r="T74" s="318"/>
      <c r="U74" s="319"/>
      <c r="V74" s="320"/>
      <c r="W74" s="318"/>
      <c r="X74" s="318"/>
      <c r="Y74" s="321"/>
      <c r="Z74" s="317"/>
      <c r="AA74" s="318"/>
      <c r="AB74" s="318"/>
      <c r="AC74" s="319"/>
      <c r="AD74" s="317"/>
      <c r="AE74" s="318"/>
      <c r="AF74" s="318"/>
      <c r="AG74" s="319"/>
      <c r="AH74" s="317"/>
      <c r="AI74" s="318"/>
      <c r="AJ74" s="318"/>
      <c r="AK74" s="319"/>
      <c r="AL74" s="317"/>
      <c r="AM74" s="318"/>
      <c r="AN74" s="318"/>
      <c r="AO74" s="319"/>
      <c r="AP74" s="317"/>
      <c r="AQ74" s="318"/>
      <c r="AR74" s="318"/>
      <c r="AS74" s="319"/>
      <c r="AT74" s="322"/>
      <c r="AU74" s="323"/>
      <c r="AV74" s="323"/>
      <c r="AW74" s="324"/>
      <c r="AX74" s="322"/>
      <c r="AY74" s="323"/>
      <c r="AZ74" s="323"/>
      <c r="BA74" s="324"/>
      <c r="BB74" s="322"/>
      <c r="BC74" s="323"/>
      <c r="BD74" s="323"/>
      <c r="BE74" s="324"/>
    </row>
    <row r="75" spans="1:57" s="303" customFormat="1" ht="26.25" customHeight="1" x14ac:dyDescent="0.3">
      <c r="A75" s="316"/>
      <c r="B75" s="316"/>
      <c r="C75" s="316"/>
      <c r="D75" s="316"/>
      <c r="E75" s="316"/>
      <c r="F75" s="317"/>
      <c r="G75" s="318"/>
      <c r="H75" s="318"/>
      <c r="I75" s="319"/>
      <c r="J75" s="317"/>
      <c r="K75" s="318"/>
      <c r="L75" s="318"/>
      <c r="M75" s="319"/>
      <c r="N75" s="317"/>
      <c r="O75" s="318"/>
      <c r="P75" s="318"/>
      <c r="Q75" s="319"/>
      <c r="R75" s="317"/>
      <c r="S75" s="318"/>
      <c r="T75" s="318"/>
      <c r="U75" s="319"/>
      <c r="V75" s="320"/>
      <c r="W75" s="318"/>
      <c r="X75" s="318"/>
      <c r="Y75" s="321"/>
      <c r="Z75" s="317"/>
      <c r="AA75" s="318"/>
      <c r="AB75" s="318"/>
      <c r="AC75" s="319"/>
      <c r="AD75" s="317"/>
      <c r="AE75" s="318"/>
      <c r="AF75" s="318"/>
      <c r="AG75" s="319"/>
      <c r="AH75" s="317"/>
      <c r="AI75" s="318"/>
      <c r="AJ75" s="318"/>
      <c r="AK75" s="319"/>
      <c r="AL75" s="317"/>
      <c r="AM75" s="318"/>
      <c r="AN75" s="318"/>
      <c r="AO75" s="319"/>
      <c r="AP75" s="317"/>
      <c r="AQ75" s="318"/>
      <c r="AR75" s="318"/>
      <c r="AS75" s="319"/>
      <c r="AT75" s="322"/>
      <c r="AU75" s="323"/>
      <c r="AV75" s="323"/>
      <c r="AW75" s="324"/>
      <c r="AX75" s="322"/>
      <c r="AY75" s="323"/>
      <c r="AZ75" s="323"/>
      <c r="BA75" s="324"/>
      <c r="BB75" s="322"/>
      <c r="BC75" s="323"/>
      <c r="BD75" s="323"/>
      <c r="BE75" s="324"/>
    </row>
    <row r="76" spans="1:57" s="303" customFormat="1" ht="26.25" customHeight="1" x14ac:dyDescent="0.3">
      <c r="A76" s="316"/>
      <c r="B76" s="316"/>
      <c r="C76" s="316"/>
      <c r="D76" s="316"/>
      <c r="E76" s="316"/>
      <c r="F76" s="317"/>
      <c r="G76" s="318"/>
      <c r="H76" s="318"/>
      <c r="I76" s="319"/>
      <c r="J76" s="317"/>
      <c r="K76" s="318"/>
      <c r="L76" s="318"/>
      <c r="M76" s="319"/>
      <c r="N76" s="317"/>
      <c r="O76" s="318"/>
      <c r="P76" s="318"/>
      <c r="Q76" s="319"/>
      <c r="R76" s="317"/>
      <c r="S76" s="318"/>
      <c r="T76" s="318"/>
      <c r="U76" s="319"/>
      <c r="V76" s="320"/>
      <c r="W76" s="318"/>
      <c r="X76" s="318"/>
      <c r="Y76" s="321"/>
      <c r="Z76" s="317"/>
      <c r="AA76" s="318"/>
      <c r="AB76" s="318"/>
      <c r="AC76" s="319"/>
      <c r="AD76" s="317"/>
      <c r="AE76" s="318"/>
      <c r="AF76" s="318"/>
      <c r="AG76" s="319"/>
      <c r="AH76" s="317"/>
      <c r="AI76" s="318"/>
      <c r="AJ76" s="318"/>
      <c r="AK76" s="319"/>
      <c r="AL76" s="317"/>
      <c r="AM76" s="318"/>
      <c r="AN76" s="318"/>
      <c r="AO76" s="319"/>
      <c r="AP76" s="317"/>
      <c r="AQ76" s="318"/>
      <c r="AR76" s="318"/>
      <c r="AS76" s="319"/>
      <c r="AT76" s="322"/>
      <c r="AU76" s="323"/>
      <c r="AV76" s="323"/>
      <c r="AW76" s="324"/>
      <c r="AX76" s="322"/>
      <c r="AY76" s="323"/>
      <c r="AZ76" s="323"/>
      <c r="BA76" s="324"/>
      <c r="BB76" s="322"/>
      <c r="BC76" s="323"/>
      <c r="BD76" s="323"/>
      <c r="BE76" s="324"/>
    </row>
    <row r="77" spans="1:57" s="303" customFormat="1" ht="26.25" customHeight="1" x14ac:dyDescent="0.3">
      <c r="A77" s="316"/>
      <c r="B77" s="316"/>
      <c r="C77" s="316"/>
      <c r="D77" s="316"/>
      <c r="E77" s="316"/>
      <c r="F77" s="317"/>
      <c r="G77" s="318"/>
      <c r="H77" s="318"/>
      <c r="I77" s="319"/>
      <c r="J77" s="317"/>
      <c r="K77" s="318"/>
      <c r="L77" s="318"/>
      <c r="M77" s="319"/>
      <c r="N77" s="317"/>
      <c r="O77" s="318"/>
      <c r="P77" s="318"/>
      <c r="Q77" s="319"/>
      <c r="R77" s="317"/>
      <c r="S77" s="318"/>
      <c r="T77" s="318"/>
      <c r="U77" s="319"/>
      <c r="V77" s="320"/>
      <c r="W77" s="318"/>
      <c r="X77" s="318"/>
      <c r="Y77" s="321"/>
      <c r="Z77" s="317"/>
      <c r="AA77" s="318"/>
      <c r="AB77" s="318"/>
      <c r="AC77" s="319"/>
      <c r="AD77" s="317"/>
      <c r="AE77" s="318"/>
      <c r="AF77" s="318"/>
      <c r="AG77" s="319"/>
      <c r="AH77" s="317"/>
      <c r="AI77" s="318"/>
      <c r="AJ77" s="318"/>
      <c r="AK77" s="319"/>
      <c r="AL77" s="317"/>
      <c r="AM77" s="318"/>
      <c r="AN77" s="318"/>
      <c r="AO77" s="319"/>
      <c r="AP77" s="317"/>
      <c r="AQ77" s="318"/>
      <c r="AR77" s="318"/>
      <c r="AS77" s="319"/>
      <c r="AT77" s="322"/>
      <c r="AU77" s="323"/>
      <c r="AV77" s="323"/>
      <c r="AW77" s="324"/>
      <c r="AX77" s="322"/>
      <c r="AY77" s="323"/>
      <c r="AZ77" s="323"/>
      <c r="BA77" s="324"/>
      <c r="BB77" s="322"/>
      <c r="BC77" s="323"/>
      <c r="BD77" s="323"/>
      <c r="BE77" s="324"/>
    </row>
    <row r="78" spans="1:57" s="303" customFormat="1" ht="26.25" customHeight="1" x14ac:dyDescent="0.3">
      <c r="A78" s="316"/>
      <c r="B78" s="316"/>
      <c r="C78" s="316"/>
      <c r="D78" s="316"/>
      <c r="E78" s="316"/>
      <c r="F78" s="317"/>
      <c r="G78" s="318"/>
      <c r="H78" s="318"/>
      <c r="I78" s="319"/>
      <c r="J78" s="317"/>
      <c r="K78" s="318"/>
      <c r="L78" s="318"/>
      <c r="M78" s="319"/>
      <c r="N78" s="317"/>
      <c r="O78" s="318"/>
      <c r="P78" s="318"/>
      <c r="Q78" s="319"/>
      <c r="R78" s="317"/>
      <c r="S78" s="318"/>
      <c r="T78" s="318"/>
      <c r="U78" s="319"/>
      <c r="V78" s="320"/>
      <c r="W78" s="318"/>
      <c r="X78" s="318"/>
      <c r="Y78" s="321"/>
      <c r="Z78" s="317"/>
      <c r="AA78" s="318"/>
      <c r="AB78" s="318"/>
      <c r="AC78" s="319"/>
      <c r="AD78" s="317"/>
      <c r="AE78" s="318"/>
      <c r="AF78" s="318"/>
      <c r="AG78" s="319"/>
      <c r="AH78" s="317"/>
      <c r="AI78" s="318"/>
      <c r="AJ78" s="318"/>
      <c r="AK78" s="319"/>
      <c r="AL78" s="317"/>
      <c r="AM78" s="318"/>
      <c r="AN78" s="318"/>
      <c r="AO78" s="319"/>
      <c r="AP78" s="317"/>
      <c r="AQ78" s="318"/>
      <c r="AR78" s="318"/>
      <c r="AS78" s="319"/>
      <c r="AT78" s="322"/>
      <c r="AU78" s="323"/>
      <c r="AV78" s="323"/>
      <c r="AW78" s="324"/>
      <c r="AX78" s="322"/>
      <c r="AY78" s="323"/>
      <c r="AZ78" s="323"/>
      <c r="BA78" s="324"/>
      <c r="BB78" s="322"/>
      <c r="BC78" s="323"/>
      <c r="BD78" s="323"/>
      <c r="BE78" s="324"/>
    </row>
    <row r="79" spans="1:57" s="303" customFormat="1" ht="26.25" customHeight="1" x14ac:dyDescent="0.3">
      <c r="A79" s="316"/>
      <c r="B79" s="316"/>
      <c r="C79" s="316"/>
      <c r="D79" s="316"/>
      <c r="E79" s="316"/>
      <c r="F79" s="317"/>
      <c r="G79" s="318"/>
      <c r="H79" s="318"/>
      <c r="I79" s="319"/>
      <c r="J79" s="317"/>
      <c r="K79" s="318"/>
      <c r="L79" s="318"/>
      <c r="M79" s="319"/>
      <c r="N79" s="317"/>
      <c r="O79" s="318"/>
      <c r="P79" s="318"/>
      <c r="Q79" s="319"/>
      <c r="R79" s="317"/>
      <c r="S79" s="318"/>
      <c r="T79" s="318"/>
      <c r="U79" s="319"/>
      <c r="V79" s="320"/>
      <c r="W79" s="318"/>
      <c r="X79" s="318"/>
      <c r="Y79" s="321"/>
      <c r="Z79" s="317"/>
      <c r="AA79" s="318"/>
      <c r="AB79" s="318"/>
      <c r="AC79" s="319"/>
      <c r="AD79" s="317"/>
      <c r="AE79" s="318"/>
      <c r="AF79" s="318"/>
      <c r="AG79" s="319"/>
      <c r="AH79" s="317"/>
      <c r="AI79" s="318"/>
      <c r="AJ79" s="318"/>
      <c r="AK79" s="319"/>
      <c r="AL79" s="317"/>
      <c r="AM79" s="318"/>
      <c r="AN79" s="318"/>
      <c r="AO79" s="319"/>
      <c r="AP79" s="317"/>
      <c r="AQ79" s="318"/>
      <c r="AR79" s="318"/>
      <c r="AS79" s="319"/>
      <c r="AT79" s="322"/>
      <c r="AU79" s="323"/>
      <c r="AV79" s="323"/>
      <c r="AW79" s="324"/>
      <c r="AX79" s="322"/>
      <c r="AY79" s="323"/>
      <c r="AZ79" s="323"/>
      <c r="BA79" s="324"/>
      <c r="BB79" s="322"/>
      <c r="BC79" s="323"/>
      <c r="BD79" s="323"/>
      <c r="BE79" s="324"/>
    </row>
    <row r="80" spans="1:57" s="303" customFormat="1" ht="26.25" customHeight="1" x14ac:dyDescent="0.3">
      <c r="A80" s="316"/>
      <c r="B80" s="316"/>
      <c r="C80" s="316"/>
      <c r="D80" s="316"/>
      <c r="E80" s="316"/>
      <c r="F80" s="317"/>
      <c r="G80" s="318"/>
      <c r="H80" s="318"/>
      <c r="I80" s="319"/>
      <c r="J80" s="317"/>
      <c r="K80" s="318"/>
      <c r="L80" s="318"/>
      <c r="M80" s="319"/>
      <c r="N80" s="317"/>
      <c r="O80" s="318"/>
      <c r="P80" s="318"/>
      <c r="Q80" s="319"/>
      <c r="R80" s="317"/>
      <c r="S80" s="318"/>
      <c r="T80" s="318"/>
      <c r="U80" s="319"/>
      <c r="V80" s="320"/>
      <c r="W80" s="318"/>
      <c r="X80" s="318"/>
      <c r="Y80" s="321"/>
      <c r="Z80" s="317"/>
      <c r="AA80" s="318"/>
      <c r="AB80" s="318"/>
      <c r="AC80" s="319"/>
      <c r="AD80" s="317"/>
      <c r="AE80" s="318"/>
      <c r="AF80" s="318"/>
      <c r="AG80" s="319"/>
      <c r="AH80" s="317"/>
      <c r="AI80" s="318"/>
      <c r="AJ80" s="318"/>
      <c r="AK80" s="319"/>
      <c r="AL80" s="317"/>
      <c r="AM80" s="318"/>
      <c r="AN80" s="318"/>
      <c r="AO80" s="319"/>
      <c r="AP80" s="317"/>
      <c r="AQ80" s="318"/>
      <c r="AR80" s="318"/>
      <c r="AS80" s="319"/>
      <c r="AT80" s="322"/>
      <c r="AU80" s="323"/>
      <c r="AV80" s="323"/>
      <c r="AW80" s="324"/>
      <c r="AX80" s="322"/>
      <c r="AY80" s="323"/>
      <c r="AZ80" s="323"/>
      <c r="BA80" s="324"/>
      <c r="BB80" s="322"/>
      <c r="BC80" s="323"/>
      <c r="BD80" s="323"/>
      <c r="BE80" s="324"/>
    </row>
    <row r="81" spans="1:57" s="303" customFormat="1" ht="26.25" customHeight="1" x14ac:dyDescent="0.3">
      <c r="A81" s="316"/>
      <c r="B81" s="316"/>
      <c r="C81" s="316"/>
      <c r="D81" s="316"/>
      <c r="E81" s="316"/>
      <c r="F81" s="317"/>
      <c r="G81" s="318"/>
      <c r="H81" s="318"/>
      <c r="I81" s="319"/>
      <c r="J81" s="317"/>
      <c r="K81" s="318"/>
      <c r="L81" s="318"/>
      <c r="M81" s="319"/>
      <c r="N81" s="317"/>
      <c r="O81" s="318"/>
      <c r="P81" s="318"/>
      <c r="Q81" s="319"/>
      <c r="R81" s="317"/>
      <c r="S81" s="318"/>
      <c r="T81" s="318"/>
      <c r="U81" s="319"/>
      <c r="V81" s="320"/>
      <c r="W81" s="318"/>
      <c r="X81" s="318"/>
      <c r="Y81" s="321"/>
      <c r="Z81" s="317"/>
      <c r="AA81" s="318"/>
      <c r="AB81" s="318"/>
      <c r="AC81" s="319"/>
      <c r="AD81" s="317"/>
      <c r="AE81" s="318"/>
      <c r="AF81" s="318"/>
      <c r="AG81" s="319"/>
      <c r="AH81" s="317"/>
      <c r="AI81" s="318"/>
      <c r="AJ81" s="318"/>
      <c r="AK81" s="319"/>
      <c r="AL81" s="317"/>
      <c r="AM81" s="318"/>
      <c r="AN81" s="318"/>
      <c r="AO81" s="319"/>
      <c r="AP81" s="317"/>
      <c r="AQ81" s="318"/>
      <c r="AR81" s="318"/>
      <c r="AS81" s="319"/>
      <c r="AT81" s="322"/>
      <c r="AU81" s="323"/>
      <c r="AV81" s="323"/>
      <c r="AW81" s="324"/>
      <c r="AX81" s="322"/>
      <c r="AY81" s="323"/>
      <c r="AZ81" s="323"/>
      <c r="BA81" s="324"/>
      <c r="BB81" s="322"/>
      <c r="BC81" s="323"/>
      <c r="BD81" s="323"/>
      <c r="BE81" s="324"/>
    </row>
    <row r="82" spans="1:57" s="303" customFormat="1" ht="26.25" customHeight="1" x14ac:dyDescent="0.3">
      <c r="A82" s="316"/>
      <c r="B82" s="316"/>
      <c r="C82" s="316"/>
      <c r="D82" s="316"/>
      <c r="E82" s="316"/>
      <c r="F82" s="317"/>
      <c r="G82" s="318"/>
      <c r="H82" s="318"/>
      <c r="I82" s="319"/>
      <c r="J82" s="317"/>
      <c r="K82" s="318"/>
      <c r="L82" s="318"/>
      <c r="M82" s="319"/>
      <c r="N82" s="317"/>
      <c r="O82" s="318"/>
      <c r="P82" s="318"/>
      <c r="Q82" s="319"/>
      <c r="R82" s="317"/>
      <c r="S82" s="318"/>
      <c r="T82" s="318"/>
      <c r="U82" s="319"/>
      <c r="V82" s="320"/>
      <c r="W82" s="318"/>
      <c r="X82" s="318"/>
      <c r="Y82" s="321"/>
      <c r="Z82" s="317"/>
      <c r="AA82" s="318"/>
      <c r="AB82" s="318"/>
      <c r="AC82" s="319"/>
      <c r="AD82" s="317"/>
      <c r="AE82" s="318"/>
      <c r="AF82" s="318"/>
      <c r="AG82" s="319"/>
      <c r="AH82" s="317"/>
      <c r="AI82" s="318"/>
      <c r="AJ82" s="318"/>
      <c r="AK82" s="319"/>
      <c r="AL82" s="317"/>
      <c r="AM82" s="318"/>
      <c r="AN82" s="318"/>
      <c r="AO82" s="319"/>
      <c r="AP82" s="317"/>
      <c r="AQ82" s="318"/>
      <c r="AR82" s="318"/>
      <c r="AS82" s="319"/>
      <c r="AT82" s="322"/>
      <c r="AU82" s="323"/>
      <c r="AV82" s="323"/>
      <c r="AW82" s="324"/>
      <c r="AX82" s="322"/>
      <c r="AY82" s="323"/>
      <c r="AZ82" s="323"/>
      <c r="BA82" s="324"/>
      <c r="BB82" s="322"/>
      <c r="BC82" s="323"/>
      <c r="BD82" s="323"/>
      <c r="BE82" s="324"/>
    </row>
    <row r="83" spans="1:57" s="303" customFormat="1" ht="26.25" customHeight="1" x14ac:dyDescent="0.3">
      <c r="A83" s="316"/>
      <c r="B83" s="316"/>
      <c r="C83" s="316"/>
      <c r="D83" s="316"/>
      <c r="E83" s="316"/>
      <c r="F83" s="317"/>
      <c r="G83" s="318"/>
      <c r="H83" s="318"/>
      <c r="I83" s="319"/>
      <c r="J83" s="317"/>
      <c r="K83" s="318"/>
      <c r="L83" s="318"/>
      <c r="M83" s="319"/>
      <c r="N83" s="317"/>
      <c r="O83" s="318"/>
      <c r="P83" s="318"/>
      <c r="Q83" s="319"/>
      <c r="R83" s="317"/>
      <c r="S83" s="318"/>
      <c r="T83" s="318"/>
      <c r="U83" s="319"/>
      <c r="V83" s="320"/>
      <c r="W83" s="318"/>
      <c r="X83" s="318"/>
      <c r="Y83" s="321"/>
      <c r="Z83" s="317"/>
      <c r="AA83" s="318"/>
      <c r="AB83" s="318"/>
      <c r="AC83" s="319"/>
      <c r="AD83" s="317"/>
      <c r="AE83" s="318"/>
      <c r="AF83" s="318"/>
      <c r="AG83" s="319"/>
      <c r="AH83" s="317"/>
      <c r="AI83" s="318"/>
      <c r="AJ83" s="318"/>
      <c r="AK83" s="319"/>
      <c r="AL83" s="317"/>
      <c r="AM83" s="318"/>
      <c r="AN83" s="318"/>
      <c r="AO83" s="319"/>
      <c r="AP83" s="317"/>
      <c r="AQ83" s="318"/>
      <c r="AR83" s="318"/>
      <c r="AS83" s="319"/>
      <c r="AT83" s="322"/>
      <c r="AU83" s="323"/>
      <c r="AV83" s="323"/>
      <c r="AW83" s="324"/>
      <c r="AX83" s="322"/>
      <c r="AY83" s="323"/>
      <c r="AZ83" s="323"/>
      <c r="BA83" s="324"/>
      <c r="BB83" s="322"/>
      <c r="BC83" s="323"/>
      <c r="BD83" s="323"/>
      <c r="BE83" s="324"/>
    </row>
    <row r="84" spans="1:57" s="303" customFormat="1" ht="26.25" customHeight="1" x14ac:dyDescent="0.3">
      <c r="A84" s="316"/>
      <c r="B84" s="316"/>
      <c r="C84" s="316"/>
      <c r="D84" s="316"/>
      <c r="E84" s="316"/>
      <c r="F84" s="317"/>
      <c r="G84" s="318"/>
      <c r="H84" s="318"/>
      <c r="I84" s="319"/>
      <c r="J84" s="317"/>
      <c r="K84" s="318"/>
      <c r="L84" s="318"/>
      <c r="M84" s="319"/>
      <c r="N84" s="317"/>
      <c r="O84" s="318"/>
      <c r="P84" s="318"/>
      <c r="Q84" s="319"/>
      <c r="R84" s="317"/>
      <c r="S84" s="318"/>
      <c r="T84" s="318"/>
      <c r="U84" s="319"/>
      <c r="V84" s="317"/>
      <c r="W84" s="318"/>
      <c r="X84" s="318"/>
      <c r="Y84" s="319"/>
      <c r="Z84" s="317"/>
      <c r="AA84" s="318"/>
      <c r="AB84" s="318"/>
      <c r="AC84" s="319"/>
      <c r="AD84" s="317"/>
      <c r="AE84" s="318"/>
      <c r="AF84" s="318"/>
      <c r="AG84" s="319"/>
      <c r="AH84" s="317"/>
      <c r="AI84" s="318"/>
      <c r="AJ84" s="318"/>
      <c r="AK84" s="319"/>
      <c r="AL84" s="317"/>
      <c r="AM84" s="318"/>
      <c r="AN84" s="318"/>
      <c r="AO84" s="319"/>
      <c r="AP84" s="317"/>
      <c r="AQ84" s="318"/>
      <c r="AR84" s="318"/>
      <c r="AS84" s="319"/>
      <c r="AT84" s="322"/>
      <c r="AU84" s="323"/>
      <c r="AV84" s="323"/>
      <c r="AW84" s="324"/>
      <c r="AX84" s="322"/>
      <c r="AY84" s="323"/>
      <c r="AZ84" s="323"/>
      <c r="BA84" s="324"/>
      <c r="BB84" s="322"/>
      <c r="BC84" s="323"/>
      <c r="BD84" s="323"/>
      <c r="BE84" s="324"/>
    </row>
    <row r="85" spans="1:57" s="303" customFormat="1" ht="26.25" customHeight="1" x14ac:dyDescent="0.3">
      <c r="A85" s="316"/>
      <c r="B85" s="316"/>
      <c r="C85" s="316"/>
      <c r="D85" s="316"/>
      <c r="E85" s="316"/>
      <c r="F85" s="317"/>
      <c r="G85" s="318"/>
      <c r="H85" s="318"/>
      <c r="I85" s="319"/>
      <c r="J85" s="317"/>
      <c r="K85" s="318"/>
      <c r="L85" s="318"/>
      <c r="M85" s="319"/>
      <c r="N85" s="317"/>
      <c r="O85" s="318"/>
      <c r="P85" s="318"/>
      <c r="Q85" s="319"/>
      <c r="R85" s="317"/>
      <c r="S85" s="318"/>
      <c r="T85" s="318"/>
      <c r="U85" s="319"/>
      <c r="V85" s="320"/>
      <c r="W85" s="318"/>
      <c r="X85" s="318"/>
      <c r="Y85" s="321"/>
      <c r="Z85" s="317"/>
      <c r="AA85" s="318"/>
      <c r="AB85" s="318"/>
      <c r="AC85" s="319"/>
      <c r="AD85" s="317"/>
      <c r="AE85" s="318"/>
      <c r="AF85" s="318"/>
      <c r="AG85" s="319"/>
      <c r="AH85" s="317"/>
      <c r="AI85" s="318"/>
      <c r="AJ85" s="318"/>
      <c r="AK85" s="319"/>
      <c r="AL85" s="317"/>
      <c r="AM85" s="318"/>
      <c r="AN85" s="318"/>
      <c r="AO85" s="319"/>
      <c r="AP85" s="317"/>
      <c r="AQ85" s="318"/>
      <c r="AR85" s="318"/>
      <c r="AS85" s="319"/>
      <c r="AT85" s="322"/>
      <c r="AU85" s="323"/>
      <c r="AV85" s="323"/>
      <c r="AW85" s="324"/>
      <c r="AX85" s="322"/>
      <c r="AY85" s="323"/>
      <c r="AZ85" s="323"/>
      <c r="BA85" s="324"/>
      <c r="BB85" s="322"/>
      <c r="BC85" s="323"/>
      <c r="BD85" s="323"/>
      <c r="BE85" s="324"/>
    </row>
    <row r="86" spans="1:57" s="303" customFormat="1" ht="26.25" customHeight="1" x14ac:dyDescent="0.3">
      <c r="A86" s="316"/>
      <c r="B86" s="316"/>
      <c r="C86" s="316"/>
      <c r="D86" s="316"/>
      <c r="E86" s="316"/>
      <c r="F86" s="317"/>
      <c r="G86" s="318"/>
      <c r="H86" s="318"/>
      <c r="I86" s="319"/>
      <c r="J86" s="317"/>
      <c r="K86" s="318"/>
      <c r="L86" s="318"/>
      <c r="M86" s="319"/>
      <c r="N86" s="317"/>
      <c r="O86" s="318"/>
      <c r="P86" s="318"/>
      <c r="Q86" s="319"/>
      <c r="R86" s="317"/>
      <c r="S86" s="318"/>
      <c r="T86" s="318"/>
      <c r="U86" s="319"/>
      <c r="V86" s="320"/>
      <c r="W86" s="318"/>
      <c r="X86" s="318"/>
      <c r="Y86" s="321"/>
      <c r="Z86" s="317"/>
      <c r="AA86" s="318"/>
      <c r="AB86" s="318"/>
      <c r="AC86" s="319"/>
      <c r="AD86" s="317"/>
      <c r="AE86" s="318"/>
      <c r="AF86" s="318"/>
      <c r="AG86" s="319"/>
      <c r="AH86" s="317"/>
      <c r="AI86" s="318"/>
      <c r="AJ86" s="318"/>
      <c r="AK86" s="319"/>
      <c r="AL86" s="317"/>
      <c r="AM86" s="318"/>
      <c r="AN86" s="318"/>
      <c r="AO86" s="319"/>
      <c r="AP86" s="317"/>
      <c r="AQ86" s="318"/>
      <c r="AR86" s="318"/>
      <c r="AS86" s="319"/>
      <c r="AT86" s="322"/>
      <c r="AU86" s="323"/>
      <c r="AV86" s="323"/>
      <c r="AW86" s="324"/>
      <c r="AX86" s="322"/>
      <c r="AY86" s="323"/>
      <c r="AZ86" s="323"/>
      <c r="BA86" s="324"/>
      <c r="BB86" s="322"/>
      <c r="BC86" s="323"/>
      <c r="BD86" s="323"/>
      <c r="BE86" s="324"/>
    </row>
    <row r="87" spans="1:57" s="303" customFormat="1" ht="26.25" customHeight="1" x14ac:dyDescent="0.3">
      <c r="A87" s="316"/>
      <c r="B87" s="316"/>
      <c r="C87" s="316"/>
      <c r="D87" s="316"/>
      <c r="E87" s="316"/>
      <c r="F87" s="317"/>
      <c r="G87" s="318"/>
      <c r="H87" s="318"/>
      <c r="I87" s="319"/>
      <c r="J87" s="317"/>
      <c r="K87" s="318"/>
      <c r="L87" s="318"/>
      <c r="M87" s="319"/>
      <c r="N87" s="317"/>
      <c r="O87" s="318"/>
      <c r="P87" s="318"/>
      <c r="Q87" s="319"/>
      <c r="R87" s="317"/>
      <c r="S87" s="318"/>
      <c r="T87" s="318"/>
      <c r="U87" s="319"/>
      <c r="V87" s="320"/>
      <c r="W87" s="318"/>
      <c r="X87" s="318"/>
      <c r="Y87" s="321"/>
      <c r="Z87" s="317"/>
      <c r="AA87" s="318"/>
      <c r="AB87" s="318"/>
      <c r="AC87" s="319"/>
      <c r="AD87" s="317"/>
      <c r="AE87" s="318"/>
      <c r="AF87" s="318"/>
      <c r="AG87" s="319"/>
      <c r="AH87" s="317"/>
      <c r="AI87" s="318"/>
      <c r="AJ87" s="318"/>
      <c r="AK87" s="319"/>
      <c r="AL87" s="317"/>
      <c r="AM87" s="318"/>
      <c r="AN87" s="318"/>
      <c r="AO87" s="319"/>
      <c r="AP87" s="317"/>
      <c r="AQ87" s="318"/>
      <c r="AR87" s="318"/>
      <c r="AS87" s="319"/>
      <c r="AT87" s="322"/>
      <c r="AU87" s="323"/>
      <c r="AV87" s="323"/>
      <c r="AW87" s="324"/>
      <c r="AX87" s="322"/>
      <c r="AY87" s="323"/>
      <c r="AZ87" s="323"/>
      <c r="BA87" s="324"/>
      <c r="BB87" s="322"/>
      <c r="BC87" s="323"/>
      <c r="BD87" s="323"/>
      <c r="BE87" s="324"/>
    </row>
    <row r="88" spans="1:57" s="303" customFormat="1" ht="26.25" customHeight="1" x14ac:dyDescent="0.3">
      <c r="A88" s="316"/>
      <c r="B88" s="316"/>
      <c r="C88" s="316"/>
      <c r="D88" s="316"/>
      <c r="E88" s="316"/>
      <c r="F88" s="317"/>
      <c r="G88" s="318"/>
      <c r="H88" s="318"/>
      <c r="I88" s="319"/>
      <c r="J88" s="317"/>
      <c r="K88" s="318"/>
      <c r="L88" s="318"/>
      <c r="M88" s="319"/>
      <c r="N88" s="317"/>
      <c r="O88" s="318"/>
      <c r="P88" s="318"/>
      <c r="Q88" s="319"/>
      <c r="R88" s="317"/>
      <c r="S88" s="318"/>
      <c r="T88" s="318"/>
      <c r="U88" s="319"/>
      <c r="V88" s="320"/>
      <c r="W88" s="318"/>
      <c r="X88" s="318"/>
      <c r="Y88" s="321"/>
      <c r="Z88" s="317"/>
      <c r="AA88" s="318"/>
      <c r="AB88" s="318"/>
      <c r="AC88" s="319"/>
      <c r="AD88" s="317"/>
      <c r="AE88" s="318"/>
      <c r="AF88" s="318"/>
      <c r="AG88" s="319"/>
      <c r="AH88" s="317"/>
      <c r="AI88" s="318"/>
      <c r="AJ88" s="318"/>
      <c r="AK88" s="319"/>
      <c r="AL88" s="317"/>
      <c r="AM88" s="318"/>
      <c r="AN88" s="318"/>
      <c r="AO88" s="319"/>
      <c r="AP88" s="317"/>
      <c r="AQ88" s="318"/>
      <c r="AR88" s="318"/>
      <c r="AS88" s="319"/>
      <c r="AT88" s="322"/>
      <c r="AU88" s="323"/>
      <c r="AV88" s="323"/>
      <c r="AW88" s="324"/>
      <c r="AX88" s="322"/>
      <c r="AY88" s="323"/>
      <c r="AZ88" s="323"/>
      <c r="BA88" s="324"/>
      <c r="BB88" s="322"/>
      <c r="BC88" s="323"/>
      <c r="BD88" s="323"/>
      <c r="BE88" s="324"/>
    </row>
    <row r="89" spans="1:57" s="303" customFormat="1" ht="26.25" customHeight="1" x14ac:dyDescent="0.3">
      <c r="A89" s="316"/>
      <c r="B89" s="316"/>
      <c r="C89" s="316"/>
      <c r="D89" s="316"/>
      <c r="E89" s="316"/>
      <c r="F89" s="317"/>
      <c r="G89" s="318"/>
      <c r="H89" s="318"/>
      <c r="I89" s="319"/>
      <c r="J89" s="317"/>
      <c r="K89" s="318"/>
      <c r="L89" s="318"/>
      <c r="M89" s="319"/>
      <c r="N89" s="317"/>
      <c r="O89" s="318"/>
      <c r="P89" s="318"/>
      <c r="Q89" s="319"/>
      <c r="R89" s="317"/>
      <c r="S89" s="318"/>
      <c r="T89" s="318"/>
      <c r="U89" s="319"/>
      <c r="V89" s="320"/>
      <c r="W89" s="318"/>
      <c r="X89" s="318"/>
      <c r="Y89" s="321"/>
      <c r="Z89" s="317"/>
      <c r="AA89" s="318"/>
      <c r="AB89" s="318"/>
      <c r="AC89" s="319"/>
      <c r="AD89" s="317"/>
      <c r="AE89" s="318"/>
      <c r="AF89" s="318"/>
      <c r="AG89" s="319"/>
      <c r="AH89" s="317"/>
      <c r="AI89" s="318"/>
      <c r="AJ89" s="318"/>
      <c r="AK89" s="319"/>
      <c r="AL89" s="317"/>
      <c r="AM89" s="318"/>
      <c r="AN89" s="318"/>
      <c r="AO89" s="319"/>
      <c r="AP89" s="317"/>
      <c r="AQ89" s="318"/>
      <c r="AR89" s="318"/>
      <c r="AS89" s="319"/>
      <c r="AT89" s="322"/>
      <c r="AU89" s="323"/>
      <c r="AV89" s="323"/>
      <c r="AW89" s="324"/>
      <c r="AX89" s="322"/>
      <c r="AY89" s="323"/>
      <c r="AZ89" s="323"/>
      <c r="BA89" s="324"/>
      <c r="BB89" s="322"/>
      <c r="BC89" s="323"/>
      <c r="BD89" s="323"/>
      <c r="BE89" s="324"/>
    </row>
    <row r="90" spans="1:57" s="303" customFormat="1" ht="26.25" customHeight="1" x14ac:dyDescent="0.3">
      <c r="A90" s="316"/>
      <c r="B90" s="316"/>
      <c r="C90" s="316"/>
      <c r="D90" s="316"/>
      <c r="E90" s="316"/>
      <c r="F90" s="317"/>
      <c r="G90" s="318"/>
      <c r="H90" s="318"/>
      <c r="I90" s="319"/>
      <c r="J90" s="317"/>
      <c r="K90" s="318"/>
      <c r="L90" s="318"/>
      <c r="M90" s="319"/>
      <c r="N90" s="317"/>
      <c r="O90" s="318"/>
      <c r="P90" s="318"/>
      <c r="Q90" s="319"/>
      <c r="R90" s="317"/>
      <c r="S90" s="318"/>
      <c r="T90" s="318"/>
      <c r="U90" s="319"/>
      <c r="V90" s="320"/>
      <c r="W90" s="318"/>
      <c r="X90" s="318"/>
      <c r="Y90" s="321"/>
      <c r="Z90" s="317"/>
      <c r="AA90" s="318"/>
      <c r="AB90" s="318"/>
      <c r="AC90" s="319"/>
      <c r="AD90" s="317"/>
      <c r="AE90" s="318"/>
      <c r="AF90" s="318"/>
      <c r="AG90" s="319"/>
      <c r="AH90" s="317"/>
      <c r="AI90" s="318"/>
      <c r="AJ90" s="318"/>
      <c r="AK90" s="319"/>
      <c r="AL90" s="317"/>
      <c r="AM90" s="318"/>
      <c r="AN90" s="318"/>
      <c r="AO90" s="319"/>
      <c r="AP90" s="317"/>
      <c r="AQ90" s="318"/>
      <c r="AR90" s="318"/>
      <c r="AS90" s="319"/>
      <c r="AT90" s="322"/>
      <c r="AU90" s="323"/>
      <c r="AV90" s="323"/>
      <c r="AW90" s="324"/>
      <c r="AX90" s="322"/>
      <c r="AY90" s="323"/>
      <c r="AZ90" s="323"/>
      <c r="BA90" s="324"/>
      <c r="BB90" s="322"/>
      <c r="BC90" s="323"/>
      <c r="BD90" s="323"/>
      <c r="BE90" s="324"/>
    </row>
    <row r="91" spans="1:57" s="303" customFormat="1" ht="26.25" customHeight="1" x14ac:dyDescent="0.3">
      <c r="A91" s="316"/>
      <c r="B91" s="316"/>
      <c r="C91" s="316"/>
      <c r="D91" s="316"/>
      <c r="E91" s="316"/>
      <c r="F91" s="317"/>
      <c r="G91" s="318"/>
      <c r="H91" s="318"/>
      <c r="I91" s="319"/>
      <c r="J91" s="317"/>
      <c r="K91" s="318"/>
      <c r="L91" s="318"/>
      <c r="M91" s="319"/>
      <c r="N91" s="317"/>
      <c r="O91" s="318"/>
      <c r="P91" s="318"/>
      <c r="Q91" s="319"/>
      <c r="R91" s="317"/>
      <c r="S91" s="318"/>
      <c r="T91" s="318"/>
      <c r="U91" s="319"/>
      <c r="V91" s="320"/>
      <c r="W91" s="318"/>
      <c r="X91" s="318"/>
      <c r="Y91" s="321"/>
      <c r="Z91" s="317"/>
      <c r="AA91" s="318"/>
      <c r="AB91" s="318"/>
      <c r="AC91" s="319"/>
      <c r="AD91" s="317"/>
      <c r="AE91" s="318"/>
      <c r="AF91" s="318"/>
      <c r="AG91" s="319"/>
      <c r="AH91" s="317"/>
      <c r="AI91" s="318"/>
      <c r="AJ91" s="318"/>
      <c r="AK91" s="319"/>
      <c r="AL91" s="317"/>
      <c r="AM91" s="318"/>
      <c r="AN91" s="318"/>
      <c r="AO91" s="319"/>
      <c r="AP91" s="317"/>
      <c r="AQ91" s="318"/>
      <c r="AR91" s="318"/>
      <c r="AS91" s="319"/>
      <c r="AT91" s="322"/>
      <c r="AU91" s="323"/>
      <c r="AV91" s="323"/>
      <c r="AW91" s="324"/>
      <c r="AX91" s="322"/>
      <c r="AY91" s="323"/>
      <c r="AZ91" s="323"/>
      <c r="BA91" s="324"/>
      <c r="BB91" s="322"/>
      <c r="BC91" s="323"/>
      <c r="BD91" s="323"/>
      <c r="BE91" s="324"/>
    </row>
    <row r="92" spans="1:57" s="303" customFormat="1" ht="26.25" customHeight="1" x14ac:dyDescent="0.3">
      <c r="A92" s="316"/>
      <c r="B92" s="316"/>
      <c r="C92" s="316"/>
      <c r="D92" s="316"/>
      <c r="E92" s="316"/>
      <c r="F92" s="317"/>
      <c r="G92" s="318"/>
      <c r="H92" s="318"/>
      <c r="I92" s="319"/>
      <c r="J92" s="317"/>
      <c r="K92" s="318"/>
      <c r="L92" s="318"/>
      <c r="M92" s="319"/>
      <c r="N92" s="317"/>
      <c r="O92" s="318"/>
      <c r="P92" s="318"/>
      <c r="Q92" s="319"/>
      <c r="R92" s="317"/>
      <c r="S92" s="318"/>
      <c r="T92" s="318"/>
      <c r="U92" s="319"/>
      <c r="V92" s="320"/>
      <c r="W92" s="318"/>
      <c r="X92" s="318"/>
      <c r="Y92" s="321"/>
      <c r="Z92" s="317"/>
      <c r="AA92" s="318"/>
      <c r="AB92" s="318"/>
      <c r="AC92" s="319"/>
      <c r="AD92" s="317"/>
      <c r="AE92" s="318"/>
      <c r="AF92" s="318"/>
      <c r="AG92" s="319"/>
      <c r="AH92" s="317"/>
      <c r="AI92" s="318"/>
      <c r="AJ92" s="318"/>
      <c r="AK92" s="319"/>
      <c r="AL92" s="317"/>
      <c r="AM92" s="318"/>
      <c r="AN92" s="318"/>
      <c r="AO92" s="319"/>
      <c r="AP92" s="317"/>
      <c r="AQ92" s="318"/>
      <c r="AR92" s="318"/>
      <c r="AS92" s="319"/>
      <c r="AT92" s="322"/>
      <c r="AU92" s="323"/>
      <c r="AV92" s="323"/>
      <c r="AW92" s="324"/>
      <c r="AX92" s="322"/>
      <c r="AY92" s="323"/>
      <c r="AZ92" s="323"/>
      <c r="BA92" s="324"/>
      <c r="BB92" s="322"/>
      <c r="BC92" s="323"/>
      <c r="BD92" s="323"/>
      <c r="BE92" s="324"/>
    </row>
    <row r="93" spans="1:57" s="303" customFormat="1" ht="26.25" customHeight="1" x14ac:dyDescent="0.3">
      <c r="A93" s="316"/>
      <c r="B93" s="316"/>
      <c r="C93" s="316"/>
      <c r="D93" s="316"/>
      <c r="E93" s="316"/>
      <c r="F93" s="317"/>
      <c r="G93" s="318"/>
      <c r="H93" s="318"/>
      <c r="I93" s="319"/>
      <c r="J93" s="317"/>
      <c r="K93" s="318"/>
      <c r="L93" s="318"/>
      <c r="M93" s="319"/>
      <c r="N93" s="317"/>
      <c r="O93" s="318"/>
      <c r="P93" s="318"/>
      <c r="Q93" s="319"/>
      <c r="R93" s="317"/>
      <c r="S93" s="318"/>
      <c r="T93" s="318"/>
      <c r="U93" s="319"/>
      <c r="V93" s="320"/>
      <c r="W93" s="318"/>
      <c r="X93" s="318"/>
      <c r="Y93" s="321"/>
      <c r="Z93" s="317"/>
      <c r="AA93" s="318"/>
      <c r="AB93" s="318"/>
      <c r="AC93" s="319"/>
      <c r="AD93" s="317"/>
      <c r="AE93" s="318"/>
      <c r="AF93" s="318"/>
      <c r="AG93" s="319"/>
      <c r="AH93" s="317"/>
      <c r="AI93" s="318"/>
      <c r="AJ93" s="318"/>
      <c r="AK93" s="319"/>
      <c r="AL93" s="317"/>
      <c r="AM93" s="318"/>
      <c r="AN93" s="318"/>
      <c r="AO93" s="319"/>
      <c r="AP93" s="317"/>
      <c r="AQ93" s="318"/>
      <c r="AR93" s="318"/>
      <c r="AS93" s="319"/>
      <c r="AT93" s="322"/>
      <c r="AU93" s="323"/>
      <c r="AV93" s="323"/>
      <c r="AW93" s="324"/>
      <c r="AX93" s="322"/>
      <c r="AY93" s="323"/>
      <c r="AZ93" s="323"/>
      <c r="BA93" s="324"/>
      <c r="BB93" s="322"/>
      <c r="BC93" s="323"/>
      <c r="BD93" s="323"/>
      <c r="BE93" s="324"/>
    </row>
    <row r="94" spans="1:57" s="303" customFormat="1" ht="26.25" customHeight="1" x14ac:dyDescent="0.3">
      <c r="A94" s="316"/>
      <c r="B94" s="316"/>
      <c r="C94" s="316"/>
      <c r="D94" s="316"/>
      <c r="E94" s="316"/>
      <c r="F94" s="317"/>
      <c r="G94" s="318"/>
      <c r="H94" s="318"/>
      <c r="I94" s="319"/>
      <c r="J94" s="317"/>
      <c r="K94" s="318"/>
      <c r="L94" s="318"/>
      <c r="M94" s="319"/>
      <c r="N94" s="317"/>
      <c r="O94" s="318"/>
      <c r="P94" s="318"/>
      <c r="Q94" s="319"/>
      <c r="R94" s="317"/>
      <c r="S94" s="318"/>
      <c r="T94" s="318"/>
      <c r="U94" s="319"/>
      <c r="V94" s="320"/>
      <c r="W94" s="318"/>
      <c r="X94" s="318"/>
      <c r="Y94" s="321"/>
      <c r="Z94" s="317"/>
      <c r="AA94" s="318"/>
      <c r="AB94" s="318"/>
      <c r="AC94" s="319"/>
      <c r="AD94" s="317"/>
      <c r="AE94" s="318"/>
      <c r="AF94" s="318"/>
      <c r="AG94" s="319"/>
      <c r="AH94" s="317"/>
      <c r="AI94" s="318"/>
      <c r="AJ94" s="318"/>
      <c r="AK94" s="319"/>
      <c r="AL94" s="317"/>
      <c r="AM94" s="318"/>
      <c r="AN94" s="318"/>
      <c r="AO94" s="319"/>
      <c r="AP94" s="317"/>
      <c r="AQ94" s="318"/>
      <c r="AR94" s="318"/>
      <c r="AS94" s="319"/>
      <c r="AT94" s="322"/>
      <c r="AU94" s="323"/>
      <c r="AV94" s="323"/>
      <c r="AW94" s="324"/>
      <c r="AX94" s="322"/>
      <c r="AY94" s="323"/>
      <c r="AZ94" s="323"/>
      <c r="BA94" s="324"/>
      <c r="BB94" s="322"/>
      <c r="BC94" s="323"/>
      <c r="BD94" s="323"/>
      <c r="BE94" s="324"/>
    </row>
    <row r="95" spans="1:57" s="303" customFormat="1" ht="26.25" customHeight="1" x14ac:dyDescent="0.3">
      <c r="A95" s="316"/>
      <c r="B95" s="316"/>
      <c r="C95" s="316"/>
      <c r="D95" s="316"/>
      <c r="E95" s="316"/>
      <c r="F95" s="317"/>
      <c r="G95" s="318"/>
      <c r="H95" s="318"/>
      <c r="I95" s="319"/>
      <c r="J95" s="317"/>
      <c r="K95" s="318"/>
      <c r="L95" s="318"/>
      <c r="M95" s="319"/>
      <c r="N95" s="317"/>
      <c r="O95" s="318"/>
      <c r="P95" s="318"/>
      <c r="Q95" s="319"/>
      <c r="R95" s="317"/>
      <c r="S95" s="318"/>
      <c r="T95" s="318"/>
      <c r="U95" s="319"/>
      <c r="V95" s="320"/>
      <c r="W95" s="318"/>
      <c r="X95" s="318"/>
      <c r="Y95" s="321"/>
      <c r="Z95" s="317"/>
      <c r="AA95" s="318"/>
      <c r="AB95" s="318"/>
      <c r="AC95" s="319"/>
      <c r="AD95" s="317"/>
      <c r="AE95" s="318"/>
      <c r="AF95" s="318"/>
      <c r="AG95" s="319"/>
      <c r="AH95" s="317"/>
      <c r="AI95" s="318"/>
      <c r="AJ95" s="318"/>
      <c r="AK95" s="319"/>
      <c r="AL95" s="317"/>
      <c r="AM95" s="318"/>
      <c r="AN95" s="318"/>
      <c r="AO95" s="319"/>
      <c r="AP95" s="317"/>
      <c r="AQ95" s="318"/>
      <c r="AR95" s="318"/>
      <c r="AS95" s="319"/>
      <c r="AT95" s="322"/>
      <c r="AU95" s="323"/>
      <c r="AV95" s="323"/>
      <c r="AW95" s="324"/>
      <c r="AX95" s="322"/>
      <c r="AY95" s="323"/>
      <c r="AZ95" s="323"/>
      <c r="BA95" s="324"/>
      <c r="BB95" s="322"/>
      <c r="BC95" s="323"/>
      <c r="BD95" s="323"/>
      <c r="BE95" s="324"/>
    </row>
    <row r="96" spans="1:57" s="303" customFormat="1" ht="26.25" customHeight="1" x14ac:dyDescent="0.3">
      <c r="A96" s="316"/>
      <c r="B96" s="316"/>
      <c r="C96" s="316"/>
      <c r="D96" s="316"/>
      <c r="E96" s="316"/>
      <c r="F96" s="317"/>
      <c r="G96" s="318"/>
      <c r="H96" s="318"/>
      <c r="I96" s="319"/>
      <c r="J96" s="317"/>
      <c r="K96" s="318"/>
      <c r="L96" s="318"/>
      <c r="M96" s="319"/>
      <c r="N96" s="317"/>
      <c r="O96" s="318"/>
      <c r="P96" s="318"/>
      <c r="Q96" s="319"/>
      <c r="R96" s="317"/>
      <c r="S96" s="318"/>
      <c r="T96" s="318"/>
      <c r="U96" s="319"/>
      <c r="V96" s="320"/>
      <c r="W96" s="318"/>
      <c r="X96" s="318"/>
      <c r="Y96" s="321"/>
      <c r="Z96" s="317"/>
      <c r="AA96" s="318"/>
      <c r="AB96" s="318"/>
      <c r="AC96" s="319"/>
      <c r="AD96" s="317"/>
      <c r="AE96" s="318"/>
      <c r="AF96" s="318"/>
      <c r="AG96" s="319"/>
      <c r="AH96" s="317"/>
      <c r="AI96" s="318"/>
      <c r="AJ96" s="318"/>
      <c r="AK96" s="319"/>
      <c r="AL96" s="317"/>
      <c r="AM96" s="318"/>
      <c r="AN96" s="318"/>
      <c r="AO96" s="319"/>
      <c r="AP96" s="317"/>
      <c r="AQ96" s="318"/>
      <c r="AR96" s="318"/>
      <c r="AS96" s="319"/>
      <c r="AT96" s="322"/>
      <c r="AU96" s="323"/>
      <c r="AV96" s="323"/>
      <c r="AW96" s="324"/>
      <c r="AX96" s="322"/>
      <c r="AY96" s="323"/>
      <c r="AZ96" s="323"/>
      <c r="BA96" s="324"/>
      <c r="BB96" s="322"/>
      <c r="BC96" s="323"/>
      <c r="BD96" s="323"/>
      <c r="BE96" s="324"/>
    </row>
    <row r="97" spans="1:57" s="303" customFormat="1" ht="26.25" customHeight="1" x14ac:dyDescent="0.3">
      <c r="A97" s="316"/>
      <c r="B97" s="316"/>
      <c r="C97" s="316"/>
      <c r="D97" s="316"/>
      <c r="E97" s="316"/>
      <c r="F97" s="317"/>
      <c r="G97" s="318"/>
      <c r="H97" s="318"/>
      <c r="I97" s="319"/>
      <c r="J97" s="317"/>
      <c r="K97" s="318"/>
      <c r="L97" s="318"/>
      <c r="M97" s="319"/>
      <c r="N97" s="317"/>
      <c r="O97" s="318"/>
      <c r="P97" s="318"/>
      <c r="Q97" s="319"/>
      <c r="R97" s="317"/>
      <c r="S97" s="318"/>
      <c r="T97" s="318"/>
      <c r="U97" s="319"/>
      <c r="V97" s="320"/>
      <c r="W97" s="318"/>
      <c r="X97" s="318"/>
      <c r="Y97" s="321"/>
      <c r="Z97" s="317"/>
      <c r="AA97" s="318"/>
      <c r="AB97" s="318"/>
      <c r="AC97" s="319"/>
      <c r="AD97" s="317"/>
      <c r="AE97" s="318"/>
      <c r="AF97" s="318"/>
      <c r="AG97" s="319"/>
      <c r="AH97" s="317"/>
      <c r="AI97" s="318"/>
      <c r="AJ97" s="318"/>
      <c r="AK97" s="319"/>
      <c r="AL97" s="317"/>
      <c r="AM97" s="318"/>
      <c r="AN97" s="318"/>
      <c r="AO97" s="319"/>
      <c r="AP97" s="317"/>
      <c r="AQ97" s="318"/>
      <c r="AR97" s="318"/>
      <c r="AS97" s="319"/>
      <c r="AT97" s="322"/>
      <c r="AU97" s="323"/>
      <c r="AV97" s="323"/>
      <c r="AW97" s="324"/>
      <c r="AX97" s="322"/>
      <c r="AY97" s="323"/>
      <c r="AZ97" s="323"/>
      <c r="BA97" s="324"/>
      <c r="BB97" s="322"/>
      <c r="BC97" s="323"/>
      <c r="BD97" s="323"/>
      <c r="BE97" s="324"/>
    </row>
    <row r="98" spans="1:57" s="303" customFormat="1" ht="26.25" customHeight="1" x14ac:dyDescent="0.3">
      <c r="A98" s="316"/>
      <c r="B98" s="316"/>
      <c r="C98" s="316"/>
      <c r="D98" s="316"/>
      <c r="E98" s="316"/>
      <c r="F98" s="317"/>
      <c r="G98" s="318"/>
      <c r="H98" s="318"/>
      <c r="I98" s="319"/>
      <c r="J98" s="317"/>
      <c r="K98" s="318"/>
      <c r="L98" s="318"/>
      <c r="M98" s="319"/>
      <c r="N98" s="317"/>
      <c r="O98" s="318"/>
      <c r="P98" s="318"/>
      <c r="Q98" s="319"/>
      <c r="R98" s="317"/>
      <c r="S98" s="318"/>
      <c r="T98" s="318"/>
      <c r="U98" s="319"/>
      <c r="V98" s="320"/>
      <c r="W98" s="318"/>
      <c r="X98" s="318"/>
      <c r="Y98" s="321"/>
      <c r="Z98" s="317"/>
      <c r="AA98" s="318"/>
      <c r="AB98" s="318"/>
      <c r="AC98" s="319"/>
      <c r="AD98" s="317"/>
      <c r="AE98" s="318"/>
      <c r="AF98" s="318"/>
      <c r="AG98" s="319"/>
      <c r="AH98" s="317"/>
      <c r="AI98" s="318"/>
      <c r="AJ98" s="318"/>
      <c r="AK98" s="319"/>
      <c r="AL98" s="317"/>
      <c r="AM98" s="318"/>
      <c r="AN98" s="318"/>
      <c r="AO98" s="319"/>
      <c r="AP98" s="317"/>
      <c r="AQ98" s="318"/>
      <c r="AR98" s="318"/>
      <c r="AS98" s="319"/>
      <c r="AT98" s="322"/>
      <c r="AU98" s="323"/>
      <c r="AV98" s="323"/>
      <c r="AW98" s="324"/>
      <c r="AX98" s="322"/>
      <c r="AY98" s="323"/>
      <c r="AZ98" s="323"/>
      <c r="BA98" s="324"/>
      <c r="BB98" s="322"/>
      <c r="BC98" s="323"/>
      <c r="BD98" s="323"/>
      <c r="BE98" s="324"/>
    </row>
    <row r="99" spans="1:57" s="303" customFormat="1" ht="26.25" customHeight="1" x14ac:dyDescent="0.3">
      <c r="A99" s="316"/>
      <c r="B99" s="316"/>
      <c r="C99" s="316"/>
      <c r="D99" s="316"/>
      <c r="E99" s="316"/>
      <c r="F99" s="317"/>
      <c r="G99" s="318"/>
      <c r="H99" s="318"/>
      <c r="I99" s="319"/>
      <c r="J99" s="317"/>
      <c r="K99" s="318"/>
      <c r="L99" s="318"/>
      <c r="M99" s="319"/>
      <c r="N99" s="317"/>
      <c r="O99" s="318"/>
      <c r="P99" s="318"/>
      <c r="Q99" s="319"/>
      <c r="R99" s="317"/>
      <c r="S99" s="318"/>
      <c r="T99" s="318"/>
      <c r="U99" s="319"/>
      <c r="V99" s="320"/>
      <c r="W99" s="318"/>
      <c r="X99" s="318"/>
      <c r="Y99" s="321"/>
      <c r="Z99" s="317"/>
      <c r="AA99" s="318"/>
      <c r="AB99" s="318"/>
      <c r="AC99" s="319"/>
      <c r="AD99" s="317"/>
      <c r="AE99" s="318"/>
      <c r="AF99" s="318"/>
      <c r="AG99" s="319"/>
      <c r="AH99" s="317"/>
      <c r="AI99" s="318"/>
      <c r="AJ99" s="318"/>
      <c r="AK99" s="319"/>
      <c r="AL99" s="317"/>
      <c r="AM99" s="318"/>
      <c r="AN99" s="318"/>
      <c r="AO99" s="319"/>
      <c r="AP99" s="317"/>
      <c r="AQ99" s="318"/>
      <c r="AR99" s="318"/>
      <c r="AS99" s="319"/>
      <c r="AT99" s="322"/>
      <c r="AU99" s="323"/>
      <c r="AV99" s="323"/>
      <c r="AW99" s="324"/>
      <c r="AX99" s="322"/>
      <c r="AY99" s="323"/>
      <c r="AZ99" s="323"/>
      <c r="BA99" s="324"/>
      <c r="BB99" s="322"/>
      <c r="BC99" s="323"/>
      <c r="BD99" s="323"/>
      <c r="BE99" s="324"/>
    </row>
    <row r="100" spans="1:57" s="303" customFormat="1" ht="26.25" customHeight="1" x14ac:dyDescent="0.3">
      <c r="A100" s="316"/>
      <c r="B100" s="316"/>
      <c r="C100" s="316"/>
      <c r="D100" s="316"/>
      <c r="E100" s="316"/>
      <c r="F100" s="317"/>
      <c r="G100" s="318"/>
      <c r="H100" s="318"/>
      <c r="I100" s="319"/>
      <c r="J100" s="317"/>
      <c r="K100" s="318"/>
      <c r="L100" s="318"/>
      <c r="M100" s="319"/>
      <c r="N100" s="317"/>
      <c r="O100" s="318"/>
      <c r="P100" s="318"/>
      <c r="Q100" s="319"/>
      <c r="R100" s="317"/>
      <c r="S100" s="318"/>
      <c r="T100" s="318"/>
      <c r="U100" s="319"/>
      <c r="V100" s="320"/>
      <c r="W100" s="318"/>
      <c r="X100" s="318"/>
      <c r="Y100" s="321"/>
      <c r="Z100" s="317"/>
      <c r="AA100" s="318"/>
      <c r="AB100" s="318"/>
      <c r="AC100" s="319"/>
      <c r="AD100" s="317"/>
      <c r="AE100" s="318"/>
      <c r="AF100" s="318"/>
      <c r="AG100" s="319"/>
      <c r="AH100" s="317"/>
      <c r="AI100" s="318"/>
      <c r="AJ100" s="318"/>
      <c r="AK100" s="319"/>
      <c r="AL100" s="317"/>
      <c r="AM100" s="318"/>
      <c r="AN100" s="318"/>
      <c r="AO100" s="319"/>
      <c r="AP100" s="317"/>
      <c r="AQ100" s="318"/>
      <c r="AR100" s="318"/>
      <c r="AS100" s="319"/>
      <c r="AT100" s="322"/>
      <c r="AU100" s="323"/>
      <c r="AV100" s="323"/>
      <c r="AW100" s="324"/>
      <c r="AX100" s="322"/>
      <c r="AY100" s="323"/>
      <c r="AZ100" s="323"/>
      <c r="BA100" s="324"/>
      <c r="BB100" s="322"/>
      <c r="BC100" s="323"/>
      <c r="BD100" s="323"/>
      <c r="BE100" s="324"/>
    </row>
    <row r="101" spans="1:57" s="303" customFormat="1" ht="26.25" customHeight="1" x14ac:dyDescent="0.3">
      <c r="A101" s="316"/>
      <c r="B101" s="316"/>
      <c r="C101" s="316"/>
      <c r="D101" s="316"/>
      <c r="E101" s="316"/>
      <c r="F101" s="317"/>
      <c r="G101" s="318"/>
      <c r="H101" s="318"/>
      <c r="I101" s="319"/>
      <c r="J101" s="317"/>
      <c r="K101" s="318"/>
      <c r="L101" s="318"/>
      <c r="M101" s="319"/>
      <c r="N101" s="317"/>
      <c r="O101" s="318"/>
      <c r="P101" s="318"/>
      <c r="Q101" s="319"/>
      <c r="R101" s="317"/>
      <c r="S101" s="318"/>
      <c r="T101" s="318"/>
      <c r="U101" s="319"/>
      <c r="V101" s="320"/>
      <c r="W101" s="318"/>
      <c r="X101" s="318"/>
      <c r="Y101" s="321"/>
      <c r="Z101" s="317"/>
      <c r="AA101" s="318"/>
      <c r="AB101" s="318"/>
      <c r="AC101" s="319"/>
      <c r="AD101" s="317"/>
      <c r="AE101" s="318"/>
      <c r="AF101" s="318"/>
      <c r="AG101" s="319"/>
      <c r="AH101" s="317"/>
      <c r="AI101" s="318"/>
      <c r="AJ101" s="318"/>
      <c r="AK101" s="319"/>
      <c r="AL101" s="317"/>
      <c r="AM101" s="318"/>
      <c r="AN101" s="318"/>
      <c r="AO101" s="319"/>
      <c r="AP101" s="317"/>
      <c r="AQ101" s="318"/>
      <c r="AR101" s="318"/>
      <c r="AS101" s="319"/>
      <c r="AT101" s="322"/>
      <c r="AU101" s="323"/>
      <c r="AV101" s="323"/>
      <c r="AW101" s="324"/>
      <c r="AX101" s="322"/>
      <c r="AY101" s="323"/>
      <c r="AZ101" s="323"/>
      <c r="BA101" s="324"/>
      <c r="BB101" s="322"/>
      <c r="BC101" s="323"/>
      <c r="BD101" s="323"/>
      <c r="BE101" s="324"/>
    </row>
    <row r="102" spans="1:57" s="303" customFormat="1" ht="26.25" customHeight="1" x14ac:dyDescent="0.3">
      <c r="A102" s="316"/>
      <c r="B102" s="316"/>
      <c r="C102" s="316"/>
      <c r="D102" s="316"/>
      <c r="E102" s="316"/>
      <c r="F102" s="317"/>
      <c r="G102" s="318"/>
      <c r="H102" s="318"/>
      <c r="I102" s="319"/>
      <c r="J102" s="317"/>
      <c r="K102" s="318"/>
      <c r="L102" s="318"/>
      <c r="M102" s="319"/>
      <c r="N102" s="317"/>
      <c r="O102" s="318"/>
      <c r="P102" s="318"/>
      <c r="Q102" s="319"/>
      <c r="R102" s="317"/>
      <c r="S102" s="318"/>
      <c r="T102" s="318"/>
      <c r="U102" s="319"/>
      <c r="V102" s="320"/>
      <c r="W102" s="318"/>
      <c r="X102" s="318"/>
      <c r="Y102" s="321"/>
      <c r="Z102" s="317"/>
      <c r="AA102" s="318"/>
      <c r="AB102" s="318"/>
      <c r="AC102" s="319"/>
      <c r="AD102" s="317"/>
      <c r="AE102" s="318"/>
      <c r="AF102" s="318"/>
      <c r="AG102" s="319"/>
      <c r="AH102" s="317"/>
      <c r="AI102" s="318"/>
      <c r="AJ102" s="318"/>
      <c r="AK102" s="319"/>
      <c r="AL102" s="317"/>
      <c r="AM102" s="318"/>
      <c r="AN102" s="318"/>
      <c r="AO102" s="319"/>
      <c r="AP102" s="317"/>
      <c r="AQ102" s="318"/>
      <c r="AR102" s="318"/>
      <c r="AS102" s="319"/>
      <c r="AT102" s="322"/>
      <c r="AU102" s="323"/>
      <c r="AV102" s="323"/>
      <c r="AW102" s="324"/>
      <c r="AX102" s="322"/>
      <c r="AY102" s="323"/>
      <c r="AZ102" s="323"/>
      <c r="BA102" s="324"/>
      <c r="BB102" s="322"/>
      <c r="BC102" s="323"/>
      <c r="BD102" s="323"/>
      <c r="BE102" s="324"/>
    </row>
    <row r="103" spans="1:57" s="303" customFormat="1" ht="26.25" customHeight="1" x14ac:dyDescent="0.3">
      <c r="A103" s="316"/>
      <c r="B103" s="316"/>
      <c r="C103" s="316"/>
      <c r="D103" s="316"/>
      <c r="E103" s="316"/>
      <c r="F103" s="317"/>
      <c r="G103" s="318"/>
      <c r="H103" s="318"/>
      <c r="I103" s="319"/>
      <c r="J103" s="317"/>
      <c r="K103" s="318"/>
      <c r="L103" s="318"/>
      <c r="M103" s="319"/>
      <c r="N103" s="317"/>
      <c r="O103" s="318"/>
      <c r="P103" s="318"/>
      <c r="Q103" s="319"/>
      <c r="R103" s="317"/>
      <c r="S103" s="318"/>
      <c r="T103" s="318"/>
      <c r="U103" s="319"/>
      <c r="V103" s="320"/>
      <c r="W103" s="318"/>
      <c r="X103" s="318"/>
      <c r="Y103" s="321"/>
      <c r="Z103" s="317"/>
      <c r="AA103" s="318"/>
      <c r="AB103" s="318"/>
      <c r="AC103" s="319"/>
      <c r="AD103" s="317"/>
      <c r="AE103" s="318"/>
      <c r="AF103" s="318"/>
      <c r="AG103" s="319"/>
      <c r="AH103" s="317"/>
      <c r="AI103" s="318"/>
      <c r="AJ103" s="318"/>
      <c r="AK103" s="319"/>
      <c r="AL103" s="317"/>
      <c r="AM103" s="318"/>
      <c r="AN103" s="318"/>
      <c r="AO103" s="319"/>
      <c r="AP103" s="317"/>
      <c r="AQ103" s="318"/>
      <c r="AR103" s="318"/>
      <c r="AS103" s="319"/>
      <c r="AT103" s="322"/>
      <c r="AU103" s="323"/>
      <c r="AV103" s="323"/>
      <c r="AW103" s="324"/>
      <c r="AX103" s="322"/>
      <c r="AY103" s="323"/>
      <c r="AZ103" s="323"/>
      <c r="BA103" s="324"/>
      <c r="BB103" s="322"/>
      <c r="BC103" s="323"/>
      <c r="BD103" s="323"/>
      <c r="BE103" s="324"/>
    </row>
    <row r="104" spans="1:57" s="303" customFormat="1" ht="26.25" customHeight="1" x14ac:dyDescent="0.3">
      <c r="A104" s="316"/>
      <c r="B104" s="316"/>
      <c r="C104" s="316"/>
      <c r="D104" s="316"/>
      <c r="E104" s="316"/>
      <c r="F104" s="317"/>
      <c r="G104" s="318"/>
      <c r="H104" s="318"/>
      <c r="I104" s="319"/>
      <c r="J104" s="317"/>
      <c r="K104" s="318"/>
      <c r="L104" s="318"/>
      <c r="M104" s="319"/>
      <c r="N104" s="317"/>
      <c r="O104" s="318"/>
      <c r="P104" s="318"/>
      <c r="Q104" s="319"/>
      <c r="R104" s="317"/>
      <c r="S104" s="318"/>
      <c r="T104" s="318"/>
      <c r="U104" s="319"/>
      <c r="V104" s="320"/>
      <c r="W104" s="318"/>
      <c r="X104" s="318"/>
      <c r="Y104" s="321"/>
      <c r="Z104" s="317"/>
      <c r="AA104" s="318"/>
      <c r="AB104" s="318"/>
      <c r="AC104" s="319"/>
      <c r="AD104" s="317"/>
      <c r="AE104" s="318"/>
      <c r="AF104" s="318"/>
      <c r="AG104" s="319"/>
      <c r="AH104" s="317"/>
      <c r="AI104" s="318"/>
      <c r="AJ104" s="318"/>
      <c r="AK104" s="319"/>
      <c r="AL104" s="317"/>
      <c r="AM104" s="318"/>
      <c r="AN104" s="318"/>
      <c r="AO104" s="319"/>
      <c r="AP104" s="317"/>
      <c r="AQ104" s="318"/>
      <c r="AR104" s="318"/>
      <c r="AS104" s="319"/>
      <c r="AT104" s="322"/>
      <c r="AU104" s="323"/>
      <c r="AV104" s="323"/>
      <c r="AW104" s="324"/>
      <c r="AX104" s="322"/>
      <c r="AY104" s="323"/>
      <c r="AZ104" s="323"/>
      <c r="BA104" s="324"/>
      <c r="BB104" s="322"/>
      <c r="BC104" s="323"/>
      <c r="BD104" s="323"/>
      <c r="BE104" s="324"/>
    </row>
    <row r="105" spans="1:57" s="303" customFormat="1" ht="26.25" customHeight="1" x14ac:dyDescent="0.3">
      <c r="A105" s="316"/>
      <c r="B105" s="316"/>
      <c r="C105" s="316"/>
      <c r="D105" s="316"/>
      <c r="E105" s="316"/>
      <c r="F105" s="317"/>
      <c r="G105" s="318"/>
      <c r="H105" s="318"/>
      <c r="I105" s="319"/>
      <c r="J105" s="317"/>
      <c r="K105" s="318"/>
      <c r="L105" s="318"/>
      <c r="M105" s="319"/>
      <c r="N105" s="317"/>
      <c r="O105" s="318"/>
      <c r="P105" s="318"/>
      <c r="Q105" s="319"/>
      <c r="R105" s="317"/>
      <c r="S105" s="318"/>
      <c r="T105" s="318"/>
      <c r="U105" s="319"/>
      <c r="V105" s="320"/>
      <c r="W105" s="318"/>
      <c r="X105" s="318"/>
      <c r="Y105" s="321"/>
      <c r="Z105" s="317"/>
      <c r="AA105" s="318"/>
      <c r="AB105" s="318"/>
      <c r="AC105" s="319"/>
      <c r="AD105" s="317"/>
      <c r="AE105" s="318"/>
      <c r="AF105" s="318"/>
      <c r="AG105" s="319"/>
      <c r="AH105" s="317"/>
      <c r="AI105" s="318"/>
      <c r="AJ105" s="318"/>
      <c r="AK105" s="319"/>
      <c r="AL105" s="317"/>
      <c r="AM105" s="318"/>
      <c r="AN105" s="318"/>
      <c r="AO105" s="319"/>
      <c r="AP105" s="317"/>
      <c r="AQ105" s="318"/>
      <c r="AR105" s="318"/>
      <c r="AS105" s="319"/>
      <c r="AT105" s="322"/>
      <c r="AU105" s="323"/>
      <c r="AV105" s="323"/>
      <c r="AW105" s="324"/>
      <c r="AX105" s="322"/>
      <c r="AY105" s="323"/>
      <c r="AZ105" s="323"/>
      <c r="BA105" s="324"/>
      <c r="BB105" s="322"/>
      <c r="BC105" s="323"/>
      <c r="BD105" s="323"/>
      <c r="BE105" s="324"/>
    </row>
    <row r="106" spans="1:57" s="303" customFormat="1" ht="26.25" customHeight="1" x14ac:dyDescent="0.3">
      <c r="A106" s="316"/>
      <c r="B106" s="316"/>
      <c r="C106" s="316"/>
      <c r="D106" s="316"/>
      <c r="E106" s="316"/>
      <c r="F106" s="317"/>
      <c r="G106" s="318"/>
      <c r="H106" s="318"/>
      <c r="I106" s="319"/>
      <c r="J106" s="317"/>
      <c r="K106" s="318"/>
      <c r="L106" s="318"/>
      <c r="M106" s="319"/>
      <c r="N106" s="317"/>
      <c r="O106" s="318"/>
      <c r="P106" s="318"/>
      <c r="Q106" s="319"/>
      <c r="R106" s="317"/>
      <c r="S106" s="318"/>
      <c r="T106" s="318"/>
      <c r="U106" s="319"/>
      <c r="V106" s="320"/>
      <c r="W106" s="318"/>
      <c r="X106" s="318"/>
      <c r="Y106" s="321"/>
      <c r="Z106" s="317"/>
      <c r="AA106" s="318"/>
      <c r="AB106" s="318"/>
      <c r="AC106" s="319"/>
      <c r="AD106" s="317"/>
      <c r="AE106" s="318"/>
      <c r="AF106" s="318"/>
      <c r="AG106" s="319"/>
      <c r="AH106" s="317"/>
      <c r="AI106" s="318"/>
      <c r="AJ106" s="318"/>
      <c r="AK106" s="319"/>
      <c r="AL106" s="317"/>
      <c r="AM106" s="318"/>
      <c r="AN106" s="318"/>
      <c r="AO106" s="319"/>
      <c r="AP106" s="317"/>
      <c r="AQ106" s="318"/>
      <c r="AR106" s="318"/>
      <c r="AS106" s="319"/>
      <c r="AT106" s="322"/>
      <c r="AU106" s="323"/>
      <c r="AV106" s="323"/>
      <c r="AW106" s="324"/>
      <c r="AX106" s="322"/>
      <c r="AY106" s="323"/>
      <c r="AZ106" s="323"/>
      <c r="BA106" s="324"/>
      <c r="BB106" s="322"/>
      <c r="BC106" s="323"/>
      <c r="BD106" s="323"/>
      <c r="BE106" s="324"/>
    </row>
    <row r="107" spans="1:57" s="303" customFormat="1" ht="26.25" customHeight="1" x14ac:dyDescent="0.3">
      <c r="A107" s="316"/>
      <c r="B107" s="316"/>
      <c r="C107" s="316"/>
      <c r="D107" s="316"/>
      <c r="E107" s="316"/>
      <c r="F107" s="317"/>
      <c r="G107" s="318"/>
      <c r="H107" s="318"/>
      <c r="I107" s="319"/>
      <c r="J107" s="317"/>
      <c r="K107" s="318"/>
      <c r="L107" s="318"/>
      <c r="M107" s="319"/>
      <c r="N107" s="317"/>
      <c r="O107" s="318"/>
      <c r="P107" s="318"/>
      <c r="Q107" s="319"/>
      <c r="R107" s="317"/>
      <c r="S107" s="318"/>
      <c r="T107" s="318"/>
      <c r="U107" s="319"/>
      <c r="V107" s="320"/>
      <c r="W107" s="318"/>
      <c r="X107" s="318"/>
      <c r="Y107" s="321"/>
      <c r="Z107" s="317"/>
      <c r="AA107" s="318"/>
      <c r="AB107" s="318"/>
      <c r="AC107" s="319"/>
      <c r="AD107" s="317"/>
      <c r="AE107" s="318"/>
      <c r="AF107" s="318"/>
      <c r="AG107" s="319"/>
      <c r="AH107" s="317"/>
      <c r="AI107" s="318"/>
      <c r="AJ107" s="318"/>
      <c r="AK107" s="319"/>
      <c r="AL107" s="317"/>
      <c r="AM107" s="318"/>
      <c r="AN107" s="318"/>
      <c r="AO107" s="319"/>
      <c r="AP107" s="317"/>
      <c r="AQ107" s="318"/>
      <c r="AR107" s="318"/>
      <c r="AS107" s="319"/>
      <c r="AT107" s="322"/>
      <c r="AU107" s="323"/>
      <c r="AV107" s="323"/>
      <c r="AW107" s="324"/>
      <c r="AX107" s="322"/>
      <c r="AY107" s="323"/>
      <c r="AZ107" s="323"/>
      <c r="BA107" s="324"/>
      <c r="BB107" s="322"/>
      <c r="BC107" s="323"/>
      <c r="BD107" s="323"/>
      <c r="BE107" s="324"/>
    </row>
    <row r="108" spans="1:57" s="303" customFormat="1" ht="26.25" customHeight="1" x14ac:dyDescent="0.3">
      <c r="A108" s="316"/>
      <c r="B108" s="316"/>
      <c r="C108" s="316"/>
      <c r="D108" s="316"/>
      <c r="E108" s="316"/>
      <c r="F108" s="317"/>
      <c r="G108" s="318"/>
      <c r="H108" s="318"/>
      <c r="I108" s="319"/>
      <c r="J108" s="317"/>
      <c r="K108" s="318"/>
      <c r="L108" s="318"/>
      <c r="M108" s="319"/>
      <c r="N108" s="317"/>
      <c r="O108" s="318"/>
      <c r="P108" s="318"/>
      <c r="Q108" s="319"/>
      <c r="R108" s="317"/>
      <c r="S108" s="318"/>
      <c r="T108" s="318"/>
      <c r="U108" s="319"/>
      <c r="V108" s="320"/>
      <c r="W108" s="318"/>
      <c r="X108" s="318"/>
      <c r="Y108" s="321"/>
      <c r="Z108" s="317"/>
      <c r="AA108" s="318"/>
      <c r="AB108" s="318"/>
      <c r="AC108" s="319"/>
      <c r="AD108" s="317"/>
      <c r="AE108" s="318"/>
      <c r="AF108" s="318"/>
      <c r="AG108" s="319"/>
      <c r="AH108" s="317"/>
      <c r="AI108" s="318"/>
      <c r="AJ108" s="318"/>
      <c r="AK108" s="319"/>
      <c r="AL108" s="317"/>
      <c r="AM108" s="318"/>
      <c r="AN108" s="318"/>
      <c r="AO108" s="319"/>
      <c r="AP108" s="317"/>
      <c r="AQ108" s="318"/>
      <c r="AR108" s="318"/>
      <c r="AS108" s="319"/>
      <c r="AT108" s="322"/>
      <c r="AU108" s="323"/>
      <c r="AV108" s="323"/>
      <c r="AW108" s="324"/>
      <c r="AX108" s="322"/>
      <c r="AY108" s="323"/>
      <c r="AZ108" s="323"/>
      <c r="BA108" s="324"/>
      <c r="BB108" s="322"/>
      <c r="BC108" s="323"/>
      <c r="BD108" s="323"/>
      <c r="BE108" s="324"/>
    </row>
    <row r="109" spans="1:57" s="303" customFormat="1" ht="26.25" customHeight="1" x14ac:dyDescent="0.3">
      <c r="A109" s="316"/>
      <c r="B109" s="316"/>
      <c r="C109" s="316"/>
      <c r="D109" s="316"/>
      <c r="E109" s="316"/>
      <c r="F109" s="317"/>
      <c r="G109" s="318"/>
      <c r="H109" s="318"/>
      <c r="I109" s="319"/>
      <c r="J109" s="317"/>
      <c r="K109" s="318"/>
      <c r="L109" s="318"/>
      <c r="M109" s="319"/>
      <c r="N109" s="317"/>
      <c r="O109" s="318"/>
      <c r="P109" s="318"/>
      <c r="Q109" s="319"/>
      <c r="R109" s="317"/>
      <c r="S109" s="318"/>
      <c r="T109" s="318"/>
      <c r="U109" s="319"/>
      <c r="V109" s="320"/>
      <c r="W109" s="318"/>
      <c r="X109" s="318"/>
      <c r="Y109" s="321"/>
      <c r="Z109" s="317"/>
      <c r="AA109" s="318"/>
      <c r="AB109" s="318"/>
      <c r="AC109" s="319"/>
      <c r="AD109" s="317"/>
      <c r="AE109" s="318"/>
      <c r="AF109" s="318"/>
      <c r="AG109" s="319"/>
      <c r="AH109" s="317"/>
      <c r="AI109" s="318"/>
      <c r="AJ109" s="318"/>
      <c r="AK109" s="319"/>
      <c r="AL109" s="317"/>
      <c r="AM109" s="318"/>
      <c r="AN109" s="318"/>
      <c r="AO109" s="319"/>
      <c r="AP109" s="317"/>
      <c r="AQ109" s="318"/>
      <c r="AR109" s="318"/>
      <c r="AS109" s="319"/>
      <c r="AT109" s="322"/>
      <c r="AU109" s="323"/>
      <c r="AV109" s="323"/>
      <c r="AW109" s="324"/>
      <c r="AX109" s="322"/>
      <c r="AY109" s="323"/>
      <c r="AZ109" s="323"/>
      <c r="BA109" s="324"/>
      <c r="BB109" s="322"/>
      <c r="BC109" s="323"/>
      <c r="BD109" s="323"/>
      <c r="BE109" s="324"/>
    </row>
    <row r="110" spans="1:57" s="303" customFormat="1" ht="26.25" customHeight="1" x14ac:dyDescent="0.3">
      <c r="A110" s="316"/>
      <c r="B110" s="316"/>
      <c r="C110" s="316"/>
      <c r="D110" s="316"/>
      <c r="E110" s="316"/>
      <c r="F110" s="317"/>
      <c r="G110" s="318"/>
      <c r="H110" s="318"/>
      <c r="I110" s="319"/>
      <c r="J110" s="317"/>
      <c r="K110" s="318"/>
      <c r="L110" s="318"/>
      <c r="M110" s="319"/>
      <c r="N110" s="317"/>
      <c r="O110" s="318"/>
      <c r="P110" s="318"/>
      <c r="Q110" s="319"/>
      <c r="R110" s="317"/>
      <c r="S110" s="318"/>
      <c r="T110" s="318"/>
      <c r="U110" s="319"/>
      <c r="V110" s="320"/>
      <c r="W110" s="318"/>
      <c r="X110" s="318"/>
      <c r="Y110" s="321"/>
      <c r="Z110" s="317"/>
      <c r="AA110" s="318"/>
      <c r="AB110" s="318"/>
      <c r="AC110" s="319"/>
      <c r="AD110" s="317"/>
      <c r="AE110" s="318"/>
      <c r="AF110" s="318"/>
      <c r="AG110" s="319"/>
      <c r="AH110" s="317"/>
      <c r="AI110" s="318"/>
      <c r="AJ110" s="318"/>
      <c r="AK110" s="319"/>
      <c r="AL110" s="317"/>
      <c r="AM110" s="318"/>
      <c r="AN110" s="318"/>
      <c r="AO110" s="319"/>
      <c r="AP110" s="317"/>
      <c r="AQ110" s="318"/>
      <c r="AR110" s="318"/>
      <c r="AS110" s="319"/>
      <c r="AT110" s="322"/>
      <c r="AU110" s="323"/>
      <c r="AV110" s="323"/>
      <c r="AW110" s="324"/>
      <c r="AX110" s="322"/>
      <c r="AY110" s="323"/>
      <c r="AZ110" s="323"/>
      <c r="BA110" s="324"/>
      <c r="BB110" s="322"/>
      <c r="BC110" s="323"/>
      <c r="BD110" s="323"/>
      <c r="BE110" s="324"/>
    </row>
    <row r="111" spans="1:57" s="303" customFormat="1" ht="26.25" customHeight="1" x14ac:dyDescent="0.3">
      <c r="A111" s="316"/>
      <c r="B111" s="316"/>
      <c r="C111" s="316"/>
      <c r="D111" s="316"/>
      <c r="E111" s="316"/>
      <c r="F111" s="317"/>
      <c r="G111" s="318"/>
      <c r="H111" s="318"/>
      <c r="I111" s="319"/>
      <c r="J111" s="317"/>
      <c r="K111" s="318"/>
      <c r="L111" s="318"/>
      <c r="M111" s="319"/>
      <c r="N111" s="317"/>
      <c r="O111" s="318"/>
      <c r="P111" s="318"/>
      <c r="Q111" s="319"/>
      <c r="R111" s="317"/>
      <c r="S111" s="318"/>
      <c r="T111" s="318"/>
      <c r="U111" s="319"/>
      <c r="V111" s="320"/>
      <c r="W111" s="318"/>
      <c r="X111" s="318"/>
      <c r="Y111" s="321"/>
      <c r="Z111" s="317"/>
      <c r="AA111" s="318"/>
      <c r="AB111" s="318"/>
      <c r="AC111" s="319"/>
      <c r="AD111" s="317"/>
      <c r="AE111" s="318"/>
      <c r="AF111" s="318"/>
      <c r="AG111" s="319"/>
      <c r="AH111" s="317"/>
      <c r="AI111" s="318"/>
      <c r="AJ111" s="318"/>
      <c r="AK111" s="319"/>
      <c r="AL111" s="317"/>
      <c r="AM111" s="318"/>
      <c r="AN111" s="318"/>
      <c r="AO111" s="319"/>
      <c r="AP111" s="317"/>
      <c r="AQ111" s="318"/>
      <c r="AR111" s="318"/>
      <c r="AS111" s="319"/>
      <c r="AT111" s="322"/>
      <c r="AU111" s="323"/>
      <c r="AV111" s="323"/>
      <c r="AW111" s="324"/>
      <c r="AX111" s="322"/>
      <c r="AY111" s="323"/>
      <c r="AZ111" s="323"/>
      <c r="BA111" s="324"/>
      <c r="BB111" s="322"/>
      <c r="BC111" s="323"/>
      <c r="BD111" s="323"/>
      <c r="BE111" s="324"/>
    </row>
    <row r="112" spans="1:57" s="303" customFormat="1" ht="26.25" customHeight="1" x14ac:dyDescent="0.3">
      <c r="A112" s="316"/>
      <c r="B112" s="316"/>
      <c r="C112" s="316"/>
      <c r="D112" s="316"/>
      <c r="E112" s="316"/>
      <c r="F112" s="317"/>
      <c r="G112" s="318"/>
      <c r="H112" s="318"/>
      <c r="I112" s="319"/>
      <c r="J112" s="317"/>
      <c r="K112" s="318"/>
      <c r="L112" s="318"/>
      <c r="M112" s="319"/>
      <c r="N112" s="317"/>
      <c r="O112" s="318"/>
      <c r="P112" s="318"/>
      <c r="Q112" s="319"/>
      <c r="R112" s="317"/>
      <c r="S112" s="318"/>
      <c r="T112" s="318"/>
      <c r="U112" s="319"/>
      <c r="V112" s="320"/>
      <c r="W112" s="318"/>
      <c r="X112" s="318"/>
      <c r="Y112" s="321"/>
      <c r="Z112" s="317"/>
      <c r="AA112" s="318"/>
      <c r="AB112" s="318"/>
      <c r="AC112" s="319"/>
      <c r="AD112" s="317"/>
      <c r="AE112" s="318"/>
      <c r="AF112" s="318"/>
      <c r="AG112" s="319"/>
      <c r="AH112" s="317"/>
      <c r="AI112" s="318"/>
      <c r="AJ112" s="318"/>
      <c r="AK112" s="319"/>
      <c r="AL112" s="317"/>
      <c r="AM112" s="318"/>
      <c r="AN112" s="318"/>
      <c r="AO112" s="319"/>
      <c r="AP112" s="317"/>
      <c r="AQ112" s="318"/>
      <c r="AR112" s="318"/>
      <c r="AS112" s="319"/>
      <c r="AT112" s="322"/>
      <c r="AU112" s="323"/>
      <c r="AV112" s="323"/>
      <c r="AW112" s="324"/>
      <c r="AX112" s="322"/>
      <c r="AY112" s="323"/>
      <c r="AZ112" s="323"/>
      <c r="BA112" s="324"/>
      <c r="BB112" s="322"/>
      <c r="BC112" s="323"/>
      <c r="BD112" s="323"/>
      <c r="BE112" s="324"/>
    </row>
    <row r="113" spans="1:57" s="303" customFormat="1" ht="26.25" customHeight="1" x14ac:dyDescent="0.3">
      <c r="A113" s="316"/>
      <c r="B113" s="316"/>
      <c r="C113" s="325"/>
      <c r="D113" s="316"/>
      <c r="E113" s="316"/>
      <c r="F113" s="317"/>
      <c r="G113" s="318"/>
      <c r="H113" s="318"/>
      <c r="I113" s="319"/>
      <c r="J113" s="317"/>
      <c r="K113" s="318"/>
      <c r="L113" s="318"/>
      <c r="M113" s="319"/>
      <c r="N113" s="317"/>
      <c r="O113" s="318"/>
      <c r="P113" s="318"/>
      <c r="Q113" s="319"/>
      <c r="R113" s="317"/>
      <c r="S113" s="318"/>
      <c r="T113" s="318"/>
      <c r="U113" s="319"/>
      <c r="V113" s="320"/>
      <c r="W113" s="318"/>
      <c r="X113" s="318"/>
      <c r="Y113" s="321"/>
      <c r="Z113" s="317"/>
      <c r="AA113" s="318"/>
      <c r="AB113" s="318"/>
      <c r="AC113" s="319"/>
      <c r="AD113" s="317"/>
      <c r="AE113" s="318"/>
      <c r="AF113" s="318"/>
      <c r="AG113" s="319"/>
      <c r="AH113" s="317"/>
      <c r="AI113" s="318"/>
      <c r="AJ113" s="318"/>
      <c r="AK113" s="319"/>
      <c r="AL113" s="317"/>
      <c r="AM113" s="318"/>
      <c r="AN113" s="318"/>
      <c r="AO113" s="319"/>
      <c r="AP113" s="317"/>
      <c r="AQ113" s="318"/>
      <c r="AR113" s="318"/>
      <c r="AS113" s="319"/>
      <c r="AT113" s="322"/>
      <c r="AU113" s="323"/>
      <c r="AV113" s="323"/>
      <c r="AW113" s="324"/>
      <c r="AX113" s="322"/>
      <c r="AY113" s="323"/>
      <c r="AZ113" s="323"/>
      <c r="BA113" s="324"/>
      <c r="BB113" s="322"/>
      <c r="BC113" s="323"/>
      <c r="BD113" s="323"/>
      <c r="BE113" s="324"/>
    </row>
    <row r="114" spans="1:57" s="303" customFormat="1" ht="26.25" customHeight="1" x14ac:dyDescent="0.3">
      <c r="A114" s="316"/>
      <c r="B114" s="316"/>
      <c r="C114" s="325"/>
      <c r="D114" s="316"/>
      <c r="E114" s="316"/>
      <c r="F114" s="317"/>
      <c r="G114" s="318"/>
      <c r="H114" s="318"/>
      <c r="I114" s="319"/>
      <c r="J114" s="317"/>
      <c r="K114" s="318"/>
      <c r="L114" s="318"/>
      <c r="M114" s="319"/>
      <c r="N114" s="317"/>
      <c r="O114" s="318"/>
      <c r="P114" s="318"/>
      <c r="Q114" s="319"/>
      <c r="R114" s="317"/>
      <c r="S114" s="318"/>
      <c r="T114" s="318"/>
      <c r="U114" s="319"/>
      <c r="V114" s="320"/>
      <c r="W114" s="318"/>
      <c r="X114" s="318"/>
      <c r="Y114" s="321"/>
      <c r="Z114" s="317"/>
      <c r="AA114" s="318"/>
      <c r="AB114" s="318"/>
      <c r="AC114" s="319"/>
      <c r="AD114" s="317"/>
      <c r="AE114" s="318"/>
      <c r="AF114" s="318"/>
      <c r="AG114" s="319"/>
      <c r="AH114" s="317"/>
      <c r="AI114" s="318"/>
      <c r="AJ114" s="318"/>
      <c r="AK114" s="319"/>
      <c r="AL114" s="317"/>
      <c r="AM114" s="318"/>
      <c r="AN114" s="318"/>
      <c r="AO114" s="319"/>
      <c r="AP114" s="317"/>
      <c r="AQ114" s="318"/>
      <c r="AR114" s="318"/>
      <c r="AS114" s="319"/>
      <c r="AT114" s="322"/>
      <c r="AU114" s="323"/>
      <c r="AV114" s="323"/>
      <c r="AW114" s="324"/>
      <c r="AX114" s="322"/>
      <c r="AY114" s="323"/>
      <c r="AZ114" s="323"/>
      <c r="BA114" s="324"/>
      <c r="BB114" s="322"/>
      <c r="BC114" s="323"/>
      <c r="BD114" s="323"/>
      <c r="BE114" s="324"/>
    </row>
    <row r="115" spans="1:57" s="303" customFormat="1" ht="26.25" customHeight="1" x14ac:dyDescent="0.3">
      <c r="A115" s="316"/>
      <c r="B115" s="316"/>
      <c r="C115" s="316"/>
      <c r="D115" s="316"/>
      <c r="E115" s="316"/>
      <c r="F115" s="317"/>
      <c r="G115" s="318"/>
      <c r="H115" s="318"/>
      <c r="I115" s="319"/>
      <c r="J115" s="317"/>
      <c r="K115" s="318"/>
      <c r="L115" s="318"/>
      <c r="M115" s="319"/>
      <c r="N115" s="317"/>
      <c r="O115" s="318"/>
      <c r="P115" s="318"/>
      <c r="Q115" s="319"/>
      <c r="R115" s="317"/>
      <c r="S115" s="318"/>
      <c r="T115" s="318"/>
      <c r="U115" s="319"/>
      <c r="V115" s="320"/>
      <c r="W115" s="318"/>
      <c r="X115" s="318"/>
      <c r="Y115" s="321"/>
      <c r="Z115" s="317"/>
      <c r="AA115" s="318"/>
      <c r="AB115" s="318"/>
      <c r="AC115" s="319"/>
      <c r="AD115" s="317"/>
      <c r="AE115" s="318"/>
      <c r="AF115" s="318"/>
      <c r="AG115" s="319"/>
      <c r="AH115" s="317"/>
      <c r="AI115" s="318"/>
      <c r="AJ115" s="318"/>
      <c r="AK115" s="319"/>
      <c r="AL115" s="317"/>
      <c r="AM115" s="318"/>
      <c r="AN115" s="318"/>
      <c r="AO115" s="319"/>
      <c r="AP115" s="317"/>
      <c r="AQ115" s="318"/>
      <c r="AR115" s="318"/>
      <c r="AS115" s="319"/>
      <c r="AT115" s="322"/>
      <c r="AU115" s="323"/>
      <c r="AV115" s="323"/>
      <c r="AW115" s="324"/>
      <c r="AX115" s="322"/>
      <c r="AY115" s="323"/>
      <c r="AZ115" s="323"/>
      <c r="BA115" s="324"/>
      <c r="BB115" s="322"/>
      <c r="BC115" s="323"/>
      <c r="BD115" s="323"/>
      <c r="BE115" s="324"/>
    </row>
    <row r="116" spans="1:57" s="303" customFormat="1" ht="26.25" customHeight="1" x14ac:dyDescent="0.3">
      <c r="A116" s="316"/>
      <c r="B116" s="316"/>
      <c r="C116" s="316"/>
      <c r="D116" s="316"/>
      <c r="E116" s="316"/>
      <c r="F116" s="317"/>
      <c r="G116" s="318"/>
      <c r="H116" s="318"/>
      <c r="I116" s="319"/>
      <c r="J116" s="317"/>
      <c r="K116" s="318"/>
      <c r="L116" s="318"/>
      <c r="M116" s="319"/>
      <c r="N116" s="317"/>
      <c r="O116" s="318"/>
      <c r="P116" s="318"/>
      <c r="Q116" s="319"/>
      <c r="R116" s="317"/>
      <c r="S116" s="318"/>
      <c r="T116" s="318"/>
      <c r="U116" s="319"/>
      <c r="V116" s="320"/>
      <c r="W116" s="318"/>
      <c r="X116" s="318"/>
      <c r="Y116" s="321"/>
      <c r="Z116" s="317"/>
      <c r="AA116" s="318"/>
      <c r="AB116" s="318"/>
      <c r="AC116" s="319"/>
      <c r="AD116" s="317"/>
      <c r="AE116" s="318"/>
      <c r="AF116" s="318"/>
      <c r="AG116" s="319"/>
      <c r="AH116" s="317"/>
      <c r="AI116" s="318"/>
      <c r="AJ116" s="318"/>
      <c r="AK116" s="319"/>
      <c r="AL116" s="317"/>
      <c r="AM116" s="318"/>
      <c r="AN116" s="318"/>
      <c r="AO116" s="319"/>
      <c r="AP116" s="317"/>
      <c r="AQ116" s="318"/>
      <c r="AR116" s="318"/>
      <c r="AS116" s="319"/>
      <c r="AT116" s="322"/>
      <c r="AU116" s="323"/>
      <c r="AV116" s="323"/>
      <c r="AW116" s="324"/>
      <c r="AX116" s="322"/>
      <c r="AY116" s="323"/>
      <c r="AZ116" s="323"/>
      <c r="BA116" s="324"/>
      <c r="BB116" s="322"/>
      <c r="BC116" s="323"/>
      <c r="BD116" s="323"/>
      <c r="BE116" s="324"/>
    </row>
    <row r="117" spans="1:57" s="303" customFormat="1" ht="26.25" customHeight="1" x14ac:dyDescent="0.3">
      <c r="A117" s="316"/>
      <c r="B117" s="316"/>
      <c r="C117" s="316"/>
      <c r="D117" s="316"/>
      <c r="E117" s="316"/>
      <c r="F117" s="317"/>
      <c r="G117" s="318"/>
      <c r="H117" s="318"/>
      <c r="I117" s="319"/>
      <c r="J117" s="317"/>
      <c r="K117" s="318"/>
      <c r="L117" s="318"/>
      <c r="M117" s="319"/>
      <c r="N117" s="317"/>
      <c r="O117" s="318"/>
      <c r="P117" s="318"/>
      <c r="Q117" s="319"/>
      <c r="R117" s="317"/>
      <c r="S117" s="318"/>
      <c r="T117" s="318"/>
      <c r="U117" s="319"/>
      <c r="V117" s="320"/>
      <c r="W117" s="318"/>
      <c r="X117" s="318"/>
      <c r="Y117" s="321"/>
      <c r="Z117" s="317"/>
      <c r="AA117" s="318"/>
      <c r="AB117" s="318"/>
      <c r="AC117" s="319"/>
      <c r="AD117" s="317"/>
      <c r="AE117" s="318"/>
      <c r="AF117" s="318"/>
      <c r="AG117" s="319"/>
      <c r="AH117" s="317"/>
      <c r="AI117" s="318"/>
      <c r="AJ117" s="318"/>
      <c r="AK117" s="319"/>
      <c r="AL117" s="317"/>
      <c r="AM117" s="318"/>
      <c r="AN117" s="318"/>
      <c r="AO117" s="319"/>
      <c r="AP117" s="317"/>
      <c r="AQ117" s="318"/>
      <c r="AR117" s="318"/>
      <c r="AS117" s="319"/>
      <c r="AT117" s="322"/>
      <c r="AU117" s="323"/>
      <c r="AV117" s="323"/>
      <c r="AW117" s="324"/>
      <c r="AX117" s="322"/>
      <c r="AY117" s="323"/>
      <c r="AZ117" s="323"/>
      <c r="BA117" s="324"/>
      <c r="BB117" s="322"/>
      <c r="BC117" s="323"/>
      <c r="BD117" s="323"/>
      <c r="BE117" s="324"/>
    </row>
    <row r="118" spans="1:57" s="303" customFormat="1" ht="26.25" customHeight="1" x14ac:dyDescent="0.3">
      <c r="A118" s="316"/>
      <c r="B118" s="316"/>
      <c r="C118" s="316"/>
      <c r="D118" s="316"/>
      <c r="E118" s="316"/>
      <c r="F118" s="317"/>
      <c r="G118" s="318"/>
      <c r="H118" s="318"/>
      <c r="I118" s="319"/>
      <c r="J118" s="317"/>
      <c r="K118" s="318"/>
      <c r="L118" s="318"/>
      <c r="M118" s="319"/>
      <c r="N118" s="317"/>
      <c r="O118" s="318"/>
      <c r="P118" s="318"/>
      <c r="Q118" s="319"/>
      <c r="R118" s="317"/>
      <c r="S118" s="318"/>
      <c r="T118" s="318"/>
      <c r="U118" s="319"/>
      <c r="V118" s="320"/>
      <c r="W118" s="318"/>
      <c r="X118" s="318"/>
      <c r="Y118" s="321"/>
      <c r="Z118" s="317"/>
      <c r="AA118" s="318"/>
      <c r="AB118" s="318"/>
      <c r="AC118" s="319"/>
      <c r="AD118" s="317"/>
      <c r="AE118" s="318"/>
      <c r="AF118" s="318"/>
      <c r="AG118" s="319"/>
      <c r="AH118" s="317"/>
      <c r="AI118" s="318"/>
      <c r="AJ118" s="318"/>
      <c r="AK118" s="319"/>
      <c r="AL118" s="317"/>
      <c r="AM118" s="318"/>
      <c r="AN118" s="318"/>
      <c r="AO118" s="319"/>
      <c r="AP118" s="317"/>
      <c r="AQ118" s="318"/>
      <c r="AR118" s="318"/>
      <c r="AS118" s="319"/>
      <c r="AT118" s="322"/>
      <c r="AU118" s="323"/>
      <c r="AV118" s="323"/>
      <c r="AW118" s="324"/>
      <c r="AX118" s="322"/>
      <c r="AY118" s="323"/>
      <c r="AZ118" s="323"/>
      <c r="BA118" s="324"/>
      <c r="BB118" s="322"/>
      <c r="BC118" s="323"/>
      <c r="BD118" s="323"/>
      <c r="BE118" s="324"/>
    </row>
    <row r="119" spans="1:57" s="303" customFormat="1" ht="26.25" customHeight="1" x14ac:dyDescent="0.3">
      <c r="A119" s="316"/>
      <c r="B119" s="316"/>
      <c r="C119" s="316"/>
      <c r="D119" s="316"/>
      <c r="E119" s="316"/>
      <c r="F119" s="317"/>
      <c r="G119" s="318"/>
      <c r="H119" s="318"/>
      <c r="I119" s="319"/>
      <c r="J119" s="317"/>
      <c r="K119" s="318"/>
      <c r="L119" s="318"/>
      <c r="M119" s="319"/>
      <c r="N119" s="317"/>
      <c r="O119" s="318"/>
      <c r="P119" s="318"/>
      <c r="Q119" s="319"/>
      <c r="R119" s="317"/>
      <c r="S119" s="318"/>
      <c r="T119" s="318"/>
      <c r="U119" s="319"/>
      <c r="V119" s="320"/>
      <c r="W119" s="318"/>
      <c r="X119" s="318"/>
      <c r="Y119" s="321"/>
      <c r="Z119" s="317"/>
      <c r="AA119" s="318"/>
      <c r="AB119" s="318"/>
      <c r="AC119" s="319"/>
      <c r="AD119" s="317"/>
      <c r="AE119" s="318"/>
      <c r="AF119" s="318"/>
      <c r="AG119" s="319"/>
      <c r="AH119" s="317"/>
      <c r="AI119" s="318"/>
      <c r="AJ119" s="318"/>
      <c r="AK119" s="319"/>
      <c r="AL119" s="317"/>
      <c r="AM119" s="318"/>
      <c r="AN119" s="318"/>
      <c r="AO119" s="319"/>
      <c r="AP119" s="317"/>
      <c r="AQ119" s="318"/>
      <c r="AR119" s="318"/>
      <c r="AS119" s="319"/>
      <c r="AT119" s="322"/>
      <c r="AU119" s="323"/>
      <c r="AV119" s="323"/>
      <c r="AW119" s="324"/>
      <c r="AX119" s="322"/>
      <c r="AY119" s="323"/>
      <c r="AZ119" s="323"/>
      <c r="BA119" s="324"/>
      <c r="BB119" s="322"/>
      <c r="BC119" s="323"/>
      <c r="BD119" s="323"/>
      <c r="BE119" s="324"/>
    </row>
    <row r="120" spans="1:57" s="303" customFormat="1" ht="26.25" customHeight="1" x14ac:dyDescent="0.3">
      <c r="A120" s="316"/>
      <c r="B120" s="316"/>
      <c r="C120" s="316"/>
      <c r="D120" s="316"/>
      <c r="E120" s="316"/>
      <c r="F120" s="317"/>
      <c r="G120" s="318"/>
      <c r="H120" s="318"/>
      <c r="I120" s="319"/>
      <c r="J120" s="317"/>
      <c r="K120" s="318"/>
      <c r="L120" s="318"/>
      <c r="M120" s="319"/>
      <c r="N120" s="317"/>
      <c r="O120" s="318"/>
      <c r="P120" s="318"/>
      <c r="Q120" s="319"/>
      <c r="R120" s="317"/>
      <c r="S120" s="318"/>
      <c r="T120" s="318"/>
      <c r="U120" s="319"/>
      <c r="V120" s="320"/>
      <c r="W120" s="318"/>
      <c r="X120" s="318"/>
      <c r="Y120" s="321"/>
      <c r="Z120" s="317"/>
      <c r="AA120" s="318"/>
      <c r="AB120" s="318"/>
      <c r="AC120" s="319"/>
      <c r="AD120" s="317"/>
      <c r="AE120" s="318"/>
      <c r="AF120" s="318"/>
      <c r="AG120" s="319"/>
      <c r="AH120" s="317"/>
      <c r="AI120" s="318"/>
      <c r="AJ120" s="318"/>
      <c r="AK120" s="319"/>
      <c r="AL120" s="317"/>
      <c r="AM120" s="318"/>
      <c r="AN120" s="318"/>
      <c r="AO120" s="319"/>
      <c r="AP120" s="317"/>
      <c r="AQ120" s="318"/>
      <c r="AR120" s="318"/>
      <c r="AS120" s="319"/>
      <c r="AT120" s="322"/>
      <c r="AU120" s="323"/>
      <c r="AV120" s="323"/>
      <c r="AW120" s="324"/>
      <c r="AX120" s="322"/>
      <c r="AY120" s="323"/>
      <c r="AZ120" s="323"/>
      <c r="BA120" s="324"/>
      <c r="BB120" s="322"/>
      <c r="BC120" s="323"/>
      <c r="BD120" s="323"/>
      <c r="BE120" s="324"/>
    </row>
    <row r="121" spans="1:57" s="303" customFormat="1" ht="26.25" customHeight="1" x14ac:dyDescent="0.3">
      <c r="A121" s="316"/>
      <c r="B121" s="316"/>
      <c r="C121" s="316"/>
      <c r="D121" s="316"/>
      <c r="E121" s="316"/>
      <c r="F121" s="317"/>
      <c r="G121" s="318"/>
      <c r="H121" s="318"/>
      <c r="I121" s="319"/>
      <c r="J121" s="317"/>
      <c r="K121" s="318"/>
      <c r="L121" s="318"/>
      <c r="M121" s="319"/>
      <c r="N121" s="317"/>
      <c r="O121" s="318"/>
      <c r="P121" s="318"/>
      <c r="Q121" s="319"/>
      <c r="R121" s="317"/>
      <c r="S121" s="318"/>
      <c r="T121" s="318"/>
      <c r="U121" s="319"/>
      <c r="V121" s="320"/>
      <c r="W121" s="318"/>
      <c r="X121" s="318"/>
      <c r="Y121" s="321"/>
      <c r="Z121" s="317"/>
      <c r="AA121" s="318"/>
      <c r="AB121" s="318"/>
      <c r="AC121" s="319"/>
      <c r="AD121" s="317"/>
      <c r="AE121" s="318"/>
      <c r="AF121" s="318"/>
      <c r="AG121" s="319"/>
      <c r="AH121" s="317"/>
      <c r="AI121" s="318"/>
      <c r="AJ121" s="318"/>
      <c r="AK121" s="319"/>
      <c r="AL121" s="317"/>
      <c r="AM121" s="318"/>
      <c r="AN121" s="318"/>
      <c r="AO121" s="319"/>
      <c r="AP121" s="317"/>
      <c r="AQ121" s="318"/>
      <c r="AR121" s="318"/>
      <c r="AS121" s="319"/>
      <c r="AT121" s="322"/>
      <c r="AU121" s="323"/>
      <c r="AV121" s="323"/>
      <c r="AW121" s="324"/>
      <c r="AX121" s="322"/>
      <c r="AY121" s="323"/>
      <c r="AZ121" s="323"/>
      <c r="BA121" s="324"/>
      <c r="BB121" s="322"/>
      <c r="BC121" s="323"/>
      <c r="BD121" s="323"/>
      <c r="BE121" s="324"/>
    </row>
    <row r="122" spans="1:57" s="303" customFormat="1" ht="26.25" customHeight="1" x14ac:dyDescent="0.3">
      <c r="A122" s="316"/>
      <c r="B122" s="316"/>
      <c r="C122" s="316"/>
      <c r="D122" s="316"/>
      <c r="E122" s="316"/>
      <c r="F122" s="317"/>
      <c r="G122" s="318"/>
      <c r="H122" s="318"/>
      <c r="I122" s="319"/>
      <c r="J122" s="317"/>
      <c r="K122" s="318"/>
      <c r="L122" s="318"/>
      <c r="M122" s="319"/>
      <c r="N122" s="317"/>
      <c r="O122" s="318"/>
      <c r="P122" s="318"/>
      <c r="Q122" s="319"/>
      <c r="R122" s="317"/>
      <c r="S122" s="318"/>
      <c r="T122" s="318"/>
      <c r="U122" s="319"/>
      <c r="V122" s="320"/>
      <c r="W122" s="318"/>
      <c r="X122" s="318"/>
      <c r="Y122" s="321"/>
      <c r="Z122" s="317"/>
      <c r="AA122" s="318"/>
      <c r="AB122" s="318"/>
      <c r="AC122" s="319"/>
      <c r="AD122" s="317"/>
      <c r="AE122" s="318"/>
      <c r="AF122" s="318"/>
      <c r="AG122" s="319"/>
      <c r="AH122" s="317"/>
      <c r="AI122" s="318"/>
      <c r="AJ122" s="318"/>
      <c r="AK122" s="319"/>
      <c r="AL122" s="317"/>
      <c r="AM122" s="318"/>
      <c r="AN122" s="318"/>
      <c r="AO122" s="319"/>
      <c r="AP122" s="317"/>
      <c r="AQ122" s="318"/>
      <c r="AR122" s="318"/>
      <c r="AS122" s="319"/>
      <c r="AT122" s="322"/>
      <c r="AU122" s="323"/>
      <c r="AV122" s="323"/>
      <c r="AW122" s="324"/>
      <c r="AX122" s="322"/>
      <c r="AY122" s="323"/>
      <c r="AZ122" s="323"/>
      <c r="BA122" s="324"/>
      <c r="BB122" s="322"/>
      <c r="BC122" s="323"/>
      <c r="BD122" s="323"/>
      <c r="BE122" s="324"/>
    </row>
    <row r="123" spans="1:57" s="303" customFormat="1" ht="26.25" customHeight="1" x14ac:dyDescent="0.3">
      <c r="A123" s="316"/>
      <c r="B123" s="316"/>
      <c r="C123" s="316"/>
      <c r="D123" s="316"/>
      <c r="E123" s="316"/>
      <c r="F123" s="317"/>
      <c r="G123" s="318"/>
      <c r="H123" s="318"/>
      <c r="I123" s="319"/>
      <c r="J123" s="317"/>
      <c r="K123" s="318"/>
      <c r="L123" s="318"/>
      <c r="M123" s="319"/>
      <c r="N123" s="317"/>
      <c r="O123" s="318"/>
      <c r="P123" s="318"/>
      <c r="Q123" s="319"/>
      <c r="R123" s="317"/>
      <c r="S123" s="318"/>
      <c r="T123" s="318"/>
      <c r="U123" s="319"/>
      <c r="V123" s="320"/>
      <c r="W123" s="318"/>
      <c r="X123" s="318"/>
      <c r="Y123" s="321"/>
      <c r="Z123" s="317"/>
      <c r="AA123" s="318"/>
      <c r="AB123" s="318"/>
      <c r="AC123" s="319"/>
      <c r="AD123" s="317"/>
      <c r="AE123" s="318"/>
      <c r="AF123" s="318"/>
      <c r="AG123" s="319"/>
      <c r="AH123" s="317"/>
      <c r="AI123" s="318"/>
      <c r="AJ123" s="318"/>
      <c r="AK123" s="319"/>
      <c r="AL123" s="317"/>
      <c r="AM123" s="318"/>
      <c r="AN123" s="318"/>
      <c r="AO123" s="319"/>
      <c r="AP123" s="317"/>
      <c r="AQ123" s="318"/>
      <c r="AR123" s="318"/>
      <c r="AS123" s="319"/>
      <c r="AT123" s="322"/>
      <c r="AU123" s="323"/>
      <c r="AV123" s="323"/>
      <c r="AW123" s="324"/>
      <c r="AX123" s="322"/>
      <c r="AY123" s="323"/>
      <c r="AZ123" s="323"/>
      <c r="BA123" s="324"/>
      <c r="BB123" s="322"/>
      <c r="BC123" s="323"/>
      <c r="BD123" s="323"/>
      <c r="BE123" s="324"/>
    </row>
    <row r="124" spans="1:57" s="303" customFormat="1" ht="26.25" customHeight="1" x14ac:dyDescent="0.3">
      <c r="A124" s="316"/>
      <c r="B124" s="316"/>
      <c r="C124" s="316"/>
      <c r="D124" s="316"/>
      <c r="E124" s="316"/>
      <c r="F124" s="317"/>
      <c r="G124" s="318"/>
      <c r="H124" s="318"/>
      <c r="I124" s="319"/>
      <c r="J124" s="317"/>
      <c r="K124" s="318"/>
      <c r="L124" s="318"/>
      <c r="M124" s="319"/>
      <c r="N124" s="317"/>
      <c r="O124" s="318"/>
      <c r="P124" s="318"/>
      <c r="Q124" s="319"/>
      <c r="R124" s="317"/>
      <c r="S124" s="318"/>
      <c r="T124" s="318"/>
      <c r="U124" s="319"/>
      <c r="V124" s="320"/>
      <c r="W124" s="318"/>
      <c r="X124" s="318"/>
      <c r="Y124" s="321"/>
      <c r="Z124" s="317"/>
      <c r="AA124" s="318"/>
      <c r="AB124" s="318"/>
      <c r="AC124" s="319"/>
      <c r="AD124" s="317"/>
      <c r="AE124" s="318"/>
      <c r="AF124" s="318"/>
      <c r="AG124" s="319"/>
      <c r="AH124" s="317"/>
      <c r="AI124" s="318"/>
      <c r="AJ124" s="318"/>
      <c r="AK124" s="319"/>
      <c r="AL124" s="317"/>
      <c r="AM124" s="318"/>
      <c r="AN124" s="318"/>
      <c r="AO124" s="319"/>
      <c r="AP124" s="317"/>
      <c r="AQ124" s="318"/>
      <c r="AR124" s="318"/>
      <c r="AS124" s="319"/>
      <c r="AT124" s="322"/>
      <c r="AU124" s="323"/>
      <c r="AV124" s="323"/>
      <c r="AW124" s="324"/>
      <c r="AX124" s="322"/>
      <c r="AY124" s="323"/>
      <c r="AZ124" s="323"/>
      <c r="BA124" s="324"/>
      <c r="BB124" s="322"/>
      <c r="BC124" s="323"/>
      <c r="BD124" s="323"/>
      <c r="BE124" s="324"/>
    </row>
    <row r="125" spans="1:57" s="303" customFormat="1" ht="26.25" customHeight="1" x14ac:dyDescent="0.3">
      <c r="A125" s="316"/>
      <c r="B125" s="316"/>
      <c r="C125" s="316"/>
      <c r="D125" s="316"/>
      <c r="E125" s="316"/>
      <c r="F125" s="317"/>
      <c r="G125" s="318"/>
      <c r="H125" s="318"/>
      <c r="I125" s="319"/>
      <c r="J125" s="317"/>
      <c r="K125" s="318"/>
      <c r="L125" s="318"/>
      <c r="M125" s="319"/>
      <c r="N125" s="317"/>
      <c r="O125" s="318"/>
      <c r="P125" s="318"/>
      <c r="Q125" s="319"/>
      <c r="R125" s="317"/>
      <c r="S125" s="318"/>
      <c r="T125" s="318"/>
      <c r="U125" s="319"/>
      <c r="V125" s="320"/>
      <c r="W125" s="318"/>
      <c r="X125" s="318"/>
      <c r="Y125" s="321"/>
      <c r="Z125" s="317"/>
      <c r="AA125" s="318"/>
      <c r="AB125" s="318"/>
      <c r="AC125" s="319"/>
      <c r="AD125" s="317"/>
      <c r="AE125" s="318"/>
      <c r="AF125" s="318"/>
      <c r="AG125" s="319"/>
      <c r="AH125" s="317"/>
      <c r="AI125" s="318"/>
      <c r="AJ125" s="318"/>
      <c r="AK125" s="319"/>
      <c r="AL125" s="317"/>
      <c r="AM125" s="318"/>
      <c r="AN125" s="318"/>
      <c r="AO125" s="319"/>
      <c r="AP125" s="317"/>
      <c r="AQ125" s="318"/>
      <c r="AR125" s="318"/>
      <c r="AS125" s="319"/>
      <c r="AT125" s="322"/>
      <c r="AU125" s="323"/>
      <c r="AV125" s="323"/>
      <c r="AW125" s="324"/>
      <c r="AX125" s="322"/>
      <c r="AY125" s="323"/>
      <c r="AZ125" s="323"/>
      <c r="BA125" s="324"/>
      <c r="BB125" s="322"/>
      <c r="BC125" s="323"/>
      <c r="BD125" s="323"/>
      <c r="BE125" s="324"/>
    </row>
    <row r="126" spans="1:57" s="303" customFormat="1" ht="26.25" customHeight="1" x14ac:dyDescent="0.3">
      <c r="A126" s="316"/>
      <c r="B126" s="316"/>
      <c r="C126" s="316"/>
      <c r="D126" s="316"/>
      <c r="E126" s="316"/>
      <c r="F126" s="317"/>
      <c r="G126" s="318"/>
      <c r="H126" s="318"/>
      <c r="I126" s="319"/>
      <c r="J126" s="317"/>
      <c r="K126" s="318"/>
      <c r="L126" s="318"/>
      <c r="M126" s="319"/>
      <c r="N126" s="317"/>
      <c r="O126" s="318"/>
      <c r="P126" s="318"/>
      <c r="Q126" s="319"/>
      <c r="R126" s="317"/>
      <c r="S126" s="318"/>
      <c r="T126" s="318"/>
      <c r="U126" s="319"/>
      <c r="V126" s="320"/>
      <c r="W126" s="318"/>
      <c r="X126" s="318"/>
      <c r="Y126" s="321"/>
      <c r="Z126" s="317"/>
      <c r="AA126" s="318"/>
      <c r="AB126" s="318"/>
      <c r="AC126" s="319"/>
      <c r="AD126" s="317"/>
      <c r="AE126" s="318"/>
      <c r="AF126" s="318"/>
      <c r="AG126" s="319"/>
      <c r="AH126" s="317"/>
      <c r="AI126" s="318"/>
      <c r="AJ126" s="318"/>
      <c r="AK126" s="319"/>
      <c r="AL126" s="317"/>
      <c r="AM126" s="318"/>
      <c r="AN126" s="318"/>
      <c r="AO126" s="319"/>
      <c r="AP126" s="317"/>
      <c r="AQ126" s="318"/>
      <c r="AR126" s="318"/>
      <c r="AS126" s="319"/>
      <c r="AT126" s="322"/>
      <c r="AU126" s="323"/>
      <c r="AV126" s="323"/>
      <c r="AW126" s="324"/>
      <c r="AX126" s="322"/>
      <c r="AY126" s="323"/>
      <c r="AZ126" s="323"/>
      <c r="BA126" s="324"/>
      <c r="BB126" s="322"/>
      <c r="BC126" s="323"/>
      <c r="BD126" s="323"/>
      <c r="BE126" s="324"/>
    </row>
    <row r="127" spans="1:57" s="303" customFormat="1" ht="26.25" customHeight="1" x14ac:dyDescent="0.3">
      <c r="A127" s="316"/>
      <c r="B127" s="316"/>
      <c r="C127" s="316"/>
      <c r="D127" s="316"/>
      <c r="E127" s="316"/>
      <c r="F127" s="317"/>
      <c r="G127" s="318"/>
      <c r="H127" s="318"/>
      <c r="I127" s="319"/>
      <c r="J127" s="317"/>
      <c r="K127" s="318"/>
      <c r="L127" s="318"/>
      <c r="M127" s="319"/>
      <c r="N127" s="317"/>
      <c r="O127" s="318"/>
      <c r="P127" s="318"/>
      <c r="Q127" s="319"/>
      <c r="R127" s="317"/>
      <c r="S127" s="318"/>
      <c r="T127" s="318"/>
      <c r="U127" s="319"/>
      <c r="V127" s="320"/>
      <c r="W127" s="318"/>
      <c r="X127" s="318"/>
      <c r="Y127" s="321"/>
      <c r="Z127" s="317"/>
      <c r="AA127" s="318"/>
      <c r="AB127" s="318"/>
      <c r="AC127" s="319"/>
      <c r="AD127" s="317"/>
      <c r="AE127" s="318"/>
      <c r="AF127" s="318"/>
      <c r="AG127" s="319"/>
      <c r="AH127" s="317"/>
      <c r="AI127" s="318"/>
      <c r="AJ127" s="318"/>
      <c r="AK127" s="319"/>
      <c r="AL127" s="317"/>
      <c r="AM127" s="318"/>
      <c r="AN127" s="318"/>
      <c r="AO127" s="319"/>
      <c r="AP127" s="317"/>
      <c r="AQ127" s="318"/>
      <c r="AR127" s="318"/>
      <c r="AS127" s="319"/>
      <c r="AT127" s="322"/>
      <c r="AU127" s="323"/>
      <c r="AV127" s="323"/>
      <c r="AW127" s="324"/>
      <c r="AX127" s="322"/>
      <c r="AY127" s="323"/>
      <c r="AZ127" s="323"/>
      <c r="BA127" s="324"/>
      <c r="BB127" s="322"/>
      <c r="BC127" s="323"/>
      <c r="BD127" s="323"/>
      <c r="BE127" s="324"/>
    </row>
    <row r="128" spans="1:57" s="303" customFormat="1" ht="26.25" customHeight="1" x14ac:dyDescent="0.3">
      <c r="A128" s="316"/>
      <c r="B128" s="316"/>
      <c r="C128" s="316"/>
      <c r="D128" s="316"/>
      <c r="E128" s="316"/>
      <c r="F128" s="317"/>
      <c r="G128" s="318"/>
      <c r="H128" s="318"/>
      <c r="I128" s="319"/>
      <c r="J128" s="317"/>
      <c r="K128" s="318"/>
      <c r="L128" s="318"/>
      <c r="M128" s="319"/>
      <c r="N128" s="317"/>
      <c r="O128" s="318"/>
      <c r="P128" s="318"/>
      <c r="Q128" s="319"/>
      <c r="R128" s="317"/>
      <c r="S128" s="318"/>
      <c r="T128" s="318"/>
      <c r="U128" s="319"/>
      <c r="V128" s="320"/>
      <c r="W128" s="318"/>
      <c r="X128" s="318"/>
      <c r="Y128" s="321"/>
      <c r="Z128" s="317"/>
      <c r="AA128" s="318"/>
      <c r="AB128" s="318"/>
      <c r="AC128" s="319"/>
      <c r="AD128" s="317"/>
      <c r="AE128" s="318"/>
      <c r="AF128" s="318"/>
      <c r="AG128" s="319"/>
      <c r="AH128" s="317"/>
      <c r="AI128" s="318"/>
      <c r="AJ128" s="318"/>
      <c r="AK128" s="319"/>
      <c r="AL128" s="317"/>
      <c r="AM128" s="318"/>
      <c r="AN128" s="318"/>
      <c r="AO128" s="319"/>
      <c r="AP128" s="317"/>
      <c r="AQ128" s="318"/>
      <c r="AR128" s="318"/>
      <c r="AS128" s="319"/>
      <c r="AT128" s="322"/>
      <c r="AU128" s="323"/>
      <c r="AV128" s="323"/>
      <c r="AW128" s="324"/>
      <c r="AX128" s="322"/>
      <c r="AY128" s="323"/>
      <c r="AZ128" s="323"/>
      <c r="BA128" s="324"/>
      <c r="BB128" s="322"/>
      <c r="BC128" s="323"/>
      <c r="BD128" s="323"/>
      <c r="BE128" s="324"/>
    </row>
    <row r="129" spans="1:57" s="303" customFormat="1" ht="26.25" customHeight="1" x14ac:dyDescent="0.3">
      <c r="A129" s="316"/>
      <c r="B129" s="316"/>
      <c r="C129" s="316"/>
      <c r="D129" s="316"/>
      <c r="E129" s="316"/>
      <c r="F129" s="317"/>
      <c r="G129" s="318"/>
      <c r="H129" s="318"/>
      <c r="I129" s="319"/>
      <c r="J129" s="317"/>
      <c r="K129" s="318"/>
      <c r="L129" s="318"/>
      <c r="M129" s="319"/>
      <c r="N129" s="317"/>
      <c r="O129" s="318"/>
      <c r="P129" s="318"/>
      <c r="Q129" s="319"/>
      <c r="R129" s="317"/>
      <c r="S129" s="318"/>
      <c r="T129" s="318"/>
      <c r="U129" s="319"/>
      <c r="V129" s="320"/>
      <c r="W129" s="318"/>
      <c r="X129" s="318"/>
      <c r="Y129" s="321"/>
      <c r="Z129" s="317"/>
      <c r="AA129" s="318"/>
      <c r="AB129" s="318"/>
      <c r="AC129" s="319"/>
      <c r="AD129" s="317"/>
      <c r="AE129" s="318"/>
      <c r="AF129" s="318"/>
      <c r="AG129" s="319"/>
      <c r="AH129" s="317"/>
      <c r="AI129" s="318"/>
      <c r="AJ129" s="318"/>
      <c r="AK129" s="319"/>
      <c r="AL129" s="317"/>
      <c r="AM129" s="318"/>
      <c r="AN129" s="318"/>
      <c r="AO129" s="319"/>
      <c r="AP129" s="317"/>
      <c r="AQ129" s="318"/>
      <c r="AR129" s="318"/>
      <c r="AS129" s="319"/>
      <c r="AT129" s="322"/>
      <c r="AU129" s="323"/>
      <c r="AV129" s="323"/>
      <c r="AW129" s="324"/>
      <c r="AX129" s="322"/>
      <c r="AY129" s="323"/>
      <c r="AZ129" s="323"/>
      <c r="BA129" s="324"/>
      <c r="BB129" s="322"/>
      <c r="BC129" s="323"/>
      <c r="BD129" s="323"/>
      <c r="BE129" s="324"/>
    </row>
    <row r="130" spans="1:57" s="303" customFormat="1" ht="26.25" customHeight="1" x14ac:dyDescent="0.3">
      <c r="A130" s="316"/>
      <c r="B130" s="316"/>
      <c r="C130" s="316"/>
      <c r="D130" s="316"/>
      <c r="E130" s="316"/>
      <c r="F130" s="317"/>
      <c r="G130" s="318"/>
      <c r="H130" s="318"/>
      <c r="I130" s="319"/>
      <c r="J130" s="317"/>
      <c r="K130" s="318"/>
      <c r="L130" s="318"/>
      <c r="M130" s="319"/>
      <c r="N130" s="317"/>
      <c r="O130" s="318"/>
      <c r="P130" s="318"/>
      <c r="Q130" s="319"/>
      <c r="R130" s="317"/>
      <c r="S130" s="318"/>
      <c r="T130" s="318"/>
      <c r="U130" s="319"/>
      <c r="V130" s="320"/>
      <c r="W130" s="318"/>
      <c r="X130" s="318"/>
      <c r="Y130" s="321"/>
      <c r="Z130" s="317"/>
      <c r="AA130" s="318"/>
      <c r="AB130" s="318"/>
      <c r="AC130" s="319"/>
      <c r="AD130" s="317"/>
      <c r="AE130" s="318"/>
      <c r="AF130" s="318"/>
      <c r="AG130" s="319"/>
      <c r="AH130" s="317"/>
      <c r="AI130" s="318"/>
      <c r="AJ130" s="318"/>
      <c r="AK130" s="319"/>
      <c r="AL130" s="317"/>
      <c r="AM130" s="318"/>
      <c r="AN130" s="318"/>
      <c r="AO130" s="319"/>
      <c r="AP130" s="317"/>
      <c r="AQ130" s="318"/>
      <c r="AR130" s="318"/>
      <c r="AS130" s="319"/>
      <c r="AT130" s="322"/>
      <c r="AU130" s="323"/>
      <c r="AV130" s="323"/>
      <c r="AW130" s="324"/>
      <c r="AX130" s="322"/>
      <c r="AY130" s="323"/>
      <c r="AZ130" s="323"/>
      <c r="BA130" s="324"/>
      <c r="BB130" s="322"/>
      <c r="BC130" s="323"/>
      <c r="BD130" s="323"/>
      <c r="BE130" s="324"/>
    </row>
    <row r="131" spans="1:57" s="303" customFormat="1" ht="26.25" customHeight="1" thickBot="1" x14ac:dyDescent="0.35">
      <c r="A131" s="326"/>
      <c r="B131" s="326"/>
      <c r="C131" s="326"/>
      <c r="D131" s="326"/>
      <c r="E131" s="326"/>
      <c r="F131" s="317"/>
      <c r="G131" s="318"/>
      <c r="H131" s="318"/>
      <c r="I131" s="319"/>
      <c r="J131" s="317"/>
      <c r="K131" s="318"/>
      <c r="L131" s="318"/>
      <c r="M131" s="319"/>
      <c r="N131" s="317"/>
      <c r="O131" s="318"/>
      <c r="P131" s="318"/>
      <c r="Q131" s="319"/>
      <c r="R131" s="317"/>
      <c r="S131" s="318"/>
      <c r="T131" s="318"/>
      <c r="U131" s="319"/>
      <c r="V131" s="320"/>
      <c r="W131" s="318"/>
      <c r="X131" s="318"/>
      <c r="Y131" s="321"/>
      <c r="Z131" s="317"/>
      <c r="AA131" s="318"/>
      <c r="AB131" s="318"/>
      <c r="AC131" s="319"/>
      <c r="AD131" s="317"/>
      <c r="AE131" s="318"/>
      <c r="AF131" s="318"/>
      <c r="AG131" s="319"/>
      <c r="AH131" s="317"/>
      <c r="AI131" s="318"/>
      <c r="AJ131" s="318"/>
      <c r="AK131" s="319"/>
      <c r="AL131" s="317"/>
      <c r="AM131" s="318"/>
      <c r="AN131" s="318"/>
      <c r="AO131" s="319"/>
      <c r="AP131" s="317"/>
      <c r="AQ131" s="318"/>
      <c r="AR131" s="318"/>
      <c r="AS131" s="319"/>
      <c r="AT131" s="322"/>
      <c r="AU131" s="323"/>
      <c r="AV131" s="323"/>
      <c r="AW131" s="324"/>
      <c r="AX131" s="322"/>
      <c r="AY131" s="323"/>
      <c r="AZ131" s="323"/>
      <c r="BA131" s="324"/>
      <c r="BB131" s="322"/>
      <c r="BC131" s="323"/>
      <c r="BD131" s="323"/>
      <c r="BE131" s="324"/>
    </row>
    <row r="133" spans="1:57" x14ac:dyDescent="0.3">
      <c r="D133" s="302"/>
    </row>
  </sheetData>
  <mergeCells count="13">
    <mergeCell ref="V11:Y11"/>
    <mergeCell ref="Z11:AC11"/>
    <mergeCell ref="AD11:AG11"/>
    <mergeCell ref="AH11:AK11"/>
    <mergeCell ref="F11:I11"/>
    <mergeCell ref="J11:M11"/>
    <mergeCell ref="N11:Q11"/>
    <mergeCell ref="R11:U11"/>
    <mergeCell ref="AL11:AO11"/>
    <mergeCell ref="AP11:AS11"/>
    <mergeCell ref="AT11:AW11"/>
    <mergeCell ref="AX11:BA11"/>
    <mergeCell ref="BB11:BE11"/>
  </mergeCells>
  <conditionalFormatting sqref="A12:B12">
    <cfRule type="duplicateValues" dxfId="4" priority="1"/>
  </conditionalFormatting>
  <conditionalFormatting sqref="A18:B18">
    <cfRule type="duplicateValues" dxfId="3" priority="5"/>
  </conditionalFormatting>
  <conditionalFormatting sqref="A37:B37">
    <cfRule type="duplicateValues" dxfId="2" priority="2"/>
  </conditionalFormatting>
  <conditionalFormatting sqref="A38:B39">
    <cfRule type="duplicateValues" dxfId="1" priority="3"/>
  </conditionalFormatting>
  <conditionalFormatting sqref="A40:B134 A2:B3 A11:B11 A19:B36 A14:B17 A143:B1048576 A4">
    <cfRule type="duplicateValues" dxfId="0" priority="4"/>
  </conditionalFormatting>
  <pageMargins left="0.7" right="0.7" top="0.75" bottom="0.75" header="0.3" footer="0.3"/>
  <pageSetup paperSize="9" scale="1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4</vt:i4>
      </vt:variant>
    </vt:vector>
  </HeadingPairs>
  <TitlesOfParts>
    <vt:vector size="12" baseType="lpstr">
      <vt:lpstr>Controle reglementaire</vt:lpstr>
      <vt:lpstr>Controle reglementaire (2)</vt:lpstr>
      <vt:lpstr>Feuil1</vt:lpstr>
      <vt:lpstr>liste patentes et carte de sta</vt:lpstr>
      <vt:lpstr>PETITS MATERIELS</vt:lpstr>
      <vt:lpstr>LISTE DU MAT- N° PARC- DOMINOS</vt:lpstr>
      <vt:lpstr>LISTE DU MAT - N° PARC-ECRITURE</vt:lpstr>
      <vt:lpstr>MATERIEL SUR SITE</vt:lpstr>
      <vt:lpstr>'Controle reglementaire'!Zone_d_impression</vt:lpstr>
      <vt:lpstr>'Controle reglementaire (2)'!Zone_d_impression</vt:lpstr>
      <vt:lpstr>'LISTE DU MAT - N° PARC-ECRITURE'!Zone_d_impression</vt:lpstr>
      <vt:lpstr>'MATERIEL SUR SITE'!Zone_d_impression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BAUGA Marcel</dc:creator>
  <cp:lastModifiedBy>USER</cp:lastModifiedBy>
  <cp:lastPrinted>2024-09-11T18:08:36Z</cp:lastPrinted>
  <dcterms:created xsi:type="dcterms:W3CDTF">2018-07-28T14:17:18Z</dcterms:created>
  <dcterms:modified xsi:type="dcterms:W3CDTF">2024-10-22T17:22:43Z</dcterms:modified>
</cp:coreProperties>
</file>